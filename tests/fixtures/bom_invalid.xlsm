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davit\Downloads\"/>
    </mc:Choice>
  </mc:AlternateContent>
  <xr:revisionPtr revIDLastSave="0" documentId="8_{23AD2AB1-6C6B-49AC-A25E-68A80BEDDEA7}" xr6:coauthVersionLast="47" xr6:coauthVersionMax="47" xr10:uidLastSave="{00000000-0000-0000-0000-000000000000}"/>
  <bookViews>
    <workbookView xWindow="22932" yWindow="-108" windowWidth="23256" windowHeight="12456" tabRatio="692" activeTab="1" xr2:uid="{00000000-000D-0000-FFFF-FFFF00000000}"/>
  </bookViews>
  <sheets>
    <sheet name="BOM_Phan I" sheetId="8" r:id="rId1"/>
    <sheet name="BOM_Phan II" sheetId="1" r:id="rId2"/>
    <sheet name="BOM_Phan III" sheetId="7" r:id="rId3"/>
    <sheet name="BOM_Phan IV" sheetId="9" r:id="rId4"/>
    <sheet name="TC_CUA" sheetId="26" state="hidden" r:id="rId5"/>
    <sheet name="TC_KH" sheetId="27" state="hidden" r:id="rId6"/>
    <sheet name="LOẠI 1" sheetId="17" state="hidden" r:id="rId7"/>
    <sheet name="LOẠI 2" sheetId="18" state="hidden" r:id="rId8"/>
    <sheet name="BOM_Phan V" sheetId="19" r:id="rId9"/>
    <sheet name="LOẠI 4" sheetId="20" state="hidden" r:id="rId10"/>
    <sheet name="LOẠI 5 AIR" sheetId="21" state="hidden" r:id="rId11"/>
    <sheet name="LOẠI 5 PALEET" sheetId="22" state="hidden" r:id="rId12"/>
    <sheet name="LOẠI 6" sheetId="23" state="hidden" r:id="rId13"/>
  </sheets>
  <definedNames>
    <definedName name="_xlnm._FilterDatabase" localSheetId="1" hidden="1">'BOM_Phan II'!$C$11:$W$241</definedName>
    <definedName name="_xlnm._FilterDatabase" localSheetId="2" hidden="1">'BOM_Phan III'!$C$11:$P$104</definedName>
    <definedName name="_xlnm._FilterDatabase" localSheetId="3" hidden="1">'BOM_Phan IV'!$C$12:$U$1411</definedName>
    <definedName name="_xlnm._FilterDatabase" localSheetId="8" hidden="1">'BOM_Phan V'!$C$12:$O$49</definedName>
    <definedName name="_xlnm._FilterDatabase" localSheetId="6" hidden="1">'LOẠI 1'!$C$12:$O$34</definedName>
    <definedName name="_xlnm._FilterDatabase" localSheetId="7" hidden="1">'LOẠI 2'!$C$12:$O$34</definedName>
    <definedName name="_xlnm._FilterDatabase" localSheetId="9" hidden="1">'LOẠI 4'!$C$12:$O$39</definedName>
    <definedName name="_xlnm._FilterDatabase" localSheetId="10" hidden="1">'LOẠI 5 AIR'!$C$12:$O$41</definedName>
    <definedName name="_xlnm._FilterDatabase" localSheetId="11" hidden="1">'LOẠI 5 PALEET'!$C$12:$O$41</definedName>
    <definedName name="_xlnm._FilterDatabase" localSheetId="12" hidden="1">'LOẠI 6'!$C$12:$O$34</definedName>
    <definedName name="_xlnm._FilterDatabase" localSheetId="4" hidden="1">TC_CUA!$C$12:$O$36</definedName>
    <definedName name="_xlnm._FilterDatabase" localSheetId="5" hidden="1">TC_KH!$C$12:$O$34</definedName>
    <definedName name="_xleta.N" hidden="1" xlm="1">#NAME?</definedName>
    <definedName name="_xleta.T" hidden="1" xlm="1">#NAME?</definedName>
    <definedName name="_xlpm.a" hidden="1" xlm="1">#NAME?</definedName>
    <definedName name="_xlpm.b" hidden="1" xlm="1">#NAME?</definedName>
    <definedName name="_xlpm.Combined_Data" hidden="1" xlm="1">#NAME?</definedName>
    <definedName name="_xlpm.Combined_Raw" hidden="1" xlm="1">#NAME?</definedName>
    <definedName name="_xlpm.Cond_PhanII" hidden="1" xlm="1">#NAME?</definedName>
    <definedName name="_xlpm.Cond_PhanIII" hidden="1" xlm="1">#NAME?</definedName>
    <definedName name="_xlpm.Data_C" hidden="1" xlm="1">#NAME?</definedName>
    <definedName name="_xlpm.Data_C_IV" hidden="1" xlm="1">#NAME?</definedName>
    <definedName name="_xlpm.Data_D" hidden="1" xlm="1">#NAME?</definedName>
    <definedName name="_xlpm.Data_PhanII" hidden="1" xlm="1">#NAME?</definedName>
    <definedName name="_xlpm.Data_PhanIII" hidden="1" xlm="1">#NAME?</definedName>
    <definedName name="_xlpm.Data_Range" hidden="1" xlm="1">#NAME?</definedName>
    <definedName name="_xlpm.Data_X" hidden="1" xlm="1">#NAME?</definedName>
    <definedName name="_xlpm.Data2_D" hidden="1" xlm="1">#NAME?</definedName>
    <definedName name="_xlpm.Data2_X" hidden="1" xlm="1">#NAME?</definedName>
    <definedName name="_xlpm.Data3_E" hidden="1" xlm="1">#NAME?</definedName>
    <definedName name="_xlpm.Filter_Cond" hidden="1" xlm="1">#NAME?</definedName>
    <definedName name="_xlpm.Filter2_Cond" hidden="1" xlm="1">#NAME?</definedName>
    <definedName name="_xlpm.Filtered_C" hidden="1" xlm="1">#NAME?</definedName>
    <definedName name="_xlpm.Filtered_D" hidden="1" xlm="1">#NAME?</definedName>
    <definedName name="_xlpm.Filtered_Data" hidden="1" xlm="1">#NAME?</definedName>
    <definedName name="_xlpm.Filtered_PhanII" hidden="1" xlm="1">#NAME?</definedName>
    <definedName name="_xlpm.Filtered_PhanIII" hidden="1" xlm="1">#NAME?</definedName>
    <definedName name="_xlpm.Filtered2" hidden="1" xlm="1">#NAME?</definedName>
    <definedName name="_xlpm.Filtered3" hidden="1" xlm="1">#NAME?</definedName>
    <definedName name="_xlpm.Final_Result" hidden="1" xlm="1">#NAME?</definedName>
    <definedName name="_xlpm.ID" hidden="1" xlm="1">#NAME?</definedName>
    <definedName name="_xlpm.Is_Kien" hidden="1" xlm="1">#NAME?</definedName>
    <definedName name="_xlpm.Is_Kien2" hidden="1" xlm="1">#NAME?</definedName>
    <definedName name="_xlpm.Kien_Index" hidden="1" xlm="1">#NAME?</definedName>
    <definedName name="_xlpm.Kien_Index2" hidden="1" xlm="1">#NAME?</definedName>
    <definedName name="_xlpm.Last_Underscore" hidden="1" xlm="1">#NAME?</definedName>
    <definedName name="_xlpm.NumParts" hidden="1" xlm="1">#NAME?</definedName>
    <definedName name="_xlpm.Part1" hidden="1" xlm="1">#NAME?</definedName>
    <definedName name="_xlpm.Part2" hidden="1" xlm="1">#NAME?</definedName>
    <definedName name="_xlpm.Parts" hidden="1" xlm="1">#NAME?</definedName>
    <definedName name="_xlpm.Prev_Underscore" hidden="1" xlm="1">#NAME?</definedName>
    <definedName name="_xlpm.Raw_PhanII" hidden="1" xlm="1">#NAME?</definedName>
    <definedName name="_xlpm.Raw_PhanIII" hidden="1" xlm="1">#NAME?</definedName>
    <definedName name="_xlpm.Result" hidden="1" xlm="1">#NAME?</definedName>
    <definedName name="_xlpm.Result2" hidden="1" xlm="1">#NAME?</definedName>
    <definedName name="_xlpm.Section" hidden="1" xlm="1">#NAME?</definedName>
    <definedName name="_xlpm.ten_ct" hidden="1" xlm="1">#NAME?</definedName>
    <definedName name="_xlpm.ten_kien" hidden="1" xlm="1">#NAME?</definedName>
    <definedName name="_xlpm.Total_Kien" hidden="1" xlm="1">#NAME?</definedName>
    <definedName name="_xlpm.Total_Kien2" hidden="1" xlm="1">#NAME?</definedName>
    <definedName name="BTP_CƠ_KHÍ" localSheetId="3">'BOM_Phan IV'!$D$29</definedName>
    <definedName name="BTP_CƠ_KHÍ">'BOM_Phan III'!$D$29</definedName>
    <definedName name="CHI" localSheetId="8">IF('BOM_Phan V'!XEZ1&lt;&gt;"",((MID('BOM_Phan V'!XEZ1,1,1)*'BOM_Phan V'!$G1)+(MID('BOM_Phan V'!XEZ1,3,1)*'BOM_Phan V'!$F1))*'BOM_Phan V'!XEV1/1000,"")</definedName>
    <definedName name="CHI" localSheetId="6">IF('LOẠI 1'!XEZ1&lt;&gt;"",((MID('LOẠI 1'!XEZ1,1,1)*'LOẠI 1'!$G1)+(MID('LOẠI 1'!XEZ1,3,1)*'LOẠI 1'!$F1))*'LOẠI 1'!XEV1/1000,"")</definedName>
    <definedName name="CHI" localSheetId="7">IF('LOẠI 2'!XEZ1&lt;&gt;"",((MID('LOẠI 2'!XEZ1,1,1)*'LOẠI 2'!$G1)+(MID('LOẠI 2'!XEZ1,3,1)*'LOẠI 2'!$F1))*'LOẠI 2'!XEV1/1000,"")</definedName>
    <definedName name="CHI" localSheetId="9">IF('LOẠI 4'!XEZ1&lt;&gt;"",((MID('LOẠI 4'!XEZ1,1,1)*'LOẠI 4'!$G1)+(MID('LOẠI 4'!XEZ1,3,1)*'LOẠI 4'!$F1))*'LOẠI 4'!XEV1/1000,"")</definedName>
    <definedName name="CHI" localSheetId="10">IF('LOẠI 5 AIR'!XEZ1&lt;&gt;"",((MID('LOẠI 5 AIR'!XEZ1,1,1)*'LOẠI 5 AIR'!$G1)+(MID('LOẠI 5 AIR'!XEZ1,3,1)*'LOẠI 5 AIR'!$F1))*'LOẠI 5 AIR'!XEV1/1000,"")</definedName>
    <definedName name="CHI" localSheetId="11">IF('LOẠI 5 PALEET'!XEZ1&lt;&gt;"",((MID('LOẠI 5 PALEET'!XEZ1,1,1)*'LOẠI 5 PALEET'!$G1)+(MID('LOẠI 5 PALEET'!XEZ1,3,1)*'LOẠI 5 PALEET'!$F1))*'LOẠI 5 PALEET'!XEV1/1000,"")</definedName>
    <definedName name="CHI" localSheetId="12">IF('LOẠI 6'!XEZ1&lt;&gt;"",((MID('LOẠI 6'!XEZ1,1,1)*'LOẠI 6'!$G1)+(MID('LOẠI 6'!XEZ1,3,1)*'LOẠI 6'!$F1))*'LOẠI 6'!XEV1/1000,"")</definedName>
    <definedName name="CHI" localSheetId="4">IF(TC_CUA!XEZ1&lt;&gt;"",((MID(TC_CUA!XEZ1,1,1)*TC_CUA!$G1)+(MID(TC_CUA!XEZ1,3,1)*TC_CUA!$F1))*TC_CUA!XEV1/1000,"")</definedName>
    <definedName name="CHI" localSheetId="5">IF(TC_KH!XEZ1&lt;&gt;"",((MID(TC_KH!XEZ1,1,1)*TC_KH!$G1)+(MID(TC_KH!XEZ1,3,1)*TC_KH!$F1))*TC_KH!XEV1/1000,"")</definedName>
    <definedName name="CHI">IF('BOM_Phan II'!XEZ1&lt;&gt;"",((MID('BOM_Phan II'!XEZ1,1,1)*'BOM_Phan II'!$G1)+(MID('BOM_Phan II'!XEZ1,3,1)*'BOM_Phan II'!$F1))*'BOM_Phan II'!XEV1/1000,"")</definedName>
    <definedName name="DTC" localSheetId="8">IF('BOM_Phan V'!XFA1&lt;&gt;"",((MID('BOM_Phan V'!XFA1,1,1)*'BOM_Phan V'!XES1*'BOM_Phan V'!XET1)+(MID('BOM_Phan V'!XFA1,3,1)*'BOM_Phan V'!XER1*'BOM_Phan V'!XET1)+(MID('BOM_Phan V'!XFA1,5,1)*'BOM_Phan V'!XER1*'BOM_Phan V'!XES1))*'BOM_Phan V'!XEU1/10^6,"")</definedName>
    <definedName name="DTC" localSheetId="6">IF('LOẠI 1'!XFA1&lt;&gt;"",((MID('LOẠI 1'!XFA1,1,1)*'LOẠI 1'!XES1*'LOẠI 1'!XET1)+(MID('LOẠI 1'!XFA1,3,1)*'LOẠI 1'!XER1*'LOẠI 1'!XET1)+(MID('LOẠI 1'!XFA1,5,1)*'LOẠI 1'!XER1*'LOẠI 1'!XES1))*'LOẠI 1'!XEU1/10^6,"")</definedName>
    <definedName name="DTC" localSheetId="7">IF('LOẠI 2'!XFA1&lt;&gt;"",((MID('LOẠI 2'!XFA1,1,1)*'LOẠI 2'!XES1*'LOẠI 2'!XET1)+(MID('LOẠI 2'!XFA1,3,1)*'LOẠI 2'!XER1*'LOẠI 2'!XET1)+(MID('LOẠI 2'!XFA1,5,1)*'LOẠI 2'!XER1*'LOẠI 2'!XES1))*'LOẠI 2'!XEU1/10^6,"")</definedName>
    <definedName name="DTC" localSheetId="9">IF('LOẠI 4'!XFA1&lt;&gt;"",((MID('LOẠI 4'!XFA1,1,1)*'LOẠI 4'!XES1*'LOẠI 4'!XET1)+(MID('LOẠI 4'!XFA1,3,1)*'LOẠI 4'!XER1*'LOẠI 4'!XET1)+(MID('LOẠI 4'!XFA1,5,1)*'LOẠI 4'!XER1*'LOẠI 4'!XES1))*'LOẠI 4'!XEU1/10^6,"")</definedName>
    <definedName name="DTC" localSheetId="10">IF('LOẠI 5 AIR'!XFA1&lt;&gt;"",((MID('LOẠI 5 AIR'!XFA1,1,1)*'LOẠI 5 AIR'!XES1*'LOẠI 5 AIR'!XET1)+(MID('LOẠI 5 AIR'!XFA1,3,1)*'LOẠI 5 AIR'!XER1*'LOẠI 5 AIR'!XET1)+(MID('LOẠI 5 AIR'!XFA1,5,1)*'LOẠI 5 AIR'!XER1*'LOẠI 5 AIR'!XES1))*'LOẠI 5 AIR'!XEU1/10^6,"")</definedName>
    <definedName name="DTC" localSheetId="11">IF('LOẠI 5 PALEET'!XFA1&lt;&gt;"",((MID('LOẠI 5 PALEET'!XFA1,1,1)*'LOẠI 5 PALEET'!XES1*'LOẠI 5 PALEET'!XET1)+(MID('LOẠI 5 PALEET'!XFA1,3,1)*'LOẠI 5 PALEET'!XER1*'LOẠI 5 PALEET'!XET1)+(MID('LOẠI 5 PALEET'!XFA1,5,1)*'LOẠI 5 PALEET'!XER1*'LOẠI 5 PALEET'!XES1))*'LOẠI 5 PALEET'!XEU1/10^6,"")</definedName>
    <definedName name="DTC" localSheetId="12">IF('LOẠI 6'!XFA1&lt;&gt;"",((MID('LOẠI 6'!XFA1,1,1)*'LOẠI 6'!XES1*'LOẠI 6'!XET1)+(MID('LOẠI 6'!XFA1,3,1)*'LOẠI 6'!XER1*'LOẠI 6'!XET1)+(MID('LOẠI 6'!XFA1,5,1)*'LOẠI 6'!XER1*'LOẠI 6'!XES1))*'LOẠI 6'!XEU1/10^6,"")</definedName>
    <definedName name="DTC" localSheetId="4">IF(TC_CUA!XFA1&lt;&gt;"",((MID(TC_CUA!XFA1,1,1)*TC_CUA!XES1*TC_CUA!XET1)+(MID(TC_CUA!XFA1,3,1)*TC_CUA!XER1*TC_CUA!XET1)+(MID(TC_CUA!XFA1,5,1)*TC_CUA!XER1*TC_CUA!XES1))*TC_CUA!XEU1/10^6,"")</definedName>
    <definedName name="DTC" localSheetId="5">IF(TC_KH!XFA1&lt;&gt;"",((MID(TC_KH!XFA1,1,1)*TC_KH!XES1*TC_KH!XET1)+(MID(TC_KH!XFA1,3,1)*TC_KH!XER1*TC_KH!XET1)+(MID(TC_KH!XFA1,5,1)*TC_KH!XER1*TC_KH!XES1))*TC_KH!XEU1/10^6,"")</definedName>
    <definedName name="DTC">IF('BOM_Phan II'!XFA1&lt;&gt;"",((MID('BOM_Phan II'!XFA1,1,1)*'BOM_Phan II'!XES1*'BOM_Phan II'!XET1)+(MID('BOM_Phan II'!XFA1,3,1)*'BOM_Phan II'!XER1*'BOM_Phan II'!XET1)+(MID('BOM_Phan II'!XFA1,5,1)*'BOM_Phan II'!XER1*'BOM_Phan II'!XES1))*'BOM_Phan II'!XEU1/10^6,"")</definedName>
    <definedName name="DTP" localSheetId="8">IF('BOM_Phan V'!XFA1&lt;&gt;"",((MID('BOM_Phan V'!XFA1,1,1)*'BOM_Phan V'!XER1*'BOM_Phan V'!XES1)+(MID('BOM_Phan V'!XFA1,3,1)*'BOM_Phan V'!XEQ1*'BOM_Phan V'!XES1)+(MID('BOM_Phan V'!XFA1,5,1)*'BOM_Phan V'!XEQ1*'BOM_Phan V'!XER1))*'BOM_Phan V'!XET1/10^6,"")</definedName>
    <definedName name="DTP" localSheetId="6">IF('LOẠI 1'!XFA1&lt;&gt;"",((MID('LOẠI 1'!XFA1,1,1)*'LOẠI 1'!XER1*'LOẠI 1'!XES1)+(MID('LOẠI 1'!XFA1,3,1)*'LOẠI 1'!XEQ1*'LOẠI 1'!XES1)+(MID('LOẠI 1'!XFA1,5,1)*'LOẠI 1'!XEQ1*'LOẠI 1'!XER1))*'LOẠI 1'!XET1/10^6,"")</definedName>
    <definedName name="DTP" localSheetId="7">IF('LOẠI 2'!XFA1&lt;&gt;"",((MID('LOẠI 2'!XFA1,1,1)*'LOẠI 2'!XER1*'LOẠI 2'!XES1)+(MID('LOẠI 2'!XFA1,3,1)*'LOẠI 2'!XEQ1*'LOẠI 2'!XES1)+(MID('LOẠI 2'!XFA1,5,1)*'LOẠI 2'!XEQ1*'LOẠI 2'!XER1))*'LOẠI 2'!XET1/10^6,"")</definedName>
    <definedName name="DTP" localSheetId="9">IF('LOẠI 4'!XFA1&lt;&gt;"",((MID('LOẠI 4'!XFA1,1,1)*'LOẠI 4'!XER1*'LOẠI 4'!XES1)+(MID('LOẠI 4'!XFA1,3,1)*'LOẠI 4'!XEQ1*'LOẠI 4'!XES1)+(MID('LOẠI 4'!XFA1,5,1)*'LOẠI 4'!XEQ1*'LOẠI 4'!XER1))*'LOẠI 4'!XET1/10^6,"")</definedName>
    <definedName name="DTP" localSheetId="10">IF('LOẠI 5 AIR'!XFA1&lt;&gt;"",((MID('LOẠI 5 AIR'!XFA1,1,1)*'LOẠI 5 AIR'!XER1*'LOẠI 5 AIR'!XES1)+(MID('LOẠI 5 AIR'!XFA1,3,1)*'LOẠI 5 AIR'!XEQ1*'LOẠI 5 AIR'!XES1)+(MID('LOẠI 5 AIR'!XFA1,5,1)*'LOẠI 5 AIR'!XEQ1*'LOẠI 5 AIR'!XER1))*'LOẠI 5 AIR'!XET1/10^6,"")</definedName>
    <definedName name="DTP" localSheetId="11">IF('LOẠI 5 PALEET'!XFA1&lt;&gt;"",((MID('LOẠI 5 PALEET'!XFA1,1,1)*'LOẠI 5 PALEET'!XER1*'LOẠI 5 PALEET'!XES1)+(MID('LOẠI 5 PALEET'!XFA1,3,1)*'LOẠI 5 PALEET'!XEQ1*'LOẠI 5 PALEET'!XES1)+(MID('LOẠI 5 PALEET'!XFA1,5,1)*'LOẠI 5 PALEET'!XEQ1*'LOẠI 5 PALEET'!XER1))*'LOẠI 5 PALEET'!XET1/10^6,"")</definedName>
    <definedName name="DTP" localSheetId="12">IF('LOẠI 6'!XFA1&lt;&gt;"",((MID('LOẠI 6'!XFA1,1,1)*'LOẠI 6'!XER1*'LOẠI 6'!XES1)+(MID('LOẠI 6'!XFA1,3,1)*'LOẠI 6'!XEQ1*'LOẠI 6'!XES1)+(MID('LOẠI 6'!XFA1,5,1)*'LOẠI 6'!XEQ1*'LOẠI 6'!XER1))*'LOẠI 6'!XET1/10^6,"")</definedName>
    <definedName name="DTP" localSheetId="4">IF(TC_CUA!XFA1&lt;&gt;"",((MID(TC_CUA!XFA1,1,1)*TC_CUA!XER1*TC_CUA!XES1)+(MID(TC_CUA!XFA1,3,1)*TC_CUA!XEQ1*TC_CUA!XES1)+(MID(TC_CUA!XFA1,5,1)*TC_CUA!XEQ1*TC_CUA!XER1))*TC_CUA!XET1/10^6,"")</definedName>
    <definedName name="DTP" localSheetId="5">IF(TC_KH!XFA1&lt;&gt;"",((MID(TC_KH!XFA1,1,1)*TC_KH!XER1*TC_KH!XES1)+(MID(TC_KH!XFA1,3,1)*TC_KH!XEQ1*TC_KH!XES1)+(MID(TC_KH!XFA1,5,1)*TC_KH!XEQ1*TC_KH!XER1))*TC_KH!XET1/10^6,"")</definedName>
    <definedName name="DTP">IF('BOM_Phan II'!XFA1&lt;&gt;"",((MID('BOM_Phan II'!XFA1,1,1)*'BOM_Phan II'!XER1*'BOM_Phan II'!XES1)+(MID('BOM_Phan II'!XFA1,3,1)*'BOM_Phan II'!XEQ1*'BOM_Phan II'!XES1)+(MID('BOM_Phan II'!XFA1,5,1)*'BOM_Phan II'!XEQ1*'BOM_Phan II'!XER1))*'BOM_Phan II'!XET1/10^6,"")</definedName>
    <definedName name="KL" localSheetId="8">IF('BOM_Phan V'!XEW1&lt;&gt;"",('BOM_Phan V'!XET1*'BOM_Phan V'!XEU1*'BOM_Phan V'!XEV1*'BOM_Phan V'!XEW1)/10^9,"")</definedName>
    <definedName name="KL" localSheetId="6">IF('LOẠI 1'!XEW1&lt;&gt;"",('LOẠI 1'!XET1*'LOẠI 1'!XEU1*'LOẠI 1'!XEV1*'LOẠI 1'!XEW1)/10^9,"")</definedName>
    <definedName name="KL" localSheetId="7">IF('LOẠI 2'!XEW1&lt;&gt;"",('LOẠI 2'!XET1*'LOẠI 2'!XEU1*'LOẠI 2'!XEV1*'LOẠI 2'!XEW1)/10^9,"")</definedName>
    <definedName name="KL" localSheetId="9">IF('LOẠI 4'!XEW1&lt;&gt;"",('LOẠI 4'!XET1*'LOẠI 4'!XEU1*'LOẠI 4'!XEV1*'LOẠI 4'!XEW1)/10^9,"")</definedName>
    <definedName name="KL" localSheetId="10">IF('LOẠI 5 AIR'!XEW1&lt;&gt;"",('LOẠI 5 AIR'!XET1*'LOẠI 5 AIR'!XEU1*'LOẠI 5 AIR'!XEV1*'LOẠI 5 AIR'!XEW1)/10^9,"")</definedName>
    <definedName name="KL" localSheetId="11">IF('LOẠI 5 PALEET'!XEW1&lt;&gt;"",('LOẠI 5 PALEET'!XET1*'LOẠI 5 PALEET'!XEU1*'LOẠI 5 PALEET'!XEV1*'LOẠI 5 PALEET'!XEW1)/10^9,"")</definedName>
    <definedName name="KL" localSheetId="12">IF('LOẠI 6'!XEW1&lt;&gt;"",('LOẠI 6'!XET1*'LOẠI 6'!XEU1*'LOẠI 6'!XEV1*'LOẠI 6'!XEW1)/10^9,"")</definedName>
    <definedName name="KL" localSheetId="4">IF(TC_CUA!XEW1&lt;&gt;"",(TC_CUA!XET1*TC_CUA!XEU1*TC_CUA!XEV1*TC_CUA!XEW1)/10^9,"")</definedName>
    <definedName name="KL" localSheetId="5">IF(TC_KH!XEW1&lt;&gt;"",(TC_KH!XET1*TC_KH!XEU1*TC_KH!XEV1*TC_KH!XEW1)/10^9,"")</definedName>
    <definedName name="KL">IF('BOM_Phan II'!XEW1&lt;&gt;"",('BOM_Phan II'!XET1*'BOM_Phan II'!XEU1*'BOM_Phan II'!XEV1*'BOM_Phan II'!XEW1)/10^9,"")</definedName>
    <definedName name="NHÓM_CHỈ_CẠNH" localSheetId="3">'BOM_Phan IV'!$D$12</definedName>
    <definedName name="NHÓM_CHỈ_CẠNH">'BOM_Phan III'!$D$12</definedName>
    <definedName name="PHỤ_KIỆN" localSheetId="3">'BOM_Phan IV'!#REF!</definedName>
    <definedName name="PHỤ_KIỆN">'BOM_Phan III'!$D$52</definedName>
    <definedName name="_xlnm.Print_Area" localSheetId="0">'BOM_Phan I'!$C$1:$H$25</definedName>
    <definedName name="_xlnm.Print_Area" localSheetId="1">'BOM_Phan II'!$C$1:$U$242</definedName>
    <definedName name="_xlnm.Print_Area" localSheetId="2">'BOM_Phan III'!$C$1:$N$105</definedName>
    <definedName name="_xlnm.Print_Area" localSheetId="3">'BOM_Phan IV'!$C$1:$Q$1412</definedName>
    <definedName name="_xlnm.Print_Area" localSheetId="8">'BOM_Phan V'!$C$1:$M$50</definedName>
    <definedName name="_xlnm.Print_Area" localSheetId="6">'LOẠI 1'!$C$1:$M$35</definedName>
    <definedName name="_xlnm.Print_Area" localSheetId="7">'LOẠI 2'!$C$1:$M$35</definedName>
    <definedName name="_xlnm.Print_Area" localSheetId="9">'LOẠI 4'!$C$1:$M$40</definedName>
    <definedName name="_xlnm.Print_Area" localSheetId="10">'LOẠI 5 AIR'!$C$1:$M$42</definedName>
    <definedName name="_xlnm.Print_Area" localSheetId="11">'LOẠI 5 PALEET'!$C$1:$M$42</definedName>
    <definedName name="_xlnm.Print_Area" localSheetId="12">'LOẠI 6'!$C$1:$M$35</definedName>
    <definedName name="_xlnm.Print_Area" localSheetId="4">TC_CUA!$C$1:$M$37</definedName>
    <definedName name="_xlnm.Print_Area" localSheetId="5">TC_KH!$C$1:$M$35</definedName>
    <definedName name="_xlnm.Print_Titles" localSheetId="1">'BOM_Phan II'!$10:$11</definedName>
    <definedName name="_xlnm.Print_Titles" localSheetId="2">'BOM_Phan III'!$11:$11</definedName>
    <definedName name="_xlnm.Print_Titles" localSheetId="3">'BOM_Phan IV'!$11:$11</definedName>
    <definedName name="_xlnm.Print_Titles" localSheetId="8">'BOM_Phan V'!$11:$12</definedName>
    <definedName name="_xlnm.Print_Titles" localSheetId="6">'LOẠI 1'!$11:$12</definedName>
    <definedName name="_xlnm.Print_Titles" localSheetId="7">'LOẠI 2'!$11:$12</definedName>
    <definedName name="_xlnm.Print_Titles" localSheetId="9">'LOẠI 4'!$11:$12</definedName>
    <definedName name="_xlnm.Print_Titles" localSheetId="10">'LOẠI 5 AIR'!$11:$12</definedName>
    <definedName name="_xlnm.Print_Titles" localSheetId="11">'LOẠI 5 PALEET'!$11:$12</definedName>
    <definedName name="_xlnm.Print_Titles" localSheetId="12">'LOẠI 6'!$11:$12</definedName>
    <definedName name="_xlnm.Print_Titles" localSheetId="4">TC_CUA!$11:$12</definedName>
    <definedName name="_xlnm.Print_Titles" localSheetId="5">TC_KH!$11:$12</definedName>
    <definedName name="THẦU_PHỤ_GIA_CÔNG" localSheetId="3">'BOM_Phan IV'!#REF!</definedName>
    <definedName name="THẦU_PHỤ_GIA_CÔNG">'BOM_Phan III'!$D$67</definedName>
    <definedName name="VẬT_TƯ_CƠ_KHÍ" localSheetId="3">'BOM_Phan IV'!$D$24</definedName>
    <definedName name="VẬT_TƯ_CƠ_KHÍ">'BOM_Phan III'!$D$24</definedName>
    <definedName name="VẬT_TƯ_FOAM_SOFA" localSheetId="8">'BOM_Phan V'!#REF!</definedName>
    <definedName name="VẬT_TƯ_FOAM_SOFA" localSheetId="6">'LOẠI 1'!#REF!</definedName>
    <definedName name="VẬT_TƯ_FOAM_SOFA" localSheetId="7">'LOẠI 2'!#REF!</definedName>
    <definedName name="VẬT_TƯ_FOAM_SOFA" localSheetId="9">'LOẠI 4'!#REF!</definedName>
    <definedName name="VẬT_TƯ_FOAM_SOFA" localSheetId="10">'LOẠI 5 AIR'!#REF!</definedName>
    <definedName name="VẬT_TƯ_FOAM_SOFA" localSheetId="11">'LOẠI 5 PALEET'!#REF!</definedName>
    <definedName name="VẬT_TƯ_FOAM_SOFA" localSheetId="12">'LOẠI 6'!#REF!</definedName>
    <definedName name="VẬT_TƯ_FOAM_SOFA" localSheetId="4">TC_CUA!#REF!</definedName>
    <definedName name="VẬT_TƯ_FOAM_SOFA" localSheetId="5">TC_KH!#REF!</definedName>
    <definedName name="VẬT_TƯ_FOAM_SOFA">'BOM_Phan II'!$D$200</definedName>
    <definedName name="VẬT_TƯ_GỖ__VẬT_TƯ_TẤM" localSheetId="8">'BOM_Phan V'!$D$13</definedName>
    <definedName name="VẬT_TƯ_GỖ__VẬT_TƯ_TẤM" localSheetId="6">'LOẠI 1'!$D$13</definedName>
    <definedName name="VẬT_TƯ_GỖ__VẬT_TƯ_TẤM" localSheetId="7">'LOẠI 2'!$D$13</definedName>
    <definedName name="VẬT_TƯ_GỖ__VẬT_TƯ_TẤM" localSheetId="9">'LOẠI 4'!$D$13</definedName>
    <definedName name="VẬT_TƯ_GỖ__VẬT_TƯ_TẤM" localSheetId="10">'LOẠI 5 AIR'!$D$13</definedName>
    <definedName name="VẬT_TƯ_GỖ__VẬT_TƯ_TẤM" localSheetId="11">'LOẠI 5 PALEET'!$D$13</definedName>
    <definedName name="VẬT_TƯ_GỖ__VẬT_TƯ_TẤM" localSheetId="12">'LOẠI 6'!$D$13</definedName>
    <definedName name="VẬT_TƯ_GỖ__VẬT_TƯ_TẤM" localSheetId="4">TC_CUA!$D$13</definedName>
    <definedName name="VẬT_TƯ_GỖ__VẬT_TƯ_TẤM" localSheetId="5">TC_KH!$D$13</definedName>
    <definedName name="VẬT_TƯ_GỖ__VẬT_TƯ_TẤM">'BOM_Phan II'!$D$12</definedName>
    <definedName name="VẬT_TƯ_PHỤ" localSheetId="3">'BOM_Phan IV'!$D$34</definedName>
    <definedName name="VẬT_TƯ_PHỤ">'BOM_Phan III'!$D$34</definedName>
    <definedName name="VẬT_TƯ_VẢI__DA__SIMILI" localSheetId="8">'BOM_Phan V'!#REF!</definedName>
    <definedName name="VẬT_TƯ_VẢI__DA__SIMILI" localSheetId="6">'LOẠI 1'!#REF!</definedName>
    <definedName name="VẬT_TƯ_VẢI__DA__SIMILI" localSheetId="7">'LOẠI 2'!#REF!</definedName>
    <definedName name="VẬT_TƯ_VẢI__DA__SIMILI" localSheetId="9">'LOẠI 4'!#REF!</definedName>
    <definedName name="VẬT_TƯ_VẢI__DA__SIMILI" localSheetId="10">'LOẠI 5 AIR'!#REF!</definedName>
    <definedName name="VẬT_TƯ_VẢI__DA__SIMILI" localSheetId="11">'LOẠI 5 PALEET'!#REF!</definedName>
    <definedName name="VẬT_TƯ_VẢI__DA__SIMILI" localSheetId="12">'LOẠI 6'!#REF!</definedName>
    <definedName name="VẬT_TƯ_VẢI__DA__SIMILI" localSheetId="4">TC_CUA!#REF!</definedName>
    <definedName name="VẬT_TƯ_VẢI__DA__SIMILI" localSheetId="5">TC_KH!#REF!</definedName>
    <definedName name="VẬT_TƯ_VẢI__DA__SIMILI">'BOM_Phan II'!$D$209</definedName>
  </definedNames>
  <calcPr calcId="191029"/>
  <pivotCaches>
    <pivotCache cacheId="1" r:id="rId1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51" i="1" l="1"/>
  <c r="X52" i="1"/>
  <c r="X53" i="1"/>
  <c r="X54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13" i="1"/>
  <c r="C202" i="1"/>
  <c r="C203" i="1"/>
  <c r="W203" i="1" s="1"/>
  <c r="C204" i="1"/>
  <c r="W204" i="1" s="1"/>
  <c r="C205" i="1"/>
  <c r="W205" i="1" s="1"/>
  <c r="C206" i="1"/>
  <c r="W206" i="1" s="1"/>
  <c r="C207" i="1"/>
  <c r="C208" i="1"/>
  <c r="Y204" i="1"/>
  <c r="T204" i="1"/>
  <c r="S204" i="1"/>
  <c r="R204" i="1"/>
  <c r="N204" i="1"/>
  <c r="U204" i="1" s="1"/>
  <c r="Y203" i="1"/>
  <c r="T203" i="1"/>
  <c r="S203" i="1"/>
  <c r="R203" i="1"/>
  <c r="N203" i="1"/>
  <c r="U203" i="1" s="1"/>
  <c r="Y206" i="1"/>
  <c r="T206" i="1"/>
  <c r="S206" i="1"/>
  <c r="R206" i="1"/>
  <c r="N206" i="1"/>
  <c r="U206" i="1" s="1"/>
  <c r="Y205" i="1"/>
  <c r="T205" i="1"/>
  <c r="S205" i="1"/>
  <c r="R205" i="1"/>
  <c r="N205" i="1"/>
  <c r="U205" i="1" s="1"/>
  <c r="C211" i="1"/>
  <c r="C213" i="1" s="1"/>
  <c r="C212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X16" i="1"/>
  <c r="X18" i="1"/>
  <c r="X21" i="1"/>
  <c r="X27" i="1"/>
  <c r="X29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5" i="1"/>
  <c r="X56" i="1"/>
  <c r="X57" i="1"/>
  <c r="X58" i="1"/>
  <c r="X59" i="1"/>
  <c r="X60" i="1"/>
  <c r="X61" i="1"/>
  <c r="X62" i="1"/>
  <c r="X63" i="1"/>
  <c r="X64" i="1"/>
  <c r="X66" i="1"/>
  <c r="X71" i="1"/>
  <c r="X73" i="1"/>
  <c r="X75" i="1"/>
  <c r="X80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13" i="1"/>
  <c r="Q3" i="26"/>
  <c r="P8" i="1"/>
  <c r="K9" i="27" s="1"/>
  <c r="T14" i="9"/>
  <c r="T15" i="9"/>
  <c r="T16" i="9"/>
  <c r="T17" i="9"/>
  <c r="T18" i="9"/>
  <c r="T19" i="9"/>
  <c r="T20" i="9"/>
  <c r="T21" i="9"/>
  <c r="T22" i="9"/>
  <c r="T23" i="9"/>
  <c r="T24" i="9"/>
  <c r="T25" i="9"/>
  <c r="T26" i="9"/>
  <c r="T27" i="9"/>
  <c r="T28" i="9"/>
  <c r="T29" i="9"/>
  <c r="T30" i="9"/>
  <c r="T31" i="9"/>
  <c r="T32" i="9"/>
  <c r="T33" i="9"/>
  <c r="T34" i="9"/>
  <c r="T35" i="9"/>
  <c r="T36" i="9"/>
  <c r="T37" i="9"/>
  <c r="T38" i="9"/>
  <c r="T39" i="9"/>
  <c r="T40" i="9"/>
  <c r="T41" i="9"/>
  <c r="T42" i="9"/>
  <c r="T43" i="9"/>
  <c r="T44" i="9"/>
  <c r="T45" i="9"/>
  <c r="T46" i="9"/>
  <c r="T47" i="9"/>
  <c r="T48" i="9"/>
  <c r="T49" i="9"/>
  <c r="T50" i="9"/>
  <c r="T51" i="9"/>
  <c r="T52" i="9"/>
  <c r="T53" i="9"/>
  <c r="T54" i="9"/>
  <c r="T55" i="9"/>
  <c r="T56" i="9"/>
  <c r="T57" i="9"/>
  <c r="T58" i="9"/>
  <c r="T59" i="9"/>
  <c r="T60" i="9"/>
  <c r="T61" i="9"/>
  <c r="T62" i="9"/>
  <c r="T63" i="9"/>
  <c r="T64" i="9"/>
  <c r="T65" i="9"/>
  <c r="T66" i="9"/>
  <c r="T67" i="9"/>
  <c r="T68" i="9"/>
  <c r="T69" i="9"/>
  <c r="T70" i="9"/>
  <c r="T71" i="9"/>
  <c r="T72" i="9"/>
  <c r="T73" i="9"/>
  <c r="T74" i="9"/>
  <c r="T75" i="9"/>
  <c r="T76" i="9"/>
  <c r="T77" i="9"/>
  <c r="T78" i="9"/>
  <c r="T79" i="9"/>
  <c r="T80" i="9"/>
  <c r="T81" i="9"/>
  <c r="T82" i="9"/>
  <c r="T83" i="9"/>
  <c r="T84" i="9"/>
  <c r="T85" i="9"/>
  <c r="T86" i="9"/>
  <c r="T87" i="9"/>
  <c r="T88" i="9"/>
  <c r="T89" i="9"/>
  <c r="T90" i="9"/>
  <c r="T91" i="9"/>
  <c r="T92" i="9"/>
  <c r="T93" i="9"/>
  <c r="T94" i="9"/>
  <c r="T95" i="9"/>
  <c r="T96" i="9"/>
  <c r="T97" i="9"/>
  <c r="T98" i="9"/>
  <c r="T99" i="9"/>
  <c r="T100" i="9"/>
  <c r="T101" i="9"/>
  <c r="T102" i="9"/>
  <c r="T103" i="9"/>
  <c r="T104" i="9"/>
  <c r="T105" i="9"/>
  <c r="T106" i="9"/>
  <c r="T107" i="9"/>
  <c r="T108" i="9"/>
  <c r="T109" i="9"/>
  <c r="T110" i="9"/>
  <c r="T111" i="9"/>
  <c r="T112" i="9"/>
  <c r="T113" i="9"/>
  <c r="T114" i="9"/>
  <c r="T115" i="9"/>
  <c r="T116" i="9"/>
  <c r="T117" i="9"/>
  <c r="T118" i="9"/>
  <c r="T119" i="9"/>
  <c r="T120" i="9"/>
  <c r="T121" i="9"/>
  <c r="T122" i="9"/>
  <c r="T123" i="9"/>
  <c r="T124" i="9"/>
  <c r="T125" i="9"/>
  <c r="T126" i="9"/>
  <c r="T127" i="9"/>
  <c r="T128" i="9"/>
  <c r="T129" i="9"/>
  <c r="T130" i="9"/>
  <c r="T131" i="9"/>
  <c r="T132" i="9"/>
  <c r="T133" i="9"/>
  <c r="T134" i="9"/>
  <c r="T135" i="9"/>
  <c r="T136" i="9"/>
  <c r="T137" i="9"/>
  <c r="T138" i="9"/>
  <c r="T139" i="9"/>
  <c r="T140" i="9"/>
  <c r="T141" i="9"/>
  <c r="T142" i="9"/>
  <c r="T143" i="9"/>
  <c r="T144" i="9"/>
  <c r="T145" i="9"/>
  <c r="T146" i="9"/>
  <c r="T147" i="9"/>
  <c r="T148" i="9"/>
  <c r="T149" i="9"/>
  <c r="T150" i="9"/>
  <c r="T151" i="9"/>
  <c r="T152" i="9"/>
  <c r="T153" i="9"/>
  <c r="T154" i="9"/>
  <c r="T155" i="9"/>
  <c r="T156" i="9"/>
  <c r="T157" i="9"/>
  <c r="T158" i="9"/>
  <c r="T159" i="9"/>
  <c r="T160" i="9"/>
  <c r="T161" i="9"/>
  <c r="T162" i="9"/>
  <c r="T163" i="9"/>
  <c r="T164" i="9"/>
  <c r="T165" i="9"/>
  <c r="T166" i="9"/>
  <c r="T167" i="9"/>
  <c r="T168" i="9"/>
  <c r="T169" i="9"/>
  <c r="T170" i="9"/>
  <c r="T171" i="9"/>
  <c r="T172" i="9"/>
  <c r="T173" i="9"/>
  <c r="T174" i="9"/>
  <c r="T175" i="9"/>
  <c r="T176" i="9"/>
  <c r="T177" i="9"/>
  <c r="T178" i="9"/>
  <c r="T179" i="9"/>
  <c r="T180" i="9"/>
  <c r="T181" i="9"/>
  <c r="T182" i="9"/>
  <c r="T183" i="9"/>
  <c r="T184" i="9"/>
  <c r="T185" i="9"/>
  <c r="T186" i="9"/>
  <c r="T187" i="9"/>
  <c r="T188" i="9"/>
  <c r="T189" i="9"/>
  <c r="T190" i="9"/>
  <c r="T191" i="9"/>
  <c r="T192" i="9"/>
  <c r="T193" i="9"/>
  <c r="T194" i="9"/>
  <c r="T195" i="9"/>
  <c r="T196" i="9"/>
  <c r="T197" i="9"/>
  <c r="T198" i="9"/>
  <c r="T199" i="9"/>
  <c r="T200" i="9"/>
  <c r="T201" i="9"/>
  <c r="T202" i="9"/>
  <c r="T203" i="9"/>
  <c r="T204" i="9"/>
  <c r="T205" i="9"/>
  <c r="T206" i="9"/>
  <c r="T207" i="9"/>
  <c r="T208" i="9"/>
  <c r="T209" i="9"/>
  <c r="T210" i="9"/>
  <c r="T211" i="9"/>
  <c r="T212" i="9"/>
  <c r="T213" i="9"/>
  <c r="T214" i="9"/>
  <c r="T215" i="9"/>
  <c r="T216" i="9"/>
  <c r="T217" i="9"/>
  <c r="T218" i="9"/>
  <c r="T219" i="9"/>
  <c r="T220" i="9"/>
  <c r="T221" i="9"/>
  <c r="T222" i="9"/>
  <c r="T223" i="9"/>
  <c r="T224" i="9"/>
  <c r="T225" i="9"/>
  <c r="T226" i="9"/>
  <c r="T227" i="9"/>
  <c r="T228" i="9"/>
  <c r="T229" i="9"/>
  <c r="T230" i="9"/>
  <c r="T231" i="9"/>
  <c r="T232" i="9"/>
  <c r="T233" i="9"/>
  <c r="T234" i="9"/>
  <c r="T235" i="9"/>
  <c r="T236" i="9"/>
  <c r="T237" i="9"/>
  <c r="T238" i="9"/>
  <c r="T239" i="9"/>
  <c r="T240" i="9"/>
  <c r="T241" i="9"/>
  <c r="T242" i="9"/>
  <c r="T243" i="9"/>
  <c r="T244" i="9"/>
  <c r="T245" i="9"/>
  <c r="T246" i="9"/>
  <c r="T247" i="9"/>
  <c r="T248" i="9"/>
  <c r="T249" i="9"/>
  <c r="T250" i="9"/>
  <c r="T251" i="9"/>
  <c r="T252" i="9"/>
  <c r="T253" i="9"/>
  <c r="T254" i="9"/>
  <c r="T255" i="9"/>
  <c r="T256" i="9"/>
  <c r="T257" i="9"/>
  <c r="T258" i="9"/>
  <c r="T259" i="9"/>
  <c r="T260" i="9"/>
  <c r="T261" i="9"/>
  <c r="T262" i="9"/>
  <c r="T263" i="9"/>
  <c r="T264" i="9"/>
  <c r="T265" i="9"/>
  <c r="T266" i="9"/>
  <c r="T267" i="9"/>
  <c r="T268" i="9"/>
  <c r="T269" i="9"/>
  <c r="T270" i="9"/>
  <c r="T271" i="9"/>
  <c r="T272" i="9"/>
  <c r="T273" i="9"/>
  <c r="T274" i="9"/>
  <c r="T275" i="9"/>
  <c r="T276" i="9"/>
  <c r="T277" i="9"/>
  <c r="T278" i="9"/>
  <c r="T279" i="9"/>
  <c r="T280" i="9"/>
  <c r="T281" i="9"/>
  <c r="T282" i="9"/>
  <c r="T283" i="9"/>
  <c r="T284" i="9"/>
  <c r="T285" i="9"/>
  <c r="T286" i="9"/>
  <c r="T287" i="9"/>
  <c r="T288" i="9"/>
  <c r="T289" i="9"/>
  <c r="T290" i="9"/>
  <c r="T291" i="9"/>
  <c r="T292" i="9"/>
  <c r="T293" i="9"/>
  <c r="T294" i="9"/>
  <c r="T295" i="9"/>
  <c r="T296" i="9"/>
  <c r="T297" i="9"/>
  <c r="T298" i="9"/>
  <c r="T299" i="9"/>
  <c r="T300" i="9"/>
  <c r="T301" i="9"/>
  <c r="T302" i="9"/>
  <c r="T303" i="9"/>
  <c r="T304" i="9"/>
  <c r="T305" i="9"/>
  <c r="T306" i="9"/>
  <c r="T307" i="9"/>
  <c r="T308" i="9"/>
  <c r="T309" i="9"/>
  <c r="T310" i="9"/>
  <c r="T311" i="9"/>
  <c r="T312" i="9"/>
  <c r="T313" i="9"/>
  <c r="T314" i="9"/>
  <c r="T315" i="9"/>
  <c r="T316" i="9"/>
  <c r="T317" i="9"/>
  <c r="T318" i="9"/>
  <c r="T319" i="9"/>
  <c r="T320" i="9"/>
  <c r="T321" i="9"/>
  <c r="T322" i="9"/>
  <c r="T323" i="9"/>
  <c r="T324" i="9"/>
  <c r="T325" i="9"/>
  <c r="T326" i="9"/>
  <c r="T327" i="9"/>
  <c r="T328" i="9"/>
  <c r="T329" i="9"/>
  <c r="T330" i="9"/>
  <c r="T331" i="9"/>
  <c r="T332" i="9"/>
  <c r="T333" i="9"/>
  <c r="T334" i="9"/>
  <c r="T335" i="9"/>
  <c r="T336" i="9"/>
  <c r="T337" i="9"/>
  <c r="T338" i="9"/>
  <c r="T339" i="9"/>
  <c r="T340" i="9"/>
  <c r="T341" i="9"/>
  <c r="T342" i="9"/>
  <c r="T343" i="9"/>
  <c r="T344" i="9"/>
  <c r="T345" i="9"/>
  <c r="T346" i="9"/>
  <c r="T347" i="9"/>
  <c r="T348" i="9"/>
  <c r="T349" i="9"/>
  <c r="T350" i="9"/>
  <c r="T351" i="9"/>
  <c r="T352" i="9"/>
  <c r="T353" i="9"/>
  <c r="T354" i="9"/>
  <c r="T355" i="9"/>
  <c r="T356" i="9"/>
  <c r="T357" i="9"/>
  <c r="T358" i="9"/>
  <c r="T359" i="9"/>
  <c r="T360" i="9"/>
  <c r="T361" i="9"/>
  <c r="T362" i="9"/>
  <c r="T363" i="9"/>
  <c r="T364" i="9"/>
  <c r="T365" i="9"/>
  <c r="T366" i="9"/>
  <c r="T367" i="9"/>
  <c r="T368" i="9"/>
  <c r="T369" i="9"/>
  <c r="T370" i="9"/>
  <c r="T371" i="9"/>
  <c r="T372" i="9"/>
  <c r="T373" i="9"/>
  <c r="T374" i="9"/>
  <c r="T375" i="9"/>
  <c r="T376" i="9"/>
  <c r="T377" i="9"/>
  <c r="T378" i="9"/>
  <c r="T379" i="9"/>
  <c r="T380" i="9"/>
  <c r="T381" i="9"/>
  <c r="T382" i="9"/>
  <c r="T383" i="9"/>
  <c r="T384" i="9"/>
  <c r="T385" i="9"/>
  <c r="T386" i="9"/>
  <c r="T387" i="9"/>
  <c r="T388" i="9"/>
  <c r="T389" i="9"/>
  <c r="T390" i="9"/>
  <c r="T391" i="9"/>
  <c r="T392" i="9"/>
  <c r="T393" i="9"/>
  <c r="T394" i="9"/>
  <c r="T395" i="9"/>
  <c r="T396" i="9"/>
  <c r="T397" i="9"/>
  <c r="T398" i="9"/>
  <c r="T399" i="9"/>
  <c r="T400" i="9"/>
  <c r="T401" i="9"/>
  <c r="T402" i="9"/>
  <c r="T403" i="9"/>
  <c r="T404" i="9"/>
  <c r="T405" i="9"/>
  <c r="T406" i="9"/>
  <c r="T407" i="9"/>
  <c r="T408" i="9"/>
  <c r="T409" i="9"/>
  <c r="T410" i="9"/>
  <c r="T411" i="9"/>
  <c r="T412" i="9"/>
  <c r="T413" i="9"/>
  <c r="T414" i="9"/>
  <c r="T415" i="9"/>
  <c r="T416" i="9"/>
  <c r="T417" i="9"/>
  <c r="T418" i="9"/>
  <c r="T419" i="9"/>
  <c r="T420" i="9"/>
  <c r="T421" i="9"/>
  <c r="T422" i="9"/>
  <c r="T423" i="9"/>
  <c r="T424" i="9"/>
  <c r="T425" i="9"/>
  <c r="T426" i="9"/>
  <c r="T427" i="9"/>
  <c r="T428" i="9"/>
  <c r="T429" i="9"/>
  <c r="T430" i="9"/>
  <c r="T431" i="9"/>
  <c r="T432" i="9"/>
  <c r="T433" i="9"/>
  <c r="T434" i="9"/>
  <c r="T435" i="9"/>
  <c r="T436" i="9"/>
  <c r="T437" i="9"/>
  <c r="T438" i="9"/>
  <c r="T439" i="9"/>
  <c r="T440" i="9"/>
  <c r="T441" i="9"/>
  <c r="T442" i="9"/>
  <c r="T443" i="9"/>
  <c r="T444" i="9"/>
  <c r="T445" i="9"/>
  <c r="T446" i="9"/>
  <c r="T447" i="9"/>
  <c r="T448" i="9"/>
  <c r="T449" i="9"/>
  <c r="T450" i="9"/>
  <c r="T451" i="9"/>
  <c r="T452" i="9"/>
  <c r="T453" i="9"/>
  <c r="T454" i="9"/>
  <c r="T455" i="9"/>
  <c r="T456" i="9"/>
  <c r="T457" i="9"/>
  <c r="T458" i="9"/>
  <c r="T459" i="9"/>
  <c r="T460" i="9"/>
  <c r="T461" i="9"/>
  <c r="T462" i="9"/>
  <c r="T463" i="9"/>
  <c r="T464" i="9"/>
  <c r="T465" i="9"/>
  <c r="T466" i="9"/>
  <c r="T467" i="9"/>
  <c r="T468" i="9"/>
  <c r="T469" i="9"/>
  <c r="T470" i="9"/>
  <c r="T471" i="9"/>
  <c r="T472" i="9"/>
  <c r="T473" i="9"/>
  <c r="T474" i="9"/>
  <c r="T475" i="9"/>
  <c r="T476" i="9"/>
  <c r="T477" i="9"/>
  <c r="T478" i="9"/>
  <c r="T479" i="9"/>
  <c r="T480" i="9"/>
  <c r="T481" i="9"/>
  <c r="T482" i="9"/>
  <c r="T483" i="9"/>
  <c r="T484" i="9"/>
  <c r="T485" i="9"/>
  <c r="T486" i="9"/>
  <c r="T487" i="9"/>
  <c r="T488" i="9"/>
  <c r="T489" i="9"/>
  <c r="T490" i="9"/>
  <c r="T491" i="9"/>
  <c r="T492" i="9"/>
  <c r="T493" i="9"/>
  <c r="T494" i="9"/>
  <c r="T495" i="9"/>
  <c r="T496" i="9"/>
  <c r="T497" i="9"/>
  <c r="T498" i="9"/>
  <c r="T499" i="9"/>
  <c r="T500" i="9"/>
  <c r="T501" i="9"/>
  <c r="T502" i="9"/>
  <c r="T503" i="9"/>
  <c r="T504" i="9"/>
  <c r="T505" i="9"/>
  <c r="T506" i="9"/>
  <c r="T507" i="9"/>
  <c r="T508" i="9"/>
  <c r="T509" i="9"/>
  <c r="T510" i="9"/>
  <c r="T511" i="9"/>
  <c r="T512" i="9"/>
  <c r="T513" i="9"/>
  <c r="T514" i="9"/>
  <c r="T515" i="9"/>
  <c r="T516" i="9"/>
  <c r="T517" i="9"/>
  <c r="T518" i="9"/>
  <c r="T519" i="9"/>
  <c r="T520" i="9"/>
  <c r="T521" i="9"/>
  <c r="T522" i="9"/>
  <c r="T523" i="9"/>
  <c r="T524" i="9"/>
  <c r="T525" i="9"/>
  <c r="T526" i="9"/>
  <c r="T527" i="9"/>
  <c r="T528" i="9"/>
  <c r="T529" i="9"/>
  <c r="T530" i="9"/>
  <c r="T531" i="9"/>
  <c r="T532" i="9"/>
  <c r="T533" i="9"/>
  <c r="T534" i="9"/>
  <c r="T535" i="9"/>
  <c r="T536" i="9"/>
  <c r="T537" i="9"/>
  <c r="T538" i="9"/>
  <c r="T539" i="9"/>
  <c r="T540" i="9"/>
  <c r="T541" i="9"/>
  <c r="T542" i="9"/>
  <c r="T543" i="9"/>
  <c r="T544" i="9"/>
  <c r="T545" i="9"/>
  <c r="T546" i="9"/>
  <c r="T547" i="9"/>
  <c r="T548" i="9"/>
  <c r="T549" i="9"/>
  <c r="T550" i="9"/>
  <c r="T551" i="9"/>
  <c r="T552" i="9"/>
  <c r="T553" i="9"/>
  <c r="T554" i="9"/>
  <c r="T555" i="9"/>
  <c r="T556" i="9"/>
  <c r="T557" i="9"/>
  <c r="T558" i="9"/>
  <c r="T559" i="9"/>
  <c r="T560" i="9"/>
  <c r="T561" i="9"/>
  <c r="T562" i="9"/>
  <c r="T563" i="9"/>
  <c r="T564" i="9"/>
  <c r="T565" i="9"/>
  <c r="T566" i="9"/>
  <c r="T567" i="9"/>
  <c r="T568" i="9"/>
  <c r="T569" i="9"/>
  <c r="T570" i="9"/>
  <c r="T571" i="9"/>
  <c r="T572" i="9"/>
  <c r="T573" i="9"/>
  <c r="T574" i="9"/>
  <c r="T575" i="9"/>
  <c r="T576" i="9"/>
  <c r="T577" i="9"/>
  <c r="T578" i="9"/>
  <c r="T579" i="9"/>
  <c r="T580" i="9"/>
  <c r="T581" i="9"/>
  <c r="T582" i="9"/>
  <c r="T583" i="9"/>
  <c r="T584" i="9"/>
  <c r="T585" i="9"/>
  <c r="T586" i="9"/>
  <c r="T587" i="9"/>
  <c r="T588" i="9"/>
  <c r="T589" i="9"/>
  <c r="T590" i="9"/>
  <c r="T591" i="9"/>
  <c r="T592" i="9"/>
  <c r="T593" i="9"/>
  <c r="T594" i="9"/>
  <c r="T595" i="9"/>
  <c r="T596" i="9"/>
  <c r="T597" i="9"/>
  <c r="T598" i="9"/>
  <c r="T599" i="9"/>
  <c r="T600" i="9"/>
  <c r="T601" i="9"/>
  <c r="T602" i="9"/>
  <c r="T603" i="9"/>
  <c r="T604" i="9"/>
  <c r="T605" i="9"/>
  <c r="T606" i="9"/>
  <c r="T607" i="9"/>
  <c r="T608" i="9"/>
  <c r="T609" i="9"/>
  <c r="T610" i="9"/>
  <c r="T611" i="9"/>
  <c r="T612" i="9"/>
  <c r="T613" i="9"/>
  <c r="T614" i="9"/>
  <c r="T615" i="9"/>
  <c r="T616" i="9"/>
  <c r="T617" i="9"/>
  <c r="T618" i="9"/>
  <c r="T619" i="9"/>
  <c r="T620" i="9"/>
  <c r="T621" i="9"/>
  <c r="T622" i="9"/>
  <c r="T623" i="9"/>
  <c r="T624" i="9"/>
  <c r="T625" i="9"/>
  <c r="T626" i="9"/>
  <c r="T627" i="9"/>
  <c r="T628" i="9"/>
  <c r="T629" i="9"/>
  <c r="T630" i="9"/>
  <c r="T631" i="9"/>
  <c r="T632" i="9"/>
  <c r="T633" i="9"/>
  <c r="T634" i="9"/>
  <c r="T635" i="9"/>
  <c r="T636" i="9"/>
  <c r="T637" i="9"/>
  <c r="T638" i="9"/>
  <c r="T639" i="9"/>
  <c r="T640" i="9"/>
  <c r="T641" i="9"/>
  <c r="T642" i="9"/>
  <c r="T643" i="9"/>
  <c r="T644" i="9"/>
  <c r="T645" i="9"/>
  <c r="T646" i="9"/>
  <c r="T647" i="9"/>
  <c r="T648" i="9"/>
  <c r="T649" i="9"/>
  <c r="T650" i="9"/>
  <c r="T651" i="9"/>
  <c r="T652" i="9"/>
  <c r="T653" i="9"/>
  <c r="T654" i="9"/>
  <c r="T655" i="9"/>
  <c r="T656" i="9"/>
  <c r="T657" i="9"/>
  <c r="T658" i="9"/>
  <c r="T659" i="9"/>
  <c r="T660" i="9"/>
  <c r="T661" i="9"/>
  <c r="T662" i="9"/>
  <c r="T663" i="9"/>
  <c r="T664" i="9"/>
  <c r="T665" i="9"/>
  <c r="T666" i="9"/>
  <c r="T667" i="9"/>
  <c r="T668" i="9"/>
  <c r="T669" i="9"/>
  <c r="T670" i="9"/>
  <c r="T671" i="9"/>
  <c r="T672" i="9"/>
  <c r="T673" i="9"/>
  <c r="T674" i="9"/>
  <c r="T675" i="9"/>
  <c r="T676" i="9"/>
  <c r="T677" i="9"/>
  <c r="T678" i="9"/>
  <c r="T679" i="9"/>
  <c r="T680" i="9"/>
  <c r="T681" i="9"/>
  <c r="T682" i="9"/>
  <c r="T683" i="9"/>
  <c r="T684" i="9"/>
  <c r="T685" i="9"/>
  <c r="T686" i="9"/>
  <c r="T687" i="9"/>
  <c r="T688" i="9"/>
  <c r="T689" i="9"/>
  <c r="T690" i="9"/>
  <c r="T691" i="9"/>
  <c r="T692" i="9"/>
  <c r="T693" i="9"/>
  <c r="T694" i="9"/>
  <c r="T695" i="9"/>
  <c r="T696" i="9"/>
  <c r="T697" i="9"/>
  <c r="T698" i="9"/>
  <c r="T699" i="9"/>
  <c r="T700" i="9"/>
  <c r="T701" i="9"/>
  <c r="T702" i="9"/>
  <c r="T703" i="9"/>
  <c r="T704" i="9"/>
  <c r="T705" i="9"/>
  <c r="T706" i="9"/>
  <c r="T707" i="9"/>
  <c r="T708" i="9"/>
  <c r="T709" i="9"/>
  <c r="T710" i="9"/>
  <c r="T711" i="9"/>
  <c r="T712" i="9"/>
  <c r="T713" i="9"/>
  <c r="T714" i="9"/>
  <c r="T715" i="9"/>
  <c r="T716" i="9"/>
  <c r="T717" i="9"/>
  <c r="T718" i="9"/>
  <c r="T719" i="9"/>
  <c r="T720" i="9"/>
  <c r="T721" i="9"/>
  <c r="T722" i="9"/>
  <c r="T723" i="9"/>
  <c r="T724" i="9"/>
  <c r="T725" i="9"/>
  <c r="T726" i="9"/>
  <c r="T727" i="9"/>
  <c r="T728" i="9"/>
  <c r="T729" i="9"/>
  <c r="T730" i="9"/>
  <c r="T731" i="9"/>
  <c r="T732" i="9"/>
  <c r="T733" i="9"/>
  <c r="T734" i="9"/>
  <c r="T735" i="9"/>
  <c r="T736" i="9"/>
  <c r="T737" i="9"/>
  <c r="T738" i="9"/>
  <c r="T739" i="9"/>
  <c r="T740" i="9"/>
  <c r="T741" i="9"/>
  <c r="T742" i="9"/>
  <c r="T743" i="9"/>
  <c r="T744" i="9"/>
  <c r="T745" i="9"/>
  <c r="T746" i="9"/>
  <c r="T747" i="9"/>
  <c r="T748" i="9"/>
  <c r="T749" i="9"/>
  <c r="T750" i="9"/>
  <c r="T751" i="9"/>
  <c r="T752" i="9"/>
  <c r="T753" i="9"/>
  <c r="T754" i="9"/>
  <c r="T755" i="9"/>
  <c r="T756" i="9"/>
  <c r="T757" i="9"/>
  <c r="T758" i="9"/>
  <c r="T759" i="9"/>
  <c r="T760" i="9"/>
  <c r="T761" i="9"/>
  <c r="T762" i="9"/>
  <c r="T763" i="9"/>
  <c r="T764" i="9"/>
  <c r="T765" i="9"/>
  <c r="T766" i="9"/>
  <c r="T767" i="9"/>
  <c r="T768" i="9"/>
  <c r="T769" i="9"/>
  <c r="T770" i="9"/>
  <c r="T771" i="9"/>
  <c r="T772" i="9"/>
  <c r="T773" i="9"/>
  <c r="T774" i="9"/>
  <c r="T775" i="9"/>
  <c r="T776" i="9"/>
  <c r="T777" i="9"/>
  <c r="T778" i="9"/>
  <c r="T779" i="9"/>
  <c r="T780" i="9"/>
  <c r="T781" i="9"/>
  <c r="T782" i="9"/>
  <c r="T783" i="9"/>
  <c r="T784" i="9"/>
  <c r="T785" i="9"/>
  <c r="T786" i="9"/>
  <c r="T787" i="9"/>
  <c r="T788" i="9"/>
  <c r="T789" i="9"/>
  <c r="T790" i="9"/>
  <c r="T791" i="9"/>
  <c r="T792" i="9"/>
  <c r="T793" i="9"/>
  <c r="T794" i="9"/>
  <c r="T795" i="9"/>
  <c r="T796" i="9"/>
  <c r="T797" i="9"/>
  <c r="T798" i="9"/>
  <c r="T799" i="9"/>
  <c r="T800" i="9"/>
  <c r="T801" i="9"/>
  <c r="T802" i="9"/>
  <c r="T803" i="9"/>
  <c r="T804" i="9"/>
  <c r="T805" i="9"/>
  <c r="T806" i="9"/>
  <c r="T807" i="9"/>
  <c r="T808" i="9"/>
  <c r="T809" i="9"/>
  <c r="T810" i="9"/>
  <c r="T811" i="9"/>
  <c r="T812" i="9"/>
  <c r="T813" i="9"/>
  <c r="T814" i="9"/>
  <c r="T815" i="9"/>
  <c r="T816" i="9"/>
  <c r="T817" i="9"/>
  <c r="T818" i="9"/>
  <c r="T819" i="9"/>
  <c r="T820" i="9"/>
  <c r="T821" i="9"/>
  <c r="T822" i="9"/>
  <c r="T823" i="9"/>
  <c r="T824" i="9"/>
  <c r="T825" i="9"/>
  <c r="T826" i="9"/>
  <c r="T827" i="9"/>
  <c r="T828" i="9"/>
  <c r="T829" i="9"/>
  <c r="T830" i="9"/>
  <c r="T831" i="9"/>
  <c r="T832" i="9"/>
  <c r="T833" i="9"/>
  <c r="T834" i="9"/>
  <c r="T835" i="9"/>
  <c r="T836" i="9"/>
  <c r="T837" i="9"/>
  <c r="T838" i="9"/>
  <c r="T839" i="9"/>
  <c r="T840" i="9"/>
  <c r="T841" i="9"/>
  <c r="T842" i="9"/>
  <c r="T843" i="9"/>
  <c r="T844" i="9"/>
  <c r="T845" i="9"/>
  <c r="T846" i="9"/>
  <c r="T847" i="9"/>
  <c r="T848" i="9"/>
  <c r="T849" i="9"/>
  <c r="T850" i="9"/>
  <c r="T851" i="9"/>
  <c r="T852" i="9"/>
  <c r="T853" i="9"/>
  <c r="T854" i="9"/>
  <c r="T855" i="9"/>
  <c r="T856" i="9"/>
  <c r="T857" i="9"/>
  <c r="T858" i="9"/>
  <c r="T859" i="9"/>
  <c r="T860" i="9"/>
  <c r="T861" i="9"/>
  <c r="T862" i="9"/>
  <c r="T863" i="9"/>
  <c r="T864" i="9"/>
  <c r="T865" i="9"/>
  <c r="T866" i="9"/>
  <c r="T867" i="9"/>
  <c r="T868" i="9"/>
  <c r="T869" i="9"/>
  <c r="T870" i="9"/>
  <c r="T871" i="9"/>
  <c r="T872" i="9"/>
  <c r="T873" i="9"/>
  <c r="T874" i="9"/>
  <c r="T875" i="9"/>
  <c r="T876" i="9"/>
  <c r="T877" i="9"/>
  <c r="T878" i="9"/>
  <c r="T879" i="9"/>
  <c r="T880" i="9"/>
  <c r="T881" i="9"/>
  <c r="T882" i="9"/>
  <c r="T883" i="9"/>
  <c r="T884" i="9"/>
  <c r="T885" i="9"/>
  <c r="T886" i="9"/>
  <c r="T887" i="9"/>
  <c r="T888" i="9"/>
  <c r="T889" i="9"/>
  <c r="T890" i="9"/>
  <c r="T891" i="9"/>
  <c r="T892" i="9"/>
  <c r="T893" i="9"/>
  <c r="T894" i="9"/>
  <c r="T895" i="9"/>
  <c r="T896" i="9"/>
  <c r="T897" i="9"/>
  <c r="T898" i="9"/>
  <c r="T899" i="9"/>
  <c r="T900" i="9"/>
  <c r="T901" i="9"/>
  <c r="T902" i="9"/>
  <c r="T903" i="9"/>
  <c r="T904" i="9"/>
  <c r="T905" i="9"/>
  <c r="T906" i="9"/>
  <c r="T907" i="9"/>
  <c r="T908" i="9"/>
  <c r="T909" i="9"/>
  <c r="T910" i="9"/>
  <c r="T911" i="9"/>
  <c r="T912" i="9"/>
  <c r="T913" i="9"/>
  <c r="T914" i="9"/>
  <c r="T915" i="9"/>
  <c r="T916" i="9"/>
  <c r="T917" i="9"/>
  <c r="T918" i="9"/>
  <c r="T919" i="9"/>
  <c r="T920" i="9"/>
  <c r="T921" i="9"/>
  <c r="T922" i="9"/>
  <c r="T923" i="9"/>
  <c r="T924" i="9"/>
  <c r="T925" i="9"/>
  <c r="T926" i="9"/>
  <c r="T927" i="9"/>
  <c r="T928" i="9"/>
  <c r="T929" i="9"/>
  <c r="T930" i="9"/>
  <c r="T931" i="9"/>
  <c r="T932" i="9"/>
  <c r="T933" i="9"/>
  <c r="T934" i="9"/>
  <c r="T935" i="9"/>
  <c r="T936" i="9"/>
  <c r="T937" i="9"/>
  <c r="T938" i="9"/>
  <c r="T939" i="9"/>
  <c r="T940" i="9"/>
  <c r="T941" i="9"/>
  <c r="T942" i="9"/>
  <c r="T943" i="9"/>
  <c r="T944" i="9"/>
  <c r="T945" i="9"/>
  <c r="T946" i="9"/>
  <c r="T947" i="9"/>
  <c r="T948" i="9"/>
  <c r="T949" i="9"/>
  <c r="T950" i="9"/>
  <c r="T951" i="9"/>
  <c r="T952" i="9"/>
  <c r="T953" i="9"/>
  <c r="T954" i="9"/>
  <c r="T955" i="9"/>
  <c r="T956" i="9"/>
  <c r="T957" i="9"/>
  <c r="T958" i="9"/>
  <c r="T959" i="9"/>
  <c r="T960" i="9"/>
  <c r="T961" i="9"/>
  <c r="T962" i="9"/>
  <c r="T963" i="9"/>
  <c r="T964" i="9"/>
  <c r="T965" i="9"/>
  <c r="T966" i="9"/>
  <c r="T967" i="9"/>
  <c r="T968" i="9"/>
  <c r="T969" i="9"/>
  <c r="T970" i="9"/>
  <c r="T971" i="9"/>
  <c r="T972" i="9"/>
  <c r="T973" i="9"/>
  <c r="T974" i="9"/>
  <c r="T975" i="9"/>
  <c r="T976" i="9"/>
  <c r="T977" i="9"/>
  <c r="T978" i="9"/>
  <c r="T979" i="9"/>
  <c r="T980" i="9"/>
  <c r="T981" i="9"/>
  <c r="T982" i="9"/>
  <c r="T983" i="9"/>
  <c r="T984" i="9"/>
  <c r="T985" i="9"/>
  <c r="T986" i="9"/>
  <c r="T987" i="9"/>
  <c r="T988" i="9"/>
  <c r="T989" i="9"/>
  <c r="T990" i="9"/>
  <c r="T991" i="9"/>
  <c r="T992" i="9"/>
  <c r="T993" i="9"/>
  <c r="T994" i="9"/>
  <c r="T995" i="9"/>
  <c r="T996" i="9"/>
  <c r="T997" i="9"/>
  <c r="T998" i="9"/>
  <c r="T999" i="9"/>
  <c r="T1000" i="9"/>
  <c r="T1001" i="9"/>
  <c r="T1002" i="9"/>
  <c r="T1003" i="9"/>
  <c r="T1004" i="9"/>
  <c r="T1005" i="9"/>
  <c r="T1006" i="9"/>
  <c r="T1007" i="9"/>
  <c r="T1008" i="9"/>
  <c r="T1009" i="9"/>
  <c r="T1010" i="9"/>
  <c r="T1011" i="9"/>
  <c r="T1012" i="9"/>
  <c r="T1013" i="9"/>
  <c r="T1014" i="9"/>
  <c r="T1015" i="9"/>
  <c r="T1016" i="9"/>
  <c r="T1017" i="9"/>
  <c r="T1018" i="9"/>
  <c r="T1019" i="9"/>
  <c r="T1020" i="9"/>
  <c r="T1021" i="9"/>
  <c r="T1022" i="9"/>
  <c r="T1023" i="9"/>
  <c r="T1024" i="9"/>
  <c r="T1025" i="9"/>
  <c r="T1026" i="9"/>
  <c r="T1027" i="9"/>
  <c r="T1028" i="9"/>
  <c r="T1029" i="9"/>
  <c r="T1030" i="9"/>
  <c r="T1031" i="9"/>
  <c r="T1032" i="9"/>
  <c r="T1033" i="9"/>
  <c r="T1034" i="9"/>
  <c r="T1035" i="9"/>
  <c r="T1036" i="9"/>
  <c r="T1037" i="9"/>
  <c r="T1038" i="9"/>
  <c r="T1039" i="9"/>
  <c r="T1040" i="9"/>
  <c r="T1041" i="9"/>
  <c r="T1042" i="9"/>
  <c r="T1043" i="9"/>
  <c r="T1044" i="9"/>
  <c r="T1045" i="9"/>
  <c r="T1046" i="9"/>
  <c r="T1047" i="9"/>
  <c r="T1048" i="9"/>
  <c r="T1049" i="9"/>
  <c r="T1050" i="9"/>
  <c r="T1051" i="9"/>
  <c r="T1052" i="9"/>
  <c r="T1053" i="9"/>
  <c r="T1054" i="9"/>
  <c r="T1055" i="9"/>
  <c r="T1056" i="9"/>
  <c r="T1057" i="9"/>
  <c r="T1058" i="9"/>
  <c r="T1059" i="9"/>
  <c r="T1060" i="9"/>
  <c r="T1061" i="9"/>
  <c r="T1062" i="9"/>
  <c r="T1063" i="9"/>
  <c r="T1064" i="9"/>
  <c r="T1065" i="9"/>
  <c r="T1066" i="9"/>
  <c r="T1067" i="9"/>
  <c r="T1068" i="9"/>
  <c r="T1069" i="9"/>
  <c r="T1070" i="9"/>
  <c r="T1071" i="9"/>
  <c r="T1072" i="9"/>
  <c r="T1073" i="9"/>
  <c r="T1074" i="9"/>
  <c r="T1075" i="9"/>
  <c r="T1076" i="9"/>
  <c r="T1077" i="9"/>
  <c r="T1078" i="9"/>
  <c r="T1079" i="9"/>
  <c r="T1080" i="9"/>
  <c r="T1081" i="9"/>
  <c r="T1082" i="9"/>
  <c r="T1083" i="9"/>
  <c r="T1084" i="9"/>
  <c r="T1085" i="9"/>
  <c r="T1086" i="9"/>
  <c r="T1087" i="9"/>
  <c r="T1088" i="9"/>
  <c r="T1089" i="9"/>
  <c r="T1090" i="9"/>
  <c r="T1091" i="9"/>
  <c r="T1092" i="9"/>
  <c r="T1093" i="9"/>
  <c r="T1094" i="9"/>
  <c r="T1095" i="9"/>
  <c r="T1096" i="9"/>
  <c r="T1097" i="9"/>
  <c r="T1098" i="9"/>
  <c r="T1099" i="9"/>
  <c r="T1100" i="9"/>
  <c r="T1101" i="9"/>
  <c r="T1102" i="9"/>
  <c r="T1103" i="9"/>
  <c r="T1104" i="9"/>
  <c r="T1105" i="9"/>
  <c r="T1106" i="9"/>
  <c r="T1107" i="9"/>
  <c r="T1108" i="9"/>
  <c r="T1109" i="9"/>
  <c r="T1110" i="9"/>
  <c r="T1111" i="9"/>
  <c r="T1112" i="9"/>
  <c r="T1113" i="9"/>
  <c r="T1114" i="9"/>
  <c r="T1115" i="9"/>
  <c r="T1116" i="9"/>
  <c r="T1117" i="9"/>
  <c r="T1118" i="9"/>
  <c r="T1119" i="9"/>
  <c r="T1120" i="9"/>
  <c r="T1121" i="9"/>
  <c r="T1122" i="9"/>
  <c r="T1123" i="9"/>
  <c r="T1124" i="9"/>
  <c r="T1125" i="9"/>
  <c r="T1126" i="9"/>
  <c r="T1127" i="9"/>
  <c r="T1128" i="9"/>
  <c r="T1129" i="9"/>
  <c r="T1130" i="9"/>
  <c r="T1131" i="9"/>
  <c r="T1132" i="9"/>
  <c r="T1133" i="9"/>
  <c r="T1134" i="9"/>
  <c r="T1135" i="9"/>
  <c r="T1136" i="9"/>
  <c r="T1137" i="9"/>
  <c r="T1138" i="9"/>
  <c r="T1139" i="9"/>
  <c r="T1140" i="9"/>
  <c r="T1141" i="9"/>
  <c r="T1142" i="9"/>
  <c r="T1143" i="9"/>
  <c r="T1144" i="9"/>
  <c r="T1145" i="9"/>
  <c r="T1146" i="9"/>
  <c r="T1147" i="9"/>
  <c r="T1148" i="9"/>
  <c r="T1149" i="9"/>
  <c r="T1150" i="9"/>
  <c r="T1151" i="9"/>
  <c r="T1152" i="9"/>
  <c r="T1153" i="9"/>
  <c r="T1154" i="9"/>
  <c r="T1155" i="9"/>
  <c r="T1156" i="9"/>
  <c r="T1157" i="9"/>
  <c r="T1158" i="9"/>
  <c r="T1159" i="9"/>
  <c r="T1160" i="9"/>
  <c r="T1161" i="9"/>
  <c r="T1162" i="9"/>
  <c r="T1163" i="9"/>
  <c r="T1164" i="9"/>
  <c r="T1165" i="9"/>
  <c r="T1166" i="9"/>
  <c r="T1167" i="9"/>
  <c r="T1168" i="9"/>
  <c r="T1169" i="9"/>
  <c r="T1170" i="9"/>
  <c r="T1171" i="9"/>
  <c r="T1172" i="9"/>
  <c r="T1173" i="9"/>
  <c r="T1174" i="9"/>
  <c r="T1175" i="9"/>
  <c r="T1176" i="9"/>
  <c r="T1177" i="9"/>
  <c r="T1178" i="9"/>
  <c r="T1179" i="9"/>
  <c r="T1180" i="9"/>
  <c r="T1181" i="9"/>
  <c r="T1182" i="9"/>
  <c r="T1183" i="9"/>
  <c r="T1184" i="9"/>
  <c r="T1185" i="9"/>
  <c r="T1186" i="9"/>
  <c r="T1187" i="9"/>
  <c r="T1188" i="9"/>
  <c r="T1189" i="9"/>
  <c r="T1190" i="9"/>
  <c r="T1191" i="9"/>
  <c r="T1192" i="9"/>
  <c r="T1193" i="9"/>
  <c r="T1194" i="9"/>
  <c r="T1195" i="9"/>
  <c r="T1196" i="9"/>
  <c r="T1197" i="9"/>
  <c r="T1198" i="9"/>
  <c r="T1199" i="9"/>
  <c r="T1200" i="9"/>
  <c r="T1201" i="9"/>
  <c r="T1202" i="9"/>
  <c r="T1203" i="9"/>
  <c r="T1204" i="9"/>
  <c r="T1205" i="9"/>
  <c r="T1206" i="9"/>
  <c r="T1207" i="9"/>
  <c r="T1208" i="9"/>
  <c r="T1209" i="9"/>
  <c r="T1210" i="9"/>
  <c r="T1211" i="9"/>
  <c r="T1212" i="9"/>
  <c r="T1213" i="9"/>
  <c r="T1214" i="9"/>
  <c r="T1215" i="9"/>
  <c r="T1216" i="9"/>
  <c r="T1217" i="9"/>
  <c r="T1218" i="9"/>
  <c r="T1219" i="9"/>
  <c r="T1220" i="9"/>
  <c r="T1221" i="9"/>
  <c r="T1222" i="9"/>
  <c r="T1223" i="9"/>
  <c r="T1224" i="9"/>
  <c r="T1225" i="9"/>
  <c r="T1226" i="9"/>
  <c r="T1227" i="9"/>
  <c r="T1228" i="9"/>
  <c r="T1229" i="9"/>
  <c r="T1230" i="9"/>
  <c r="T1231" i="9"/>
  <c r="T1232" i="9"/>
  <c r="T1233" i="9"/>
  <c r="T1234" i="9"/>
  <c r="T1235" i="9"/>
  <c r="T1236" i="9"/>
  <c r="T1237" i="9"/>
  <c r="T1238" i="9"/>
  <c r="T1239" i="9"/>
  <c r="T1240" i="9"/>
  <c r="T1241" i="9"/>
  <c r="T1242" i="9"/>
  <c r="T1243" i="9"/>
  <c r="T1244" i="9"/>
  <c r="T1245" i="9"/>
  <c r="T1246" i="9"/>
  <c r="T1247" i="9"/>
  <c r="T1248" i="9"/>
  <c r="T1249" i="9"/>
  <c r="T1250" i="9"/>
  <c r="T1251" i="9"/>
  <c r="T1252" i="9"/>
  <c r="T1253" i="9"/>
  <c r="T1254" i="9"/>
  <c r="T1255" i="9"/>
  <c r="T1256" i="9"/>
  <c r="T1257" i="9"/>
  <c r="T1258" i="9"/>
  <c r="T1259" i="9"/>
  <c r="T1260" i="9"/>
  <c r="T1261" i="9"/>
  <c r="T1262" i="9"/>
  <c r="T1263" i="9"/>
  <c r="T1264" i="9"/>
  <c r="T1265" i="9"/>
  <c r="T1266" i="9"/>
  <c r="T1267" i="9"/>
  <c r="T1268" i="9"/>
  <c r="T1269" i="9"/>
  <c r="T1270" i="9"/>
  <c r="T1271" i="9"/>
  <c r="T1272" i="9"/>
  <c r="T1273" i="9"/>
  <c r="T1274" i="9"/>
  <c r="T1275" i="9"/>
  <c r="T1276" i="9"/>
  <c r="T1277" i="9"/>
  <c r="T1278" i="9"/>
  <c r="T1279" i="9"/>
  <c r="T1280" i="9"/>
  <c r="T1281" i="9"/>
  <c r="T1282" i="9"/>
  <c r="T1283" i="9"/>
  <c r="T1284" i="9"/>
  <c r="T1285" i="9"/>
  <c r="T1286" i="9"/>
  <c r="T1287" i="9"/>
  <c r="T1288" i="9"/>
  <c r="T1289" i="9"/>
  <c r="T1290" i="9"/>
  <c r="T1291" i="9"/>
  <c r="T1292" i="9"/>
  <c r="T1293" i="9"/>
  <c r="T1294" i="9"/>
  <c r="T1295" i="9"/>
  <c r="T1296" i="9"/>
  <c r="T1297" i="9"/>
  <c r="T1298" i="9"/>
  <c r="T1299" i="9"/>
  <c r="T1300" i="9"/>
  <c r="T1301" i="9"/>
  <c r="T1302" i="9"/>
  <c r="T1303" i="9"/>
  <c r="T1304" i="9"/>
  <c r="T1305" i="9"/>
  <c r="T1306" i="9"/>
  <c r="T1307" i="9"/>
  <c r="T1308" i="9"/>
  <c r="T1309" i="9"/>
  <c r="T1310" i="9"/>
  <c r="T1311" i="9"/>
  <c r="T1312" i="9"/>
  <c r="T1313" i="9"/>
  <c r="T1314" i="9"/>
  <c r="T1315" i="9"/>
  <c r="T1316" i="9"/>
  <c r="T1317" i="9"/>
  <c r="T1318" i="9"/>
  <c r="T1319" i="9"/>
  <c r="T1320" i="9"/>
  <c r="T1321" i="9"/>
  <c r="T1322" i="9"/>
  <c r="T1323" i="9"/>
  <c r="T1324" i="9"/>
  <c r="T1325" i="9"/>
  <c r="T1326" i="9"/>
  <c r="T1327" i="9"/>
  <c r="T1328" i="9"/>
  <c r="T1329" i="9"/>
  <c r="T1330" i="9"/>
  <c r="T1331" i="9"/>
  <c r="T1332" i="9"/>
  <c r="T1333" i="9"/>
  <c r="T1334" i="9"/>
  <c r="T1335" i="9"/>
  <c r="T1336" i="9"/>
  <c r="T1337" i="9"/>
  <c r="T1338" i="9"/>
  <c r="T1339" i="9"/>
  <c r="T1340" i="9"/>
  <c r="T1341" i="9"/>
  <c r="T1342" i="9"/>
  <c r="T1343" i="9"/>
  <c r="T1344" i="9"/>
  <c r="T1345" i="9"/>
  <c r="T1346" i="9"/>
  <c r="T1347" i="9"/>
  <c r="T1348" i="9"/>
  <c r="T1349" i="9"/>
  <c r="T1350" i="9"/>
  <c r="T1351" i="9"/>
  <c r="T1352" i="9"/>
  <c r="T1353" i="9"/>
  <c r="T1354" i="9"/>
  <c r="T1355" i="9"/>
  <c r="T1356" i="9"/>
  <c r="T1357" i="9"/>
  <c r="T1358" i="9"/>
  <c r="T1359" i="9"/>
  <c r="T1360" i="9"/>
  <c r="T1361" i="9"/>
  <c r="T1362" i="9"/>
  <c r="T1363" i="9"/>
  <c r="T1364" i="9"/>
  <c r="T1365" i="9"/>
  <c r="T1366" i="9"/>
  <c r="T1367" i="9"/>
  <c r="T1368" i="9"/>
  <c r="T1369" i="9"/>
  <c r="T1370" i="9"/>
  <c r="T1371" i="9"/>
  <c r="T1372" i="9"/>
  <c r="T1373" i="9"/>
  <c r="T1374" i="9"/>
  <c r="T1375" i="9"/>
  <c r="T1376" i="9"/>
  <c r="T1377" i="9"/>
  <c r="T1378" i="9"/>
  <c r="T1379" i="9"/>
  <c r="T1380" i="9"/>
  <c r="T1381" i="9"/>
  <c r="T1382" i="9"/>
  <c r="T1383" i="9"/>
  <c r="T1384" i="9"/>
  <c r="T1385" i="9"/>
  <c r="T1386" i="9"/>
  <c r="T1387" i="9"/>
  <c r="T1388" i="9"/>
  <c r="T1389" i="9"/>
  <c r="T1390" i="9"/>
  <c r="T1391" i="9"/>
  <c r="T1392" i="9"/>
  <c r="T1393" i="9"/>
  <c r="T1394" i="9"/>
  <c r="T1395" i="9"/>
  <c r="T1396" i="9"/>
  <c r="T1397" i="9"/>
  <c r="T1398" i="9"/>
  <c r="T1399" i="9"/>
  <c r="T1400" i="9"/>
  <c r="T13" i="9"/>
  <c r="M6" i="27" s="1"/>
  <c r="G15" i="27" s="1"/>
  <c r="K34" i="27"/>
  <c r="K29" i="27"/>
  <c r="O27" i="27"/>
  <c r="O26" i="27"/>
  <c r="N26" i="27"/>
  <c r="M26" i="27"/>
  <c r="B26" i="27"/>
  <c r="A26" i="27"/>
  <c r="O25" i="27"/>
  <c r="N25" i="27" s="1"/>
  <c r="M25" i="27"/>
  <c r="O24" i="27"/>
  <c r="N24" i="27"/>
  <c r="M24" i="27"/>
  <c r="B24" i="27"/>
  <c r="A24" i="27"/>
  <c r="O23" i="27"/>
  <c r="B23" i="27" s="1"/>
  <c r="N23" i="27"/>
  <c r="M23" i="27"/>
  <c r="O22" i="27"/>
  <c r="N22" i="27" s="1"/>
  <c r="M22" i="27"/>
  <c r="B22" i="27"/>
  <c r="A22" i="27"/>
  <c r="O21" i="27"/>
  <c r="N21" i="27" s="1"/>
  <c r="M21" i="27"/>
  <c r="B21" i="27"/>
  <c r="A21" i="27"/>
  <c r="O20" i="27"/>
  <c r="B20" i="27" s="1"/>
  <c r="N20" i="27"/>
  <c r="M20" i="27"/>
  <c r="A20" i="27"/>
  <c r="O19" i="27"/>
  <c r="N19" i="27" s="1"/>
  <c r="M19" i="27"/>
  <c r="A19" i="27"/>
  <c r="O18" i="27"/>
  <c r="O17" i="27"/>
  <c r="O16" i="27"/>
  <c r="O15" i="27"/>
  <c r="O14" i="27"/>
  <c r="O13" i="27"/>
  <c r="E9" i="27"/>
  <c r="K8" i="27"/>
  <c r="E8" i="27"/>
  <c r="B13" i="27" s="1"/>
  <c r="E7" i="27"/>
  <c r="E5" i="27"/>
  <c r="K4" i="27"/>
  <c r="E4" i="27"/>
  <c r="Q3" i="27"/>
  <c r="C14" i="1"/>
  <c r="C15" i="1"/>
  <c r="C17" i="1"/>
  <c r="C19" i="1"/>
  <c r="C29" i="1" s="1"/>
  <c r="C20" i="1"/>
  <c r="C22" i="1"/>
  <c r="C23" i="1"/>
  <c r="C24" i="1"/>
  <c r="C25" i="1"/>
  <c r="C26" i="1"/>
  <c r="C28" i="1"/>
  <c r="C30" i="1"/>
  <c r="C31" i="1"/>
  <c r="C33" i="1"/>
  <c r="C34" i="1"/>
  <c r="C35" i="1"/>
  <c r="C36" i="1"/>
  <c r="C37" i="1"/>
  <c r="C38" i="1"/>
  <c r="C39" i="1"/>
  <c r="C41" i="1"/>
  <c r="C42" i="1"/>
  <c r="C43" i="1"/>
  <c r="C44" i="1"/>
  <c r="C45" i="1"/>
  <c r="C46" i="1"/>
  <c r="C47" i="1"/>
  <c r="C48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5" i="1"/>
  <c r="C67" i="1"/>
  <c r="C68" i="1"/>
  <c r="C69" i="1"/>
  <c r="C70" i="1"/>
  <c r="C72" i="1"/>
  <c r="C74" i="1"/>
  <c r="C76" i="1"/>
  <c r="C77" i="1"/>
  <c r="C78" i="1"/>
  <c r="C79" i="1"/>
  <c r="C81" i="1"/>
  <c r="C82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K6" i="27" l="1"/>
  <c r="K7" i="27" s="1"/>
  <c r="L6" i="27"/>
  <c r="A204" i="1"/>
  <c r="B204" i="1"/>
  <c r="V204" i="1"/>
  <c r="A203" i="1"/>
  <c r="B203" i="1"/>
  <c r="V203" i="1"/>
  <c r="N27" i="27"/>
  <c r="N15" i="27"/>
  <c r="A206" i="1"/>
  <c r="B206" i="1"/>
  <c r="V206" i="1"/>
  <c r="A205" i="1"/>
  <c r="B205" i="1"/>
  <c r="V205" i="1"/>
  <c r="N17" i="27"/>
  <c r="N18" i="27"/>
  <c r="A17" i="27"/>
  <c r="A15" i="27"/>
  <c r="A13" i="27"/>
  <c r="B18" i="27"/>
  <c r="B14" i="27"/>
  <c r="B16" i="27"/>
  <c r="A27" i="27"/>
  <c r="A16" i="27"/>
  <c r="N14" i="27"/>
  <c r="N16" i="27"/>
  <c r="B19" i="27"/>
  <c r="B15" i="27"/>
  <c r="B17" i="27"/>
  <c r="N13" i="27"/>
  <c r="B27" i="27"/>
  <c r="A25" i="27"/>
  <c r="A14" i="27"/>
  <c r="A18" i="27"/>
  <c r="B25" i="27"/>
  <c r="A23" i="27"/>
  <c r="G14" i="27" l="1"/>
  <c r="M16" i="27"/>
  <c r="H15" i="27"/>
  <c r="M15" i="27" s="1"/>
  <c r="M17" i="27"/>
  <c r="H14" i="27"/>
  <c r="M18" i="27"/>
  <c r="M14" i="27" l="1"/>
  <c r="AA13" i="9" a="1"/>
  <c r="Q13" i="9" a="1"/>
  <c r="AA13" i="9" l="1"/>
  <c r="Q13" i="9"/>
  <c r="Q13" i="1"/>
  <c r="E14" i="7"/>
  <c r="E15" i="7"/>
  <c r="J15" i="7" s="1"/>
  <c r="E16" i="7"/>
  <c r="E17" i="7"/>
  <c r="E18" i="7"/>
  <c r="E19" i="7"/>
  <c r="E9" i="26"/>
  <c r="E8" i="26"/>
  <c r="B13" i="26" s="1"/>
  <c r="E7" i="26"/>
  <c r="A13" i="26" s="1"/>
  <c r="E5" i="26"/>
  <c r="E4" i="26"/>
  <c r="K4" i="26"/>
  <c r="K9" i="26"/>
  <c r="L8" i="26"/>
  <c r="K8" i="26"/>
  <c r="K36" i="26"/>
  <c r="K31" i="26"/>
  <c r="O29" i="26"/>
  <c r="O28" i="26"/>
  <c r="N28" i="26"/>
  <c r="M28" i="26"/>
  <c r="B28" i="26"/>
  <c r="A28" i="26"/>
  <c r="O27" i="26"/>
  <c r="N27" i="26" s="1"/>
  <c r="M27" i="26"/>
  <c r="O26" i="26"/>
  <c r="N26" i="26"/>
  <c r="M26" i="26"/>
  <c r="B26" i="26"/>
  <c r="A26" i="26"/>
  <c r="O25" i="26"/>
  <c r="B25" i="26" s="1"/>
  <c r="N25" i="26"/>
  <c r="M25" i="26"/>
  <c r="O24" i="26"/>
  <c r="N24" i="26"/>
  <c r="M24" i="26"/>
  <c r="B24" i="26"/>
  <c r="A24" i="26"/>
  <c r="O23" i="26"/>
  <c r="N23" i="26"/>
  <c r="M23" i="26"/>
  <c r="B23" i="26"/>
  <c r="A23" i="26"/>
  <c r="W22" i="26"/>
  <c r="O22" i="26"/>
  <c r="W21" i="26"/>
  <c r="AI21" i="26" s="1"/>
  <c r="O21" i="26"/>
  <c r="V20" i="26"/>
  <c r="U20" i="26"/>
  <c r="T20" i="26"/>
  <c r="S20" i="26"/>
  <c r="W20" i="26" s="1"/>
  <c r="AI20" i="26" s="1"/>
  <c r="R20" i="26"/>
  <c r="O20" i="26"/>
  <c r="V19" i="26"/>
  <c r="T19" i="26"/>
  <c r="S19" i="26"/>
  <c r="W19" i="26" s="1"/>
  <c r="AI19" i="26" s="1"/>
  <c r="R19" i="26"/>
  <c r="O19" i="26"/>
  <c r="V18" i="26"/>
  <c r="S18" i="26"/>
  <c r="W18" i="26" s="1"/>
  <c r="AI18" i="26" s="1"/>
  <c r="R18" i="26"/>
  <c r="O18" i="26"/>
  <c r="T17" i="26"/>
  <c r="S17" i="26"/>
  <c r="W17" i="26" s="1"/>
  <c r="AI17" i="26" s="1"/>
  <c r="O17" i="26"/>
  <c r="U16" i="26"/>
  <c r="W16" i="26" s="1"/>
  <c r="AI16" i="26" s="1"/>
  <c r="T16" i="26"/>
  <c r="S16" i="26"/>
  <c r="R16" i="26"/>
  <c r="O16" i="26"/>
  <c r="T15" i="26"/>
  <c r="S15" i="26"/>
  <c r="W15" i="26" s="1"/>
  <c r="AI15" i="26" s="1"/>
  <c r="O15" i="26"/>
  <c r="T14" i="26"/>
  <c r="S14" i="26"/>
  <c r="W14" i="26" s="1"/>
  <c r="AI14" i="26" s="1"/>
  <c r="O14" i="26"/>
  <c r="O13" i="26"/>
  <c r="L7" i="26"/>
  <c r="N15" i="26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E202" i="9"/>
  <c r="E203" i="9"/>
  <c r="E204" i="9"/>
  <c r="E205" i="9"/>
  <c r="E206" i="9"/>
  <c r="E207" i="9"/>
  <c r="E208" i="9"/>
  <c r="E209" i="9"/>
  <c r="E210" i="9"/>
  <c r="E211" i="9"/>
  <c r="E212" i="9"/>
  <c r="E213" i="9"/>
  <c r="E214" i="9"/>
  <c r="E215" i="9"/>
  <c r="E216" i="9"/>
  <c r="E217" i="9"/>
  <c r="E218" i="9"/>
  <c r="E219" i="9"/>
  <c r="E220" i="9"/>
  <c r="E221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38" i="9"/>
  <c r="E239" i="9"/>
  <c r="E240" i="9"/>
  <c r="E241" i="9"/>
  <c r="E242" i="9"/>
  <c r="E243" i="9"/>
  <c r="E244" i="9"/>
  <c r="E245" i="9"/>
  <c r="E246" i="9"/>
  <c r="E247" i="9"/>
  <c r="E248" i="9"/>
  <c r="E249" i="9"/>
  <c r="E250" i="9"/>
  <c r="E251" i="9"/>
  <c r="E252" i="9"/>
  <c r="E253" i="9"/>
  <c r="E254" i="9"/>
  <c r="E255" i="9"/>
  <c r="E256" i="9"/>
  <c r="E257" i="9"/>
  <c r="E258" i="9"/>
  <c r="E259" i="9"/>
  <c r="E260" i="9"/>
  <c r="E261" i="9"/>
  <c r="E262" i="9"/>
  <c r="E263" i="9"/>
  <c r="E264" i="9"/>
  <c r="E265" i="9"/>
  <c r="E266" i="9"/>
  <c r="E267" i="9"/>
  <c r="E268" i="9"/>
  <c r="E269" i="9"/>
  <c r="E270" i="9"/>
  <c r="E271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88" i="9"/>
  <c r="E289" i="9"/>
  <c r="E290" i="9"/>
  <c r="E291" i="9"/>
  <c r="E292" i="9"/>
  <c r="E293" i="9"/>
  <c r="E294" i="9"/>
  <c r="E295" i="9"/>
  <c r="E296" i="9"/>
  <c r="E297" i="9"/>
  <c r="E298" i="9"/>
  <c r="E299" i="9"/>
  <c r="E300" i="9"/>
  <c r="E301" i="9"/>
  <c r="E302" i="9"/>
  <c r="E303" i="9"/>
  <c r="E304" i="9"/>
  <c r="E305" i="9"/>
  <c r="E306" i="9"/>
  <c r="E307" i="9"/>
  <c r="E308" i="9"/>
  <c r="E309" i="9"/>
  <c r="E310" i="9"/>
  <c r="E311" i="9"/>
  <c r="E312" i="9"/>
  <c r="E313" i="9"/>
  <c r="E314" i="9"/>
  <c r="E315" i="9"/>
  <c r="E316" i="9"/>
  <c r="E317" i="9"/>
  <c r="E318" i="9"/>
  <c r="E319" i="9"/>
  <c r="E320" i="9"/>
  <c r="E321" i="9"/>
  <c r="E322" i="9"/>
  <c r="E323" i="9"/>
  <c r="E324" i="9"/>
  <c r="E325" i="9"/>
  <c r="E326" i="9"/>
  <c r="E327" i="9"/>
  <c r="E328" i="9"/>
  <c r="E329" i="9"/>
  <c r="E330" i="9"/>
  <c r="E331" i="9"/>
  <c r="E332" i="9"/>
  <c r="E333" i="9"/>
  <c r="E334" i="9"/>
  <c r="E335" i="9"/>
  <c r="E336" i="9"/>
  <c r="E337" i="9"/>
  <c r="E338" i="9"/>
  <c r="E339" i="9"/>
  <c r="E340" i="9"/>
  <c r="E341" i="9"/>
  <c r="E342" i="9"/>
  <c r="E343" i="9"/>
  <c r="E344" i="9"/>
  <c r="E345" i="9"/>
  <c r="E346" i="9"/>
  <c r="E347" i="9"/>
  <c r="E348" i="9"/>
  <c r="E349" i="9"/>
  <c r="E350" i="9"/>
  <c r="E351" i="9"/>
  <c r="E352" i="9"/>
  <c r="E353" i="9"/>
  <c r="E354" i="9"/>
  <c r="E355" i="9"/>
  <c r="E356" i="9"/>
  <c r="E357" i="9"/>
  <c r="E358" i="9"/>
  <c r="E359" i="9"/>
  <c r="E360" i="9"/>
  <c r="E361" i="9"/>
  <c r="E362" i="9"/>
  <c r="E363" i="9"/>
  <c r="E364" i="9"/>
  <c r="E365" i="9"/>
  <c r="E366" i="9"/>
  <c r="E367" i="9"/>
  <c r="E368" i="9"/>
  <c r="E369" i="9"/>
  <c r="E370" i="9"/>
  <c r="E371" i="9"/>
  <c r="E372" i="9"/>
  <c r="E373" i="9"/>
  <c r="E374" i="9"/>
  <c r="E375" i="9"/>
  <c r="E376" i="9"/>
  <c r="E377" i="9"/>
  <c r="E378" i="9"/>
  <c r="E379" i="9"/>
  <c r="E380" i="9"/>
  <c r="E381" i="9"/>
  <c r="E382" i="9"/>
  <c r="E383" i="9"/>
  <c r="E384" i="9"/>
  <c r="E385" i="9"/>
  <c r="E386" i="9"/>
  <c r="E387" i="9"/>
  <c r="E388" i="9"/>
  <c r="E389" i="9"/>
  <c r="E390" i="9"/>
  <c r="E391" i="9"/>
  <c r="E392" i="9"/>
  <c r="E393" i="9"/>
  <c r="E394" i="9"/>
  <c r="E395" i="9"/>
  <c r="E396" i="9"/>
  <c r="E397" i="9"/>
  <c r="E398" i="9"/>
  <c r="E399" i="9"/>
  <c r="E400" i="9"/>
  <c r="E401" i="9"/>
  <c r="E402" i="9"/>
  <c r="E403" i="9"/>
  <c r="E404" i="9"/>
  <c r="E405" i="9"/>
  <c r="E406" i="9"/>
  <c r="E407" i="9"/>
  <c r="E408" i="9"/>
  <c r="E409" i="9"/>
  <c r="E410" i="9"/>
  <c r="E411" i="9"/>
  <c r="E412" i="9"/>
  <c r="E413" i="9"/>
  <c r="E414" i="9"/>
  <c r="E415" i="9"/>
  <c r="E416" i="9"/>
  <c r="E417" i="9"/>
  <c r="E418" i="9"/>
  <c r="E419" i="9"/>
  <c r="E420" i="9"/>
  <c r="E421" i="9"/>
  <c r="E422" i="9"/>
  <c r="E423" i="9"/>
  <c r="E424" i="9"/>
  <c r="E425" i="9"/>
  <c r="E426" i="9"/>
  <c r="E427" i="9"/>
  <c r="E428" i="9"/>
  <c r="E429" i="9"/>
  <c r="E430" i="9"/>
  <c r="E431" i="9"/>
  <c r="E432" i="9"/>
  <c r="E433" i="9"/>
  <c r="E434" i="9"/>
  <c r="E435" i="9"/>
  <c r="E436" i="9"/>
  <c r="E437" i="9"/>
  <c r="E438" i="9"/>
  <c r="E439" i="9"/>
  <c r="E440" i="9"/>
  <c r="E441" i="9"/>
  <c r="E442" i="9"/>
  <c r="E443" i="9"/>
  <c r="E444" i="9"/>
  <c r="E445" i="9"/>
  <c r="E446" i="9"/>
  <c r="E447" i="9"/>
  <c r="E448" i="9"/>
  <c r="E449" i="9"/>
  <c r="E450" i="9"/>
  <c r="E451" i="9"/>
  <c r="E452" i="9"/>
  <c r="E453" i="9"/>
  <c r="E454" i="9"/>
  <c r="E455" i="9"/>
  <c r="E456" i="9"/>
  <c r="E457" i="9"/>
  <c r="E458" i="9"/>
  <c r="E459" i="9"/>
  <c r="E460" i="9"/>
  <c r="E461" i="9"/>
  <c r="E462" i="9"/>
  <c r="E463" i="9"/>
  <c r="E464" i="9"/>
  <c r="E465" i="9"/>
  <c r="E466" i="9"/>
  <c r="E467" i="9"/>
  <c r="E468" i="9"/>
  <c r="E469" i="9"/>
  <c r="E470" i="9"/>
  <c r="E471" i="9"/>
  <c r="E472" i="9"/>
  <c r="E473" i="9"/>
  <c r="E474" i="9"/>
  <c r="E475" i="9"/>
  <c r="E476" i="9"/>
  <c r="E477" i="9"/>
  <c r="E478" i="9"/>
  <c r="E479" i="9"/>
  <c r="E480" i="9"/>
  <c r="E481" i="9"/>
  <c r="E482" i="9"/>
  <c r="E483" i="9"/>
  <c r="E484" i="9"/>
  <c r="E485" i="9"/>
  <c r="E486" i="9"/>
  <c r="E487" i="9"/>
  <c r="E488" i="9"/>
  <c r="E489" i="9"/>
  <c r="E490" i="9"/>
  <c r="E491" i="9"/>
  <c r="E492" i="9"/>
  <c r="E493" i="9"/>
  <c r="E494" i="9"/>
  <c r="E495" i="9"/>
  <c r="E496" i="9"/>
  <c r="E497" i="9"/>
  <c r="E498" i="9"/>
  <c r="E499" i="9"/>
  <c r="E500" i="9"/>
  <c r="E501" i="9"/>
  <c r="E502" i="9"/>
  <c r="E503" i="9"/>
  <c r="E504" i="9"/>
  <c r="E505" i="9"/>
  <c r="E506" i="9"/>
  <c r="E507" i="9"/>
  <c r="E508" i="9"/>
  <c r="E509" i="9"/>
  <c r="E510" i="9"/>
  <c r="E511" i="9"/>
  <c r="E512" i="9"/>
  <c r="E513" i="9"/>
  <c r="E514" i="9"/>
  <c r="E515" i="9"/>
  <c r="E516" i="9"/>
  <c r="E517" i="9"/>
  <c r="E518" i="9"/>
  <c r="E519" i="9"/>
  <c r="E520" i="9"/>
  <c r="E521" i="9"/>
  <c r="E522" i="9"/>
  <c r="E523" i="9"/>
  <c r="E524" i="9"/>
  <c r="E525" i="9"/>
  <c r="E526" i="9"/>
  <c r="E527" i="9"/>
  <c r="E528" i="9"/>
  <c r="E529" i="9"/>
  <c r="E530" i="9"/>
  <c r="E531" i="9"/>
  <c r="E532" i="9"/>
  <c r="E533" i="9"/>
  <c r="E534" i="9"/>
  <c r="E535" i="9"/>
  <c r="E536" i="9"/>
  <c r="E537" i="9"/>
  <c r="E538" i="9"/>
  <c r="E539" i="9"/>
  <c r="E540" i="9"/>
  <c r="E541" i="9"/>
  <c r="E542" i="9"/>
  <c r="E543" i="9"/>
  <c r="E544" i="9"/>
  <c r="E545" i="9"/>
  <c r="E546" i="9"/>
  <c r="E547" i="9"/>
  <c r="E548" i="9"/>
  <c r="E549" i="9"/>
  <c r="E550" i="9"/>
  <c r="E551" i="9"/>
  <c r="E552" i="9"/>
  <c r="E553" i="9"/>
  <c r="E554" i="9"/>
  <c r="E555" i="9"/>
  <c r="E556" i="9"/>
  <c r="E557" i="9"/>
  <c r="E558" i="9"/>
  <c r="E559" i="9"/>
  <c r="E560" i="9"/>
  <c r="E561" i="9"/>
  <c r="E562" i="9"/>
  <c r="E563" i="9"/>
  <c r="E564" i="9"/>
  <c r="E565" i="9"/>
  <c r="E566" i="9"/>
  <c r="E567" i="9"/>
  <c r="E568" i="9"/>
  <c r="E569" i="9"/>
  <c r="E570" i="9"/>
  <c r="E571" i="9"/>
  <c r="E572" i="9"/>
  <c r="E573" i="9"/>
  <c r="E574" i="9"/>
  <c r="E575" i="9"/>
  <c r="E576" i="9"/>
  <c r="E577" i="9"/>
  <c r="E578" i="9"/>
  <c r="E579" i="9"/>
  <c r="E580" i="9"/>
  <c r="E581" i="9"/>
  <c r="E582" i="9"/>
  <c r="E583" i="9"/>
  <c r="E584" i="9"/>
  <c r="E585" i="9"/>
  <c r="E586" i="9"/>
  <c r="E587" i="9"/>
  <c r="E588" i="9"/>
  <c r="E589" i="9"/>
  <c r="E590" i="9"/>
  <c r="E591" i="9"/>
  <c r="E592" i="9"/>
  <c r="E593" i="9"/>
  <c r="E594" i="9"/>
  <c r="E595" i="9"/>
  <c r="E596" i="9"/>
  <c r="E597" i="9"/>
  <c r="E598" i="9"/>
  <c r="E599" i="9"/>
  <c r="E600" i="9"/>
  <c r="E601" i="9"/>
  <c r="E602" i="9"/>
  <c r="E603" i="9"/>
  <c r="E604" i="9"/>
  <c r="E605" i="9"/>
  <c r="E606" i="9"/>
  <c r="E607" i="9"/>
  <c r="E608" i="9"/>
  <c r="E609" i="9"/>
  <c r="E610" i="9"/>
  <c r="E611" i="9"/>
  <c r="E612" i="9"/>
  <c r="E613" i="9"/>
  <c r="E614" i="9"/>
  <c r="E615" i="9"/>
  <c r="E616" i="9"/>
  <c r="E617" i="9"/>
  <c r="E618" i="9"/>
  <c r="E619" i="9"/>
  <c r="E620" i="9"/>
  <c r="E621" i="9"/>
  <c r="E622" i="9"/>
  <c r="E623" i="9"/>
  <c r="E624" i="9"/>
  <c r="E625" i="9"/>
  <c r="E626" i="9"/>
  <c r="E627" i="9"/>
  <c r="E628" i="9"/>
  <c r="E629" i="9"/>
  <c r="E630" i="9"/>
  <c r="E631" i="9"/>
  <c r="E632" i="9"/>
  <c r="E633" i="9"/>
  <c r="E634" i="9"/>
  <c r="E635" i="9"/>
  <c r="E636" i="9"/>
  <c r="E637" i="9"/>
  <c r="E638" i="9"/>
  <c r="E639" i="9"/>
  <c r="E640" i="9"/>
  <c r="E641" i="9"/>
  <c r="E642" i="9"/>
  <c r="E643" i="9"/>
  <c r="E644" i="9"/>
  <c r="E645" i="9"/>
  <c r="E646" i="9"/>
  <c r="E647" i="9"/>
  <c r="E648" i="9"/>
  <c r="E649" i="9"/>
  <c r="E650" i="9"/>
  <c r="E651" i="9"/>
  <c r="E652" i="9"/>
  <c r="E653" i="9"/>
  <c r="E654" i="9"/>
  <c r="E655" i="9"/>
  <c r="E656" i="9"/>
  <c r="E657" i="9"/>
  <c r="E658" i="9"/>
  <c r="E659" i="9"/>
  <c r="E660" i="9"/>
  <c r="E661" i="9"/>
  <c r="E662" i="9"/>
  <c r="E663" i="9"/>
  <c r="E664" i="9"/>
  <c r="E665" i="9"/>
  <c r="E666" i="9"/>
  <c r="E667" i="9"/>
  <c r="E668" i="9"/>
  <c r="E669" i="9"/>
  <c r="E670" i="9"/>
  <c r="E671" i="9"/>
  <c r="E672" i="9"/>
  <c r="E673" i="9"/>
  <c r="E674" i="9"/>
  <c r="E675" i="9"/>
  <c r="E676" i="9"/>
  <c r="E677" i="9"/>
  <c r="E678" i="9"/>
  <c r="E679" i="9"/>
  <c r="E680" i="9"/>
  <c r="E681" i="9"/>
  <c r="E682" i="9"/>
  <c r="E683" i="9"/>
  <c r="E684" i="9"/>
  <c r="E685" i="9"/>
  <c r="E686" i="9"/>
  <c r="E687" i="9"/>
  <c r="E688" i="9"/>
  <c r="E689" i="9"/>
  <c r="E690" i="9"/>
  <c r="E691" i="9"/>
  <c r="E692" i="9"/>
  <c r="E693" i="9"/>
  <c r="E694" i="9"/>
  <c r="E695" i="9"/>
  <c r="E696" i="9"/>
  <c r="E697" i="9"/>
  <c r="E698" i="9"/>
  <c r="E699" i="9"/>
  <c r="E700" i="9"/>
  <c r="E701" i="9"/>
  <c r="E702" i="9"/>
  <c r="E703" i="9"/>
  <c r="E704" i="9"/>
  <c r="E705" i="9"/>
  <c r="E706" i="9"/>
  <c r="E707" i="9"/>
  <c r="E708" i="9"/>
  <c r="E709" i="9"/>
  <c r="E710" i="9"/>
  <c r="E711" i="9"/>
  <c r="E712" i="9"/>
  <c r="E713" i="9"/>
  <c r="E714" i="9"/>
  <c r="E715" i="9"/>
  <c r="E716" i="9"/>
  <c r="E717" i="9"/>
  <c r="E718" i="9"/>
  <c r="E719" i="9"/>
  <c r="E720" i="9"/>
  <c r="E721" i="9"/>
  <c r="E722" i="9"/>
  <c r="E723" i="9"/>
  <c r="E724" i="9"/>
  <c r="E725" i="9"/>
  <c r="E726" i="9"/>
  <c r="E727" i="9"/>
  <c r="E728" i="9"/>
  <c r="E729" i="9"/>
  <c r="E730" i="9"/>
  <c r="E731" i="9"/>
  <c r="E732" i="9"/>
  <c r="E733" i="9"/>
  <c r="E734" i="9"/>
  <c r="E735" i="9"/>
  <c r="E736" i="9"/>
  <c r="E737" i="9"/>
  <c r="E738" i="9"/>
  <c r="E739" i="9"/>
  <c r="E740" i="9"/>
  <c r="E741" i="9"/>
  <c r="E742" i="9"/>
  <c r="E743" i="9"/>
  <c r="E744" i="9"/>
  <c r="E745" i="9"/>
  <c r="E746" i="9"/>
  <c r="E747" i="9"/>
  <c r="E748" i="9"/>
  <c r="E749" i="9"/>
  <c r="E750" i="9"/>
  <c r="E751" i="9"/>
  <c r="E752" i="9"/>
  <c r="E753" i="9"/>
  <c r="E754" i="9"/>
  <c r="E755" i="9"/>
  <c r="E756" i="9"/>
  <c r="E757" i="9"/>
  <c r="E758" i="9"/>
  <c r="E759" i="9"/>
  <c r="E760" i="9"/>
  <c r="E761" i="9"/>
  <c r="E762" i="9"/>
  <c r="E763" i="9"/>
  <c r="E764" i="9"/>
  <c r="E765" i="9"/>
  <c r="E766" i="9"/>
  <c r="E767" i="9"/>
  <c r="E768" i="9"/>
  <c r="E769" i="9"/>
  <c r="E770" i="9"/>
  <c r="E771" i="9"/>
  <c r="E772" i="9"/>
  <c r="E773" i="9"/>
  <c r="E774" i="9"/>
  <c r="E775" i="9"/>
  <c r="E776" i="9"/>
  <c r="E777" i="9"/>
  <c r="E778" i="9"/>
  <c r="E779" i="9"/>
  <c r="E780" i="9"/>
  <c r="E781" i="9"/>
  <c r="E782" i="9"/>
  <c r="E783" i="9"/>
  <c r="E784" i="9"/>
  <c r="E785" i="9"/>
  <c r="E786" i="9"/>
  <c r="E787" i="9"/>
  <c r="E788" i="9"/>
  <c r="E789" i="9"/>
  <c r="E790" i="9"/>
  <c r="E791" i="9"/>
  <c r="E792" i="9"/>
  <c r="E793" i="9"/>
  <c r="E794" i="9"/>
  <c r="E795" i="9"/>
  <c r="E796" i="9"/>
  <c r="E797" i="9"/>
  <c r="E798" i="9"/>
  <c r="E799" i="9"/>
  <c r="E800" i="9"/>
  <c r="E801" i="9"/>
  <c r="E802" i="9"/>
  <c r="E803" i="9"/>
  <c r="E804" i="9"/>
  <c r="E805" i="9"/>
  <c r="E806" i="9"/>
  <c r="E807" i="9"/>
  <c r="E808" i="9"/>
  <c r="E809" i="9"/>
  <c r="E810" i="9"/>
  <c r="E811" i="9"/>
  <c r="E812" i="9"/>
  <c r="E813" i="9"/>
  <c r="E814" i="9"/>
  <c r="E815" i="9"/>
  <c r="E816" i="9"/>
  <c r="E817" i="9"/>
  <c r="E818" i="9"/>
  <c r="E819" i="9"/>
  <c r="E820" i="9"/>
  <c r="E821" i="9"/>
  <c r="E822" i="9"/>
  <c r="E823" i="9"/>
  <c r="E824" i="9"/>
  <c r="E825" i="9"/>
  <c r="E826" i="9"/>
  <c r="E827" i="9"/>
  <c r="E828" i="9"/>
  <c r="E829" i="9"/>
  <c r="E830" i="9"/>
  <c r="E831" i="9"/>
  <c r="E832" i="9"/>
  <c r="E833" i="9"/>
  <c r="E834" i="9"/>
  <c r="E835" i="9"/>
  <c r="E836" i="9"/>
  <c r="E837" i="9"/>
  <c r="E838" i="9"/>
  <c r="E839" i="9"/>
  <c r="E840" i="9"/>
  <c r="E841" i="9"/>
  <c r="E842" i="9"/>
  <c r="E843" i="9"/>
  <c r="E844" i="9"/>
  <c r="E845" i="9"/>
  <c r="E846" i="9"/>
  <c r="E847" i="9"/>
  <c r="E848" i="9"/>
  <c r="E849" i="9"/>
  <c r="E850" i="9"/>
  <c r="E851" i="9"/>
  <c r="E852" i="9"/>
  <c r="E853" i="9"/>
  <c r="E854" i="9"/>
  <c r="E855" i="9"/>
  <c r="E856" i="9"/>
  <c r="E857" i="9"/>
  <c r="E858" i="9"/>
  <c r="E859" i="9"/>
  <c r="E860" i="9"/>
  <c r="E861" i="9"/>
  <c r="E862" i="9"/>
  <c r="E863" i="9"/>
  <c r="E864" i="9"/>
  <c r="E865" i="9"/>
  <c r="E866" i="9"/>
  <c r="E867" i="9"/>
  <c r="E868" i="9"/>
  <c r="E869" i="9"/>
  <c r="E870" i="9"/>
  <c r="E871" i="9"/>
  <c r="E872" i="9"/>
  <c r="E873" i="9"/>
  <c r="E874" i="9"/>
  <c r="E875" i="9"/>
  <c r="E876" i="9"/>
  <c r="E877" i="9"/>
  <c r="E878" i="9"/>
  <c r="E879" i="9"/>
  <c r="E880" i="9"/>
  <c r="E881" i="9"/>
  <c r="E882" i="9"/>
  <c r="E883" i="9"/>
  <c r="E884" i="9"/>
  <c r="E885" i="9"/>
  <c r="E886" i="9"/>
  <c r="E887" i="9"/>
  <c r="E888" i="9"/>
  <c r="E889" i="9"/>
  <c r="E890" i="9"/>
  <c r="E891" i="9"/>
  <c r="E892" i="9"/>
  <c r="E893" i="9"/>
  <c r="E894" i="9"/>
  <c r="E895" i="9"/>
  <c r="E896" i="9"/>
  <c r="E897" i="9"/>
  <c r="E898" i="9"/>
  <c r="E899" i="9"/>
  <c r="E900" i="9"/>
  <c r="E901" i="9"/>
  <c r="E902" i="9"/>
  <c r="E903" i="9"/>
  <c r="E904" i="9"/>
  <c r="E905" i="9"/>
  <c r="E906" i="9"/>
  <c r="E907" i="9"/>
  <c r="E908" i="9"/>
  <c r="E909" i="9"/>
  <c r="E910" i="9"/>
  <c r="E911" i="9"/>
  <c r="E912" i="9"/>
  <c r="E913" i="9"/>
  <c r="E914" i="9"/>
  <c r="E915" i="9"/>
  <c r="E916" i="9"/>
  <c r="E917" i="9"/>
  <c r="E918" i="9"/>
  <c r="E919" i="9"/>
  <c r="E920" i="9"/>
  <c r="E921" i="9"/>
  <c r="E922" i="9"/>
  <c r="E923" i="9"/>
  <c r="E924" i="9"/>
  <c r="E925" i="9"/>
  <c r="E926" i="9"/>
  <c r="E927" i="9"/>
  <c r="E928" i="9"/>
  <c r="E929" i="9"/>
  <c r="E930" i="9"/>
  <c r="E931" i="9"/>
  <c r="E932" i="9"/>
  <c r="E933" i="9"/>
  <c r="E934" i="9"/>
  <c r="E935" i="9"/>
  <c r="E936" i="9"/>
  <c r="E937" i="9"/>
  <c r="E938" i="9"/>
  <c r="E939" i="9"/>
  <c r="E940" i="9"/>
  <c r="E941" i="9"/>
  <c r="E942" i="9"/>
  <c r="E943" i="9"/>
  <c r="E944" i="9"/>
  <c r="E945" i="9"/>
  <c r="E946" i="9"/>
  <c r="E947" i="9"/>
  <c r="E948" i="9"/>
  <c r="E949" i="9"/>
  <c r="E950" i="9"/>
  <c r="E951" i="9"/>
  <c r="E952" i="9"/>
  <c r="E953" i="9"/>
  <c r="E954" i="9"/>
  <c r="E955" i="9"/>
  <c r="E956" i="9"/>
  <c r="E957" i="9"/>
  <c r="E958" i="9"/>
  <c r="E959" i="9"/>
  <c r="E960" i="9"/>
  <c r="E961" i="9"/>
  <c r="E962" i="9"/>
  <c r="E963" i="9"/>
  <c r="E964" i="9"/>
  <c r="E965" i="9"/>
  <c r="E966" i="9"/>
  <c r="E967" i="9"/>
  <c r="E968" i="9"/>
  <c r="E969" i="9"/>
  <c r="E970" i="9"/>
  <c r="E971" i="9"/>
  <c r="E972" i="9"/>
  <c r="E973" i="9"/>
  <c r="E974" i="9"/>
  <c r="E975" i="9"/>
  <c r="E976" i="9"/>
  <c r="E977" i="9"/>
  <c r="E978" i="9"/>
  <c r="E979" i="9"/>
  <c r="E980" i="9"/>
  <c r="E981" i="9"/>
  <c r="E982" i="9"/>
  <c r="E983" i="9"/>
  <c r="E984" i="9"/>
  <c r="E985" i="9"/>
  <c r="E986" i="9"/>
  <c r="E987" i="9"/>
  <c r="E988" i="9"/>
  <c r="E989" i="9"/>
  <c r="E990" i="9"/>
  <c r="E991" i="9"/>
  <c r="E992" i="9"/>
  <c r="E993" i="9"/>
  <c r="E994" i="9"/>
  <c r="E995" i="9"/>
  <c r="E996" i="9"/>
  <c r="E997" i="9"/>
  <c r="E998" i="9"/>
  <c r="E999" i="9"/>
  <c r="E1000" i="9"/>
  <c r="E1001" i="9"/>
  <c r="E1002" i="9"/>
  <c r="E1003" i="9"/>
  <c r="E1004" i="9"/>
  <c r="E1005" i="9"/>
  <c r="E1006" i="9"/>
  <c r="E1007" i="9"/>
  <c r="E1008" i="9"/>
  <c r="E1009" i="9"/>
  <c r="E1010" i="9"/>
  <c r="E1011" i="9"/>
  <c r="E1012" i="9"/>
  <c r="E1013" i="9"/>
  <c r="E1014" i="9"/>
  <c r="E1015" i="9"/>
  <c r="E1016" i="9"/>
  <c r="E1017" i="9"/>
  <c r="E1018" i="9"/>
  <c r="E1019" i="9"/>
  <c r="E1020" i="9"/>
  <c r="E1021" i="9"/>
  <c r="E1022" i="9"/>
  <c r="E1023" i="9"/>
  <c r="E1024" i="9"/>
  <c r="E1025" i="9"/>
  <c r="E1026" i="9"/>
  <c r="E1027" i="9"/>
  <c r="E1028" i="9"/>
  <c r="E1029" i="9"/>
  <c r="E1030" i="9"/>
  <c r="E1031" i="9"/>
  <c r="E1032" i="9"/>
  <c r="E1033" i="9"/>
  <c r="E1034" i="9"/>
  <c r="E1035" i="9"/>
  <c r="E1036" i="9"/>
  <c r="E1037" i="9"/>
  <c r="E1038" i="9"/>
  <c r="E1039" i="9"/>
  <c r="E1040" i="9"/>
  <c r="E1041" i="9"/>
  <c r="E1042" i="9"/>
  <c r="E1043" i="9"/>
  <c r="E1044" i="9"/>
  <c r="E1045" i="9"/>
  <c r="E1046" i="9"/>
  <c r="E1047" i="9"/>
  <c r="E1048" i="9"/>
  <c r="E1049" i="9"/>
  <c r="E1050" i="9"/>
  <c r="E1051" i="9"/>
  <c r="E1052" i="9"/>
  <c r="E1053" i="9"/>
  <c r="E1054" i="9"/>
  <c r="E1055" i="9"/>
  <c r="E1056" i="9"/>
  <c r="E1057" i="9"/>
  <c r="E1058" i="9"/>
  <c r="E1059" i="9"/>
  <c r="E1060" i="9"/>
  <c r="E1061" i="9"/>
  <c r="E1062" i="9"/>
  <c r="E1063" i="9"/>
  <c r="E1064" i="9"/>
  <c r="E1065" i="9"/>
  <c r="E1066" i="9"/>
  <c r="E1067" i="9"/>
  <c r="E1068" i="9"/>
  <c r="E1069" i="9"/>
  <c r="E1070" i="9"/>
  <c r="E1071" i="9"/>
  <c r="E1072" i="9"/>
  <c r="E1073" i="9"/>
  <c r="E1074" i="9"/>
  <c r="E1075" i="9"/>
  <c r="E1076" i="9"/>
  <c r="E1077" i="9"/>
  <c r="E1078" i="9"/>
  <c r="E1079" i="9"/>
  <c r="E1080" i="9"/>
  <c r="E1081" i="9"/>
  <c r="E1082" i="9"/>
  <c r="E1083" i="9"/>
  <c r="E1084" i="9"/>
  <c r="E1085" i="9"/>
  <c r="E1086" i="9"/>
  <c r="E1087" i="9"/>
  <c r="E1088" i="9"/>
  <c r="E1089" i="9"/>
  <c r="E1090" i="9"/>
  <c r="E1091" i="9"/>
  <c r="E1092" i="9"/>
  <c r="E1093" i="9"/>
  <c r="E1094" i="9"/>
  <c r="E1095" i="9"/>
  <c r="E1096" i="9"/>
  <c r="E1097" i="9"/>
  <c r="E1098" i="9"/>
  <c r="E1099" i="9"/>
  <c r="E1100" i="9"/>
  <c r="E1101" i="9"/>
  <c r="E1102" i="9"/>
  <c r="E1103" i="9"/>
  <c r="E1104" i="9"/>
  <c r="E1105" i="9"/>
  <c r="E1106" i="9"/>
  <c r="E1107" i="9"/>
  <c r="E1108" i="9"/>
  <c r="E1109" i="9"/>
  <c r="E1110" i="9"/>
  <c r="E1111" i="9"/>
  <c r="E1112" i="9"/>
  <c r="E1113" i="9"/>
  <c r="E1114" i="9"/>
  <c r="E1115" i="9"/>
  <c r="E1116" i="9"/>
  <c r="E1117" i="9"/>
  <c r="E1118" i="9"/>
  <c r="E1119" i="9"/>
  <c r="E1120" i="9"/>
  <c r="E1121" i="9"/>
  <c r="E1122" i="9"/>
  <c r="E1123" i="9"/>
  <c r="E1124" i="9"/>
  <c r="E1125" i="9"/>
  <c r="E1126" i="9"/>
  <c r="E1127" i="9"/>
  <c r="E1128" i="9"/>
  <c r="E1129" i="9"/>
  <c r="E1130" i="9"/>
  <c r="E1131" i="9"/>
  <c r="E1132" i="9"/>
  <c r="E1133" i="9"/>
  <c r="E1134" i="9"/>
  <c r="E1135" i="9"/>
  <c r="E1136" i="9"/>
  <c r="E1137" i="9"/>
  <c r="E1138" i="9"/>
  <c r="E1139" i="9"/>
  <c r="E1140" i="9"/>
  <c r="E1141" i="9"/>
  <c r="E1142" i="9"/>
  <c r="E1143" i="9"/>
  <c r="E1144" i="9"/>
  <c r="E1145" i="9"/>
  <c r="E1146" i="9"/>
  <c r="E1147" i="9"/>
  <c r="E1148" i="9"/>
  <c r="E1149" i="9"/>
  <c r="E1150" i="9"/>
  <c r="E1151" i="9"/>
  <c r="E1152" i="9"/>
  <c r="E1153" i="9"/>
  <c r="E1154" i="9"/>
  <c r="E1155" i="9"/>
  <c r="E1156" i="9"/>
  <c r="E1157" i="9"/>
  <c r="E1158" i="9"/>
  <c r="E1159" i="9"/>
  <c r="E1160" i="9"/>
  <c r="E1161" i="9"/>
  <c r="E1162" i="9"/>
  <c r="E1163" i="9"/>
  <c r="E1164" i="9"/>
  <c r="E1165" i="9"/>
  <c r="E1166" i="9"/>
  <c r="E1167" i="9"/>
  <c r="E1168" i="9"/>
  <c r="E1169" i="9"/>
  <c r="E1170" i="9"/>
  <c r="E1171" i="9"/>
  <c r="E1172" i="9"/>
  <c r="E1173" i="9"/>
  <c r="E1174" i="9"/>
  <c r="E1175" i="9"/>
  <c r="E1176" i="9"/>
  <c r="E1177" i="9"/>
  <c r="E1178" i="9"/>
  <c r="E1179" i="9"/>
  <c r="E1180" i="9"/>
  <c r="E1181" i="9"/>
  <c r="E1182" i="9"/>
  <c r="E1183" i="9"/>
  <c r="E1184" i="9"/>
  <c r="E1185" i="9"/>
  <c r="E1186" i="9"/>
  <c r="E1187" i="9"/>
  <c r="E1188" i="9"/>
  <c r="E1189" i="9"/>
  <c r="E1190" i="9"/>
  <c r="E1191" i="9"/>
  <c r="E1192" i="9"/>
  <c r="E1193" i="9"/>
  <c r="E1194" i="9"/>
  <c r="E1195" i="9"/>
  <c r="E1196" i="9"/>
  <c r="E1197" i="9"/>
  <c r="E1198" i="9"/>
  <c r="E1199" i="9"/>
  <c r="E1200" i="9"/>
  <c r="E1201" i="9"/>
  <c r="E1202" i="9"/>
  <c r="E1203" i="9"/>
  <c r="E1204" i="9"/>
  <c r="E1205" i="9"/>
  <c r="E1206" i="9"/>
  <c r="E1207" i="9"/>
  <c r="E1208" i="9"/>
  <c r="E1209" i="9"/>
  <c r="E1210" i="9"/>
  <c r="E1211" i="9"/>
  <c r="E1212" i="9"/>
  <c r="E1213" i="9"/>
  <c r="E1214" i="9"/>
  <c r="E1215" i="9"/>
  <c r="E1216" i="9"/>
  <c r="E1217" i="9"/>
  <c r="E1218" i="9"/>
  <c r="E1219" i="9"/>
  <c r="E1220" i="9"/>
  <c r="E1221" i="9"/>
  <c r="E1222" i="9"/>
  <c r="E1223" i="9"/>
  <c r="E1224" i="9"/>
  <c r="E1225" i="9"/>
  <c r="E1226" i="9"/>
  <c r="E1227" i="9"/>
  <c r="E1228" i="9"/>
  <c r="E1229" i="9"/>
  <c r="E1230" i="9"/>
  <c r="E1231" i="9"/>
  <c r="E1232" i="9"/>
  <c r="E1233" i="9"/>
  <c r="E1234" i="9"/>
  <c r="E1235" i="9"/>
  <c r="E1236" i="9"/>
  <c r="E1237" i="9"/>
  <c r="E1238" i="9"/>
  <c r="E1239" i="9"/>
  <c r="E1240" i="9"/>
  <c r="E1241" i="9"/>
  <c r="E1242" i="9"/>
  <c r="E1243" i="9"/>
  <c r="E1244" i="9"/>
  <c r="E1245" i="9"/>
  <c r="E1246" i="9"/>
  <c r="E1247" i="9"/>
  <c r="E1248" i="9"/>
  <c r="E1249" i="9"/>
  <c r="E1250" i="9"/>
  <c r="E1251" i="9"/>
  <c r="E1252" i="9"/>
  <c r="E1253" i="9"/>
  <c r="E1254" i="9"/>
  <c r="E1255" i="9"/>
  <c r="E1256" i="9"/>
  <c r="E1257" i="9"/>
  <c r="E1258" i="9"/>
  <c r="E1259" i="9"/>
  <c r="E1260" i="9"/>
  <c r="E1261" i="9"/>
  <c r="E1262" i="9"/>
  <c r="E1263" i="9"/>
  <c r="E1264" i="9"/>
  <c r="E1265" i="9"/>
  <c r="E1266" i="9"/>
  <c r="E1267" i="9"/>
  <c r="E1268" i="9"/>
  <c r="E1269" i="9"/>
  <c r="E1270" i="9"/>
  <c r="E1271" i="9"/>
  <c r="E1272" i="9"/>
  <c r="E1273" i="9"/>
  <c r="E1274" i="9"/>
  <c r="E1275" i="9"/>
  <c r="E1276" i="9"/>
  <c r="E1277" i="9"/>
  <c r="E1278" i="9"/>
  <c r="E1279" i="9"/>
  <c r="E1280" i="9"/>
  <c r="E1281" i="9"/>
  <c r="E1282" i="9"/>
  <c r="E1283" i="9"/>
  <c r="E1284" i="9"/>
  <c r="E1285" i="9"/>
  <c r="E1286" i="9"/>
  <c r="E1287" i="9"/>
  <c r="E1288" i="9"/>
  <c r="E1289" i="9"/>
  <c r="E1290" i="9"/>
  <c r="E1291" i="9"/>
  <c r="E1292" i="9"/>
  <c r="E1293" i="9"/>
  <c r="E1294" i="9"/>
  <c r="E1295" i="9"/>
  <c r="E1296" i="9"/>
  <c r="E1297" i="9"/>
  <c r="E1298" i="9"/>
  <c r="E1299" i="9"/>
  <c r="E1300" i="9"/>
  <c r="E1301" i="9"/>
  <c r="E1302" i="9"/>
  <c r="E1303" i="9"/>
  <c r="E1304" i="9"/>
  <c r="E1305" i="9"/>
  <c r="E1306" i="9"/>
  <c r="E1307" i="9"/>
  <c r="E1308" i="9"/>
  <c r="E1309" i="9"/>
  <c r="E1310" i="9"/>
  <c r="E1311" i="9"/>
  <c r="E1312" i="9"/>
  <c r="E1313" i="9"/>
  <c r="E1314" i="9"/>
  <c r="E1315" i="9"/>
  <c r="E1316" i="9"/>
  <c r="E1317" i="9"/>
  <c r="E1318" i="9"/>
  <c r="E1319" i="9"/>
  <c r="E1320" i="9"/>
  <c r="E1321" i="9"/>
  <c r="E1322" i="9"/>
  <c r="E1323" i="9"/>
  <c r="E1324" i="9"/>
  <c r="E1325" i="9"/>
  <c r="E1326" i="9"/>
  <c r="E1327" i="9"/>
  <c r="E1328" i="9"/>
  <c r="E1329" i="9"/>
  <c r="E1330" i="9"/>
  <c r="E1331" i="9"/>
  <c r="E1332" i="9"/>
  <c r="E1333" i="9"/>
  <c r="E1334" i="9"/>
  <c r="E1335" i="9"/>
  <c r="E1336" i="9"/>
  <c r="E1337" i="9"/>
  <c r="E1338" i="9"/>
  <c r="E1339" i="9"/>
  <c r="E1340" i="9"/>
  <c r="E1341" i="9"/>
  <c r="E1342" i="9"/>
  <c r="E1343" i="9"/>
  <c r="E1344" i="9"/>
  <c r="E1345" i="9"/>
  <c r="E1346" i="9"/>
  <c r="E1347" i="9"/>
  <c r="E1348" i="9"/>
  <c r="E1349" i="9"/>
  <c r="E1350" i="9"/>
  <c r="E1351" i="9"/>
  <c r="E1352" i="9"/>
  <c r="E1353" i="9"/>
  <c r="E1354" i="9"/>
  <c r="E1355" i="9"/>
  <c r="E1356" i="9"/>
  <c r="E1357" i="9"/>
  <c r="E1358" i="9"/>
  <c r="E1359" i="9"/>
  <c r="E1360" i="9"/>
  <c r="E1361" i="9"/>
  <c r="E1362" i="9"/>
  <c r="E1363" i="9"/>
  <c r="E1364" i="9"/>
  <c r="E1365" i="9"/>
  <c r="E1366" i="9"/>
  <c r="E1367" i="9"/>
  <c r="E1368" i="9"/>
  <c r="E1369" i="9"/>
  <c r="E1370" i="9"/>
  <c r="E1371" i="9"/>
  <c r="E1372" i="9"/>
  <c r="E1373" i="9"/>
  <c r="E1374" i="9"/>
  <c r="E1375" i="9"/>
  <c r="E1376" i="9"/>
  <c r="E1377" i="9"/>
  <c r="E1378" i="9"/>
  <c r="E1379" i="9"/>
  <c r="E1380" i="9"/>
  <c r="E1381" i="9"/>
  <c r="E1382" i="9"/>
  <c r="E1383" i="9"/>
  <c r="E1384" i="9"/>
  <c r="E1385" i="9"/>
  <c r="E1386" i="9"/>
  <c r="E1387" i="9"/>
  <c r="E1388" i="9"/>
  <c r="E1389" i="9"/>
  <c r="E1390" i="9"/>
  <c r="E1391" i="9"/>
  <c r="E1392" i="9"/>
  <c r="E1393" i="9"/>
  <c r="E1394" i="9"/>
  <c r="E1395" i="9"/>
  <c r="E1396" i="9"/>
  <c r="E1397" i="9"/>
  <c r="E1398" i="9"/>
  <c r="E1399" i="9"/>
  <c r="E1400" i="9"/>
  <c r="X13" i="9" a="1"/>
  <c r="I13" i="9" a="1"/>
  <c r="H13" i="9" a="1"/>
  <c r="G13" i="9" a="1"/>
  <c r="F13" i="9" a="1"/>
  <c r="A22" i="26" l="1"/>
  <c r="B17" i="26"/>
  <c r="B22" i="26"/>
  <c r="H13" i="9"/>
  <c r="F13" i="9"/>
  <c r="X13" i="9"/>
  <c r="G13" i="9"/>
  <c r="I13" i="9"/>
  <c r="A15" i="26"/>
  <c r="B20" i="26"/>
  <c r="B15" i="26"/>
  <c r="A17" i="26"/>
  <c r="B21" i="26"/>
  <c r="B19" i="26"/>
  <c r="A29" i="26"/>
  <c r="A16" i="26"/>
  <c r="A18" i="26"/>
  <c r="B29" i="26"/>
  <c r="B16" i="26"/>
  <c r="B18" i="26"/>
  <c r="N17" i="26"/>
  <c r="N21" i="26"/>
  <c r="N19" i="26"/>
  <c r="N13" i="26"/>
  <c r="N16" i="26"/>
  <c r="N20" i="26"/>
  <c r="N22" i="26"/>
  <c r="N14" i="26"/>
  <c r="N18" i="26"/>
  <c r="A14" i="26"/>
  <c r="B14" i="26"/>
  <c r="A27" i="26"/>
  <c r="N29" i="26"/>
  <c r="A20" i="26"/>
  <c r="A21" i="26"/>
  <c r="B27" i="26"/>
  <c r="A19" i="26"/>
  <c r="A25" i="26"/>
  <c r="P77" i="7" l="1"/>
  <c r="P76" i="7"/>
  <c r="C76" i="7" s="1"/>
  <c r="O76" i="7"/>
  <c r="B76" i="7"/>
  <c r="P75" i="7"/>
  <c r="C75" i="7" s="1"/>
  <c r="P74" i="7"/>
  <c r="C74" i="7" s="1"/>
  <c r="P73" i="7"/>
  <c r="C73" i="7" s="1"/>
  <c r="P72" i="7"/>
  <c r="C72" i="7" s="1"/>
  <c r="P71" i="7"/>
  <c r="C71" i="7" s="1"/>
  <c r="P70" i="7"/>
  <c r="C70" i="7" s="1"/>
  <c r="P69" i="7"/>
  <c r="C69" i="7" s="1"/>
  <c r="P68" i="7"/>
  <c r="P87" i="7"/>
  <c r="O87" i="7" s="1"/>
  <c r="P86" i="7"/>
  <c r="B86" i="7" s="1"/>
  <c r="P85" i="7"/>
  <c r="C85" i="7" s="1"/>
  <c r="P84" i="7"/>
  <c r="O84" i="7" s="1"/>
  <c r="P83" i="7"/>
  <c r="A83" i="7" s="1"/>
  <c r="O83" i="7"/>
  <c r="P82" i="7"/>
  <c r="B82" i="7" s="1"/>
  <c r="P81" i="7"/>
  <c r="B81" i="7" s="1"/>
  <c r="P80" i="7"/>
  <c r="O80" i="7" s="1"/>
  <c r="P79" i="7"/>
  <c r="A79" i="7" s="1"/>
  <c r="P78" i="7"/>
  <c r="B78" i="7" s="1"/>
  <c r="C1397" i="9" a="1"/>
  <c r="C1397" i="9" s="1"/>
  <c r="C1396" i="9" a="1"/>
  <c r="C1396" i="9" s="1"/>
  <c r="C1395" i="9" a="1"/>
  <c r="C1395" i="9" s="1"/>
  <c r="C1388" i="9" a="1"/>
  <c r="C1388" i="9" s="1"/>
  <c r="C1387" i="9" a="1"/>
  <c r="C1387" i="9" s="1"/>
  <c r="C1386" i="9" a="1"/>
  <c r="C1386" i="9" s="1"/>
  <c r="C1385" i="9" a="1"/>
  <c r="C1385" i="9" s="1"/>
  <c r="C1384" i="9" a="1"/>
  <c r="C1384" i="9" s="1"/>
  <c r="C1383" i="9" a="1"/>
  <c r="C1383" i="9" s="1"/>
  <c r="C1382" i="9" a="1"/>
  <c r="C1382" i="9" s="1"/>
  <c r="C1381" i="9" a="1"/>
  <c r="C1381" i="9" s="1"/>
  <c r="C1380" i="9" a="1"/>
  <c r="C1380" i="9" s="1"/>
  <c r="P90" i="7"/>
  <c r="O90" i="7" s="1"/>
  <c r="P89" i="7"/>
  <c r="C89" i="7" s="1"/>
  <c r="P88" i="7"/>
  <c r="O88" i="7" s="1"/>
  <c r="P93" i="7"/>
  <c r="O93" i="7" s="1"/>
  <c r="P92" i="7"/>
  <c r="C92" i="7" s="1"/>
  <c r="P91" i="7"/>
  <c r="C91" i="7" s="1"/>
  <c r="C495" i="9" a="1"/>
  <c r="C495" i="9" s="1"/>
  <c r="C496" i="9" a="1"/>
  <c r="C496" i="9" s="1"/>
  <c r="C497" i="9" a="1"/>
  <c r="C497" i="9" s="1"/>
  <c r="C498" i="9" a="1"/>
  <c r="C498" i="9" s="1"/>
  <c r="C499" i="9" a="1"/>
  <c r="C499" i="9" s="1"/>
  <c r="C500" i="9" a="1"/>
  <c r="C500" i="9" s="1"/>
  <c r="C501" i="9" a="1"/>
  <c r="C501" i="9" s="1"/>
  <c r="C502" i="9" a="1"/>
  <c r="C502" i="9" s="1"/>
  <c r="C503" i="9" a="1"/>
  <c r="C503" i="9" s="1"/>
  <c r="C504" i="9" a="1"/>
  <c r="C504" i="9" s="1"/>
  <c r="C505" i="9" a="1"/>
  <c r="C505" i="9" s="1"/>
  <c r="C506" i="9" a="1"/>
  <c r="C506" i="9" s="1"/>
  <c r="C507" i="9" a="1"/>
  <c r="C507" i="9" s="1"/>
  <c r="C508" i="9" a="1"/>
  <c r="C508" i="9" s="1"/>
  <c r="C509" i="9" a="1"/>
  <c r="C509" i="9" s="1"/>
  <c r="C510" i="9" a="1"/>
  <c r="C510" i="9" s="1"/>
  <c r="C511" i="9" a="1"/>
  <c r="C511" i="9" s="1"/>
  <c r="C512" i="9" a="1"/>
  <c r="C512" i="9" s="1"/>
  <c r="C513" i="9" a="1"/>
  <c r="C513" i="9" s="1"/>
  <c r="C514" i="9" a="1"/>
  <c r="C514" i="9" s="1"/>
  <c r="C515" i="9" a="1"/>
  <c r="C515" i="9" s="1"/>
  <c r="C516" i="9" a="1"/>
  <c r="C516" i="9" s="1"/>
  <c r="C517" i="9" a="1"/>
  <c r="C517" i="9" s="1"/>
  <c r="C518" i="9" a="1"/>
  <c r="C518" i="9" s="1"/>
  <c r="C519" i="9" a="1"/>
  <c r="C519" i="9" s="1"/>
  <c r="C520" i="9" a="1"/>
  <c r="C520" i="9" s="1"/>
  <c r="C521" i="9" a="1"/>
  <c r="C521" i="9" s="1"/>
  <c r="C522" i="9" a="1"/>
  <c r="C522" i="9" s="1"/>
  <c r="C523" i="9" a="1"/>
  <c r="C523" i="9" s="1"/>
  <c r="C524" i="9" a="1"/>
  <c r="C524" i="9" s="1"/>
  <c r="C525" i="9" a="1"/>
  <c r="C525" i="9" s="1"/>
  <c r="C526" i="9" a="1"/>
  <c r="C526" i="9" s="1"/>
  <c r="C527" i="9" a="1"/>
  <c r="C527" i="9" s="1"/>
  <c r="C528" i="9" a="1"/>
  <c r="C528" i="9" s="1"/>
  <c r="C529" i="9" a="1"/>
  <c r="C529" i="9" s="1"/>
  <c r="C530" i="9" a="1"/>
  <c r="C530" i="9" s="1"/>
  <c r="C531" i="9" a="1"/>
  <c r="C531" i="9" s="1"/>
  <c r="C532" i="9" a="1"/>
  <c r="C532" i="9" s="1"/>
  <c r="C533" i="9" a="1"/>
  <c r="C533" i="9" s="1"/>
  <c r="C534" i="9" a="1"/>
  <c r="C534" i="9" s="1"/>
  <c r="C535" i="9" a="1"/>
  <c r="C535" i="9" s="1"/>
  <c r="C536" i="9" a="1"/>
  <c r="C536" i="9" s="1"/>
  <c r="C537" i="9" a="1"/>
  <c r="C537" i="9" s="1"/>
  <c r="C538" i="9" a="1"/>
  <c r="C538" i="9" s="1"/>
  <c r="C539" i="9" a="1"/>
  <c r="C539" i="9" s="1"/>
  <c r="C540" i="9" a="1"/>
  <c r="C540" i="9" s="1"/>
  <c r="C541" i="9" a="1"/>
  <c r="C541" i="9" s="1"/>
  <c r="C542" i="9" a="1"/>
  <c r="C542" i="9" s="1"/>
  <c r="C543" i="9" a="1"/>
  <c r="C543" i="9" s="1"/>
  <c r="C544" i="9" a="1"/>
  <c r="C544" i="9" s="1"/>
  <c r="C545" i="9" a="1"/>
  <c r="C545" i="9" s="1"/>
  <c r="C546" i="9" a="1"/>
  <c r="C546" i="9" s="1"/>
  <c r="C547" i="9" a="1"/>
  <c r="C547" i="9" s="1"/>
  <c r="C548" i="9" a="1"/>
  <c r="C548" i="9" s="1"/>
  <c r="C549" i="9" a="1"/>
  <c r="C549" i="9" s="1"/>
  <c r="C550" i="9" a="1"/>
  <c r="C550" i="9" s="1"/>
  <c r="C551" i="9" a="1"/>
  <c r="C551" i="9" s="1"/>
  <c r="C552" i="9" a="1"/>
  <c r="C552" i="9" s="1"/>
  <c r="C553" i="9" a="1"/>
  <c r="C553" i="9" s="1"/>
  <c r="C554" i="9" a="1"/>
  <c r="C554" i="9" s="1"/>
  <c r="C555" i="9" a="1"/>
  <c r="C555" i="9" s="1"/>
  <c r="C556" i="9" a="1"/>
  <c r="C556" i="9" s="1"/>
  <c r="C557" i="9" a="1"/>
  <c r="C557" i="9" s="1"/>
  <c r="C558" i="9" a="1"/>
  <c r="C558" i="9" s="1"/>
  <c r="C559" i="9" a="1"/>
  <c r="C559" i="9" s="1"/>
  <c r="C560" i="9" a="1"/>
  <c r="C560" i="9" s="1"/>
  <c r="C561" i="9" a="1"/>
  <c r="C561" i="9" s="1"/>
  <c r="C562" i="9" a="1"/>
  <c r="C562" i="9" s="1"/>
  <c r="C563" i="9" a="1"/>
  <c r="C563" i="9" s="1"/>
  <c r="C564" i="9" a="1"/>
  <c r="C564" i="9" s="1"/>
  <c r="C565" i="9" a="1"/>
  <c r="C565" i="9" s="1"/>
  <c r="C566" i="9" a="1"/>
  <c r="C566" i="9" s="1"/>
  <c r="C567" i="9" a="1"/>
  <c r="C567" i="9" s="1"/>
  <c r="C568" i="9" a="1"/>
  <c r="C568" i="9" s="1"/>
  <c r="C569" i="9" a="1"/>
  <c r="C569" i="9" s="1"/>
  <c r="C570" i="9" a="1"/>
  <c r="C570" i="9" s="1"/>
  <c r="C571" i="9" a="1"/>
  <c r="C571" i="9" s="1"/>
  <c r="C572" i="9" a="1"/>
  <c r="C572" i="9" s="1"/>
  <c r="C573" i="9" a="1"/>
  <c r="C573" i="9" s="1"/>
  <c r="C574" i="9" a="1"/>
  <c r="C574" i="9" s="1"/>
  <c r="C575" i="9" a="1"/>
  <c r="C575" i="9" s="1"/>
  <c r="C576" i="9" a="1"/>
  <c r="C576" i="9" s="1"/>
  <c r="C577" i="9" a="1"/>
  <c r="C577" i="9" s="1"/>
  <c r="C578" i="9" a="1"/>
  <c r="C578" i="9" s="1"/>
  <c r="C579" i="9" a="1"/>
  <c r="C579" i="9" s="1"/>
  <c r="C580" i="9" a="1"/>
  <c r="C580" i="9" s="1"/>
  <c r="C581" i="9" a="1"/>
  <c r="C581" i="9" s="1"/>
  <c r="C582" i="9" a="1"/>
  <c r="C582" i="9" s="1"/>
  <c r="C583" i="9" a="1"/>
  <c r="C583" i="9" s="1"/>
  <c r="C584" i="9" a="1"/>
  <c r="C584" i="9" s="1"/>
  <c r="C585" i="9" a="1"/>
  <c r="C585" i="9" s="1"/>
  <c r="C586" i="9" a="1"/>
  <c r="C586" i="9" s="1"/>
  <c r="C587" i="9" a="1"/>
  <c r="C587" i="9" s="1"/>
  <c r="C588" i="9" a="1"/>
  <c r="C588" i="9" s="1"/>
  <c r="C589" i="9" a="1"/>
  <c r="C589" i="9" s="1"/>
  <c r="C590" i="9" a="1"/>
  <c r="C590" i="9" s="1"/>
  <c r="C591" i="9" a="1"/>
  <c r="C591" i="9" s="1"/>
  <c r="C592" i="9" a="1"/>
  <c r="C592" i="9" s="1"/>
  <c r="C593" i="9" a="1"/>
  <c r="C593" i="9" s="1"/>
  <c r="C594" i="9" a="1"/>
  <c r="C594" i="9" s="1"/>
  <c r="C595" i="9" a="1"/>
  <c r="C595" i="9" s="1"/>
  <c r="C596" i="9" a="1"/>
  <c r="C596" i="9" s="1"/>
  <c r="C597" i="9" a="1"/>
  <c r="C597" i="9" s="1"/>
  <c r="C598" i="9" a="1"/>
  <c r="C598" i="9" s="1"/>
  <c r="C599" i="9" a="1"/>
  <c r="C599" i="9" s="1"/>
  <c r="C600" i="9" a="1"/>
  <c r="C600" i="9" s="1"/>
  <c r="C601" i="9" a="1"/>
  <c r="C601" i="9" s="1"/>
  <c r="C602" i="9" a="1"/>
  <c r="C602" i="9" s="1"/>
  <c r="C603" i="9" a="1"/>
  <c r="C603" i="9" s="1"/>
  <c r="C604" i="9" a="1"/>
  <c r="C604" i="9" s="1"/>
  <c r="C605" i="9" a="1"/>
  <c r="C605" i="9" s="1"/>
  <c r="C606" i="9" a="1"/>
  <c r="C606" i="9" s="1"/>
  <c r="C607" i="9" a="1"/>
  <c r="C607" i="9" s="1"/>
  <c r="C608" i="9" a="1"/>
  <c r="C608" i="9" s="1"/>
  <c r="C609" i="9" a="1"/>
  <c r="C609" i="9" s="1"/>
  <c r="C610" i="9" a="1"/>
  <c r="C610" i="9" s="1"/>
  <c r="C611" i="9" a="1"/>
  <c r="C611" i="9" s="1"/>
  <c r="C612" i="9" a="1"/>
  <c r="C612" i="9" s="1"/>
  <c r="C613" i="9" a="1"/>
  <c r="C613" i="9" s="1"/>
  <c r="C614" i="9" a="1"/>
  <c r="C614" i="9" s="1"/>
  <c r="C615" i="9" a="1"/>
  <c r="C615" i="9" s="1"/>
  <c r="C616" i="9" a="1"/>
  <c r="C616" i="9" s="1"/>
  <c r="C617" i="9" a="1"/>
  <c r="C617" i="9" s="1"/>
  <c r="C618" i="9" a="1"/>
  <c r="C618" i="9" s="1"/>
  <c r="C619" i="9" a="1"/>
  <c r="C619" i="9" s="1"/>
  <c r="C620" i="9" a="1"/>
  <c r="C620" i="9" s="1"/>
  <c r="C621" i="9" a="1"/>
  <c r="C621" i="9" s="1"/>
  <c r="C622" i="9" a="1"/>
  <c r="C622" i="9" s="1"/>
  <c r="C623" i="9" a="1"/>
  <c r="C623" i="9" s="1"/>
  <c r="C624" i="9" a="1"/>
  <c r="C624" i="9" s="1"/>
  <c r="C625" i="9" a="1"/>
  <c r="C625" i="9" s="1"/>
  <c r="C626" i="9" a="1"/>
  <c r="C626" i="9" s="1"/>
  <c r="C627" i="9" a="1"/>
  <c r="C627" i="9" s="1"/>
  <c r="C628" i="9" a="1"/>
  <c r="C628" i="9" s="1"/>
  <c r="C629" i="9" a="1"/>
  <c r="C629" i="9" s="1"/>
  <c r="C630" i="9" a="1"/>
  <c r="C630" i="9" s="1"/>
  <c r="C631" i="9" a="1"/>
  <c r="C631" i="9" s="1"/>
  <c r="C632" i="9" a="1"/>
  <c r="C632" i="9" s="1"/>
  <c r="C633" i="9" a="1"/>
  <c r="C633" i="9" s="1"/>
  <c r="C634" i="9" a="1"/>
  <c r="C634" i="9" s="1"/>
  <c r="C635" i="9" a="1"/>
  <c r="C635" i="9" s="1"/>
  <c r="C636" i="9" a="1"/>
  <c r="C636" i="9" s="1"/>
  <c r="C637" i="9" a="1"/>
  <c r="C637" i="9" s="1"/>
  <c r="C638" i="9" a="1"/>
  <c r="C638" i="9" s="1"/>
  <c r="C639" i="9" a="1"/>
  <c r="C639" i="9" s="1"/>
  <c r="C640" i="9" a="1"/>
  <c r="C640" i="9" s="1"/>
  <c r="C641" i="9" a="1"/>
  <c r="C641" i="9" s="1"/>
  <c r="C642" i="9" a="1"/>
  <c r="C642" i="9" s="1"/>
  <c r="C643" i="9" a="1"/>
  <c r="C643" i="9" s="1"/>
  <c r="C644" i="9" a="1"/>
  <c r="C644" i="9" s="1"/>
  <c r="C645" i="9" a="1"/>
  <c r="C645" i="9" s="1"/>
  <c r="C646" i="9" a="1"/>
  <c r="C646" i="9" s="1"/>
  <c r="C647" i="9" a="1"/>
  <c r="C647" i="9" s="1"/>
  <c r="C648" i="9" a="1"/>
  <c r="C648" i="9" s="1"/>
  <c r="C649" i="9" a="1"/>
  <c r="C649" i="9" s="1"/>
  <c r="C650" i="9" a="1"/>
  <c r="C650" i="9" s="1"/>
  <c r="C651" i="9" a="1"/>
  <c r="C651" i="9" s="1"/>
  <c r="C652" i="9" a="1"/>
  <c r="C652" i="9" s="1"/>
  <c r="C653" i="9" a="1"/>
  <c r="C653" i="9" s="1"/>
  <c r="C654" i="9" a="1"/>
  <c r="C654" i="9" s="1"/>
  <c r="C655" i="9" a="1"/>
  <c r="C655" i="9" s="1"/>
  <c r="C656" i="9" a="1"/>
  <c r="C656" i="9" s="1"/>
  <c r="C657" i="9" a="1"/>
  <c r="C657" i="9" s="1"/>
  <c r="C658" i="9" a="1"/>
  <c r="C658" i="9" s="1"/>
  <c r="C659" i="9" a="1"/>
  <c r="C659" i="9" s="1"/>
  <c r="C660" i="9" a="1"/>
  <c r="C660" i="9" s="1"/>
  <c r="C661" i="9" a="1"/>
  <c r="C661" i="9" s="1"/>
  <c r="C662" i="9" a="1"/>
  <c r="C662" i="9" s="1"/>
  <c r="C663" i="9" a="1"/>
  <c r="C663" i="9" s="1"/>
  <c r="C664" i="9" a="1"/>
  <c r="C664" i="9" s="1"/>
  <c r="C665" i="9" a="1"/>
  <c r="C665" i="9" s="1"/>
  <c r="C666" i="9" a="1"/>
  <c r="C666" i="9" s="1"/>
  <c r="C667" i="9" a="1"/>
  <c r="C667" i="9" s="1"/>
  <c r="C668" i="9" a="1"/>
  <c r="C668" i="9" s="1"/>
  <c r="C669" i="9" a="1"/>
  <c r="C669" i="9" s="1"/>
  <c r="C670" i="9" a="1"/>
  <c r="C670" i="9" s="1"/>
  <c r="C671" i="9" a="1"/>
  <c r="C671" i="9" s="1"/>
  <c r="C672" i="9" a="1"/>
  <c r="C672" i="9" s="1"/>
  <c r="C673" i="9" a="1"/>
  <c r="C673" i="9" s="1"/>
  <c r="C674" i="9" a="1"/>
  <c r="C674" i="9" s="1"/>
  <c r="C675" i="9" a="1"/>
  <c r="C675" i="9" s="1"/>
  <c r="C676" i="9" a="1"/>
  <c r="C676" i="9" s="1"/>
  <c r="C677" i="9" a="1"/>
  <c r="C677" i="9" s="1"/>
  <c r="C678" i="9" a="1"/>
  <c r="C678" i="9" s="1"/>
  <c r="C679" i="9" a="1"/>
  <c r="C679" i="9" s="1"/>
  <c r="C680" i="9" a="1"/>
  <c r="C680" i="9" s="1"/>
  <c r="C681" i="9" a="1"/>
  <c r="C681" i="9" s="1"/>
  <c r="C682" i="9" a="1"/>
  <c r="C682" i="9" s="1"/>
  <c r="C683" i="9" a="1"/>
  <c r="C683" i="9" s="1"/>
  <c r="C684" i="9" a="1"/>
  <c r="C684" i="9" s="1"/>
  <c r="C685" i="9" a="1"/>
  <c r="C685" i="9" s="1"/>
  <c r="C686" i="9" a="1"/>
  <c r="C686" i="9" s="1"/>
  <c r="C687" i="9" a="1"/>
  <c r="C687" i="9" s="1"/>
  <c r="C688" i="9" a="1"/>
  <c r="C688" i="9" s="1"/>
  <c r="C689" i="9" a="1"/>
  <c r="C689" i="9" s="1"/>
  <c r="C690" i="9" a="1"/>
  <c r="C690" i="9" s="1"/>
  <c r="C691" i="9" a="1"/>
  <c r="C691" i="9" s="1"/>
  <c r="C692" i="9" a="1"/>
  <c r="C692" i="9" s="1"/>
  <c r="C693" i="9" a="1"/>
  <c r="C693" i="9" s="1"/>
  <c r="C694" i="9" a="1"/>
  <c r="C694" i="9" s="1"/>
  <c r="C695" i="9" a="1"/>
  <c r="C695" i="9" s="1"/>
  <c r="C696" i="9" a="1"/>
  <c r="C696" i="9" s="1"/>
  <c r="C697" i="9" a="1"/>
  <c r="C697" i="9" s="1"/>
  <c r="C698" i="9" a="1"/>
  <c r="C698" i="9" s="1"/>
  <c r="C699" i="9" a="1"/>
  <c r="C699" i="9" s="1"/>
  <c r="C700" i="9" a="1"/>
  <c r="C700" i="9" s="1"/>
  <c r="C701" i="9" a="1"/>
  <c r="C701" i="9" s="1"/>
  <c r="C702" i="9" a="1"/>
  <c r="C702" i="9" s="1"/>
  <c r="C703" i="9" a="1"/>
  <c r="C703" i="9" s="1"/>
  <c r="C704" i="9" a="1"/>
  <c r="C704" i="9" s="1"/>
  <c r="C705" i="9" a="1"/>
  <c r="C705" i="9" s="1"/>
  <c r="C706" i="9" a="1"/>
  <c r="C706" i="9" s="1"/>
  <c r="C707" i="9" a="1"/>
  <c r="C707" i="9" s="1"/>
  <c r="C708" i="9" a="1"/>
  <c r="C708" i="9" s="1"/>
  <c r="C709" i="9" a="1"/>
  <c r="C709" i="9" s="1"/>
  <c r="C710" i="9" a="1"/>
  <c r="C710" i="9" s="1"/>
  <c r="C711" i="9" a="1"/>
  <c r="C711" i="9" s="1"/>
  <c r="C712" i="9" a="1"/>
  <c r="C712" i="9" s="1"/>
  <c r="C713" i="9" a="1"/>
  <c r="C713" i="9" s="1"/>
  <c r="C714" i="9" a="1"/>
  <c r="C714" i="9" s="1"/>
  <c r="C715" i="9" a="1"/>
  <c r="C715" i="9" s="1"/>
  <c r="C716" i="9" a="1"/>
  <c r="C716" i="9" s="1"/>
  <c r="C717" i="9" a="1"/>
  <c r="C717" i="9" s="1"/>
  <c r="C718" i="9" a="1"/>
  <c r="C718" i="9" s="1"/>
  <c r="C719" i="9" a="1"/>
  <c r="C719" i="9" s="1"/>
  <c r="C720" i="9" a="1"/>
  <c r="C720" i="9" s="1"/>
  <c r="C721" i="9" a="1"/>
  <c r="C721" i="9" s="1"/>
  <c r="C722" i="9" a="1"/>
  <c r="C722" i="9" s="1"/>
  <c r="C723" i="9" a="1"/>
  <c r="C723" i="9" s="1"/>
  <c r="C724" i="9" a="1"/>
  <c r="C724" i="9" s="1"/>
  <c r="C725" i="9" a="1"/>
  <c r="C725" i="9" s="1"/>
  <c r="C726" i="9" a="1"/>
  <c r="C726" i="9" s="1"/>
  <c r="C727" i="9" a="1"/>
  <c r="C727" i="9" s="1"/>
  <c r="C728" i="9" a="1"/>
  <c r="C728" i="9" s="1"/>
  <c r="C729" i="9" a="1"/>
  <c r="C729" i="9" s="1"/>
  <c r="C730" i="9" a="1"/>
  <c r="C730" i="9" s="1"/>
  <c r="C731" i="9" a="1"/>
  <c r="C731" i="9" s="1"/>
  <c r="C732" i="9" a="1"/>
  <c r="C732" i="9" s="1"/>
  <c r="C733" i="9" a="1"/>
  <c r="C733" i="9" s="1"/>
  <c r="C734" i="9" a="1"/>
  <c r="C734" i="9" s="1"/>
  <c r="C735" i="9" a="1"/>
  <c r="C735" i="9" s="1"/>
  <c r="C736" i="9" a="1"/>
  <c r="C736" i="9" s="1"/>
  <c r="C737" i="9" a="1"/>
  <c r="C737" i="9" s="1"/>
  <c r="C738" i="9" a="1"/>
  <c r="C738" i="9" s="1"/>
  <c r="C739" i="9" a="1"/>
  <c r="C739" i="9" s="1"/>
  <c r="C740" i="9" a="1"/>
  <c r="C740" i="9" s="1"/>
  <c r="C741" i="9" a="1"/>
  <c r="C741" i="9" s="1"/>
  <c r="C742" i="9" a="1"/>
  <c r="C742" i="9" s="1"/>
  <c r="C743" i="9" a="1"/>
  <c r="C743" i="9" s="1"/>
  <c r="C744" i="9" a="1"/>
  <c r="C744" i="9" s="1"/>
  <c r="C745" i="9" a="1"/>
  <c r="C745" i="9" s="1"/>
  <c r="C746" i="9" a="1"/>
  <c r="C746" i="9" s="1"/>
  <c r="C747" i="9" a="1"/>
  <c r="C747" i="9" s="1"/>
  <c r="C748" i="9" a="1"/>
  <c r="C748" i="9" s="1"/>
  <c r="C749" i="9" a="1"/>
  <c r="C749" i="9" s="1"/>
  <c r="C750" i="9" a="1"/>
  <c r="C750" i="9" s="1"/>
  <c r="C751" i="9" a="1"/>
  <c r="C751" i="9" s="1"/>
  <c r="C752" i="9" a="1"/>
  <c r="C752" i="9" s="1"/>
  <c r="C753" i="9" a="1"/>
  <c r="C753" i="9" s="1"/>
  <c r="C754" i="9" a="1"/>
  <c r="C754" i="9" s="1"/>
  <c r="C755" i="9" a="1"/>
  <c r="C755" i="9" s="1"/>
  <c r="C756" i="9" a="1"/>
  <c r="C756" i="9" s="1"/>
  <c r="C757" i="9" a="1"/>
  <c r="C757" i="9" s="1"/>
  <c r="C758" i="9" a="1"/>
  <c r="C758" i="9" s="1"/>
  <c r="C759" i="9" a="1"/>
  <c r="C759" i="9" s="1"/>
  <c r="C760" i="9" a="1"/>
  <c r="C760" i="9" s="1"/>
  <c r="C761" i="9" a="1"/>
  <c r="C761" i="9" s="1"/>
  <c r="C762" i="9" a="1"/>
  <c r="C762" i="9" s="1"/>
  <c r="C763" i="9" a="1"/>
  <c r="C763" i="9" s="1"/>
  <c r="C764" i="9" a="1"/>
  <c r="C764" i="9" s="1"/>
  <c r="C765" i="9" a="1"/>
  <c r="C765" i="9" s="1"/>
  <c r="C766" i="9" a="1"/>
  <c r="C766" i="9" s="1"/>
  <c r="C767" i="9" a="1"/>
  <c r="C767" i="9" s="1"/>
  <c r="C768" i="9" a="1"/>
  <c r="C768" i="9" s="1"/>
  <c r="C769" i="9" a="1"/>
  <c r="C769" i="9" s="1"/>
  <c r="C770" i="9" a="1"/>
  <c r="C770" i="9" s="1"/>
  <c r="C771" i="9" a="1"/>
  <c r="C771" i="9" s="1"/>
  <c r="C772" i="9" a="1"/>
  <c r="C772" i="9" s="1"/>
  <c r="C773" i="9" a="1"/>
  <c r="C773" i="9" s="1"/>
  <c r="C774" i="9" a="1"/>
  <c r="C774" i="9" s="1"/>
  <c r="C775" i="9" a="1"/>
  <c r="C775" i="9" s="1"/>
  <c r="C776" i="9" a="1"/>
  <c r="C776" i="9" s="1"/>
  <c r="C777" i="9" a="1"/>
  <c r="C777" i="9" s="1"/>
  <c r="C778" i="9" a="1"/>
  <c r="C778" i="9" s="1"/>
  <c r="C779" i="9" a="1"/>
  <c r="C779" i="9" s="1"/>
  <c r="C780" i="9" a="1"/>
  <c r="C780" i="9" s="1"/>
  <c r="C781" i="9" a="1"/>
  <c r="C781" i="9" s="1"/>
  <c r="C782" i="9" a="1"/>
  <c r="C782" i="9" s="1"/>
  <c r="C783" i="9" a="1"/>
  <c r="C783" i="9" s="1"/>
  <c r="C784" i="9" a="1"/>
  <c r="C784" i="9" s="1"/>
  <c r="C785" i="9" a="1"/>
  <c r="C785" i="9" s="1"/>
  <c r="C786" i="9" a="1"/>
  <c r="C786" i="9" s="1"/>
  <c r="C787" i="9" a="1"/>
  <c r="C787" i="9" s="1"/>
  <c r="C788" i="9" a="1"/>
  <c r="C788" i="9" s="1"/>
  <c r="C789" i="9" a="1"/>
  <c r="C789" i="9" s="1"/>
  <c r="C790" i="9" a="1"/>
  <c r="C790" i="9" s="1"/>
  <c r="C791" i="9" a="1"/>
  <c r="C791" i="9" s="1"/>
  <c r="C792" i="9" a="1"/>
  <c r="C792" i="9" s="1"/>
  <c r="C793" i="9" a="1"/>
  <c r="C793" i="9" s="1"/>
  <c r="C794" i="9" a="1"/>
  <c r="C794" i="9" s="1"/>
  <c r="C795" i="9" a="1"/>
  <c r="C795" i="9" s="1"/>
  <c r="C796" i="9" a="1"/>
  <c r="C796" i="9" s="1"/>
  <c r="C797" i="9" a="1"/>
  <c r="C797" i="9" s="1"/>
  <c r="C798" i="9" a="1"/>
  <c r="C798" i="9" s="1"/>
  <c r="C799" i="9" a="1"/>
  <c r="C799" i="9" s="1"/>
  <c r="C800" i="9" a="1"/>
  <c r="C800" i="9" s="1"/>
  <c r="C801" i="9" a="1"/>
  <c r="C801" i="9" s="1"/>
  <c r="C802" i="9" a="1"/>
  <c r="C802" i="9" s="1"/>
  <c r="C803" i="9" a="1"/>
  <c r="C803" i="9" s="1"/>
  <c r="C804" i="9" a="1"/>
  <c r="C804" i="9" s="1"/>
  <c r="C805" i="9" a="1"/>
  <c r="C805" i="9" s="1"/>
  <c r="C806" i="9" a="1"/>
  <c r="C806" i="9" s="1"/>
  <c r="C807" i="9" a="1"/>
  <c r="C807" i="9" s="1"/>
  <c r="C808" i="9" a="1"/>
  <c r="C808" i="9" s="1"/>
  <c r="C809" i="9" a="1"/>
  <c r="C809" i="9" s="1"/>
  <c r="C810" i="9" a="1"/>
  <c r="C810" i="9" s="1"/>
  <c r="C811" i="9" a="1"/>
  <c r="C811" i="9" s="1"/>
  <c r="C812" i="9" a="1"/>
  <c r="C812" i="9" s="1"/>
  <c r="C813" i="9" a="1"/>
  <c r="C813" i="9" s="1"/>
  <c r="C814" i="9" a="1"/>
  <c r="C814" i="9" s="1"/>
  <c r="C815" i="9" a="1"/>
  <c r="C815" i="9" s="1"/>
  <c r="C816" i="9" a="1"/>
  <c r="C816" i="9" s="1"/>
  <c r="C817" i="9" a="1"/>
  <c r="C817" i="9" s="1"/>
  <c r="C818" i="9" a="1"/>
  <c r="C818" i="9" s="1"/>
  <c r="C819" i="9" a="1"/>
  <c r="C819" i="9" s="1"/>
  <c r="C820" i="9" a="1"/>
  <c r="C820" i="9" s="1"/>
  <c r="C821" i="9" a="1"/>
  <c r="C821" i="9" s="1"/>
  <c r="C822" i="9" a="1"/>
  <c r="C822" i="9" s="1"/>
  <c r="C823" i="9" a="1"/>
  <c r="C823" i="9" s="1"/>
  <c r="C824" i="9" a="1"/>
  <c r="C824" i="9" s="1"/>
  <c r="C825" i="9" a="1"/>
  <c r="C825" i="9" s="1"/>
  <c r="C826" i="9" a="1"/>
  <c r="C826" i="9" s="1"/>
  <c r="C827" i="9" a="1"/>
  <c r="C827" i="9" s="1"/>
  <c r="C828" i="9" a="1"/>
  <c r="C828" i="9" s="1"/>
  <c r="C829" i="9" a="1"/>
  <c r="C829" i="9" s="1"/>
  <c r="C830" i="9" a="1"/>
  <c r="C830" i="9" s="1"/>
  <c r="C831" i="9" a="1"/>
  <c r="C831" i="9" s="1"/>
  <c r="C832" i="9" a="1"/>
  <c r="C832" i="9" s="1"/>
  <c r="C833" i="9" a="1"/>
  <c r="C833" i="9" s="1"/>
  <c r="C834" i="9" a="1"/>
  <c r="C834" i="9" s="1"/>
  <c r="C835" i="9" a="1"/>
  <c r="C835" i="9" s="1"/>
  <c r="C836" i="9" a="1"/>
  <c r="C836" i="9" s="1"/>
  <c r="C837" i="9" a="1"/>
  <c r="C837" i="9" s="1"/>
  <c r="C838" i="9" a="1"/>
  <c r="C838" i="9" s="1"/>
  <c r="C839" i="9" a="1"/>
  <c r="C839" i="9" s="1"/>
  <c r="C840" i="9" a="1"/>
  <c r="C840" i="9" s="1"/>
  <c r="C841" i="9" a="1"/>
  <c r="C841" i="9" s="1"/>
  <c r="C842" i="9" a="1"/>
  <c r="C842" i="9" s="1"/>
  <c r="C843" i="9" a="1"/>
  <c r="C843" i="9" s="1"/>
  <c r="C844" i="9" a="1"/>
  <c r="C844" i="9" s="1"/>
  <c r="C845" i="9" a="1"/>
  <c r="C845" i="9" s="1"/>
  <c r="C846" i="9" a="1"/>
  <c r="C846" i="9" s="1"/>
  <c r="C847" i="9" a="1"/>
  <c r="C847" i="9" s="1"/>
  <c r="C848" i="9" a="1"/>
  <c r="C848" i="9" s="1"/>
  <c r="C849" i="9" a="1"/>
  <c r="C849" i="9" s="1"/>
  <c r="C850" i="9" a="1"/>
  <c r="C850" i="9" s="1"/>
  <c r="C851" i="9" a="1"/>
  <c r="C851" i="9" s="1"/>
  <c r="C852" i="9" a="1"/>
  <c r="C852" i="9" s="1"/>
  <c r="C853" i="9" a="1"/>
  <c r="C853" i="9" s="1"/>
  <c r="C854" i="9" a="1"/>
  <c r="C854" i="9" s="1"/>
  <c r="C855" i="9" a="1"/>
  <c r="C855" i="9" s="1"/>
  <c r="C856" i="9" a="1"/>
  <c r="C856" i="9" s="1"/>
  <c r="C857" i="9" a="1"/>
  <c r="C857" i="9" s="1"/>
  <c r="C858" i="9" a="1"/>
  <c r="C858" i="9" s="1"/>
  <c r="C859" i="9" a="1"/>
  <c r="C859" i="9" s="1"/>
  <c r="C860" i="9" a="1"/>
  <c r="C860" i="9" s="1"/>
  <c r="C861" i="9" a="1"/>
  <c r="C861" i="9" s="1"/>
  <c r="C862" i="9" a="1"/>
  <c r="C862" i="9" s="1"/>
  <c r="C863" i="9" a="1"/>
  <c r="C863" i="9" s="1"/>
  <c r="C864" i="9" a="1"/>
  <c r="C864" i="9" s="1"/>
  <c r="C865" i="9" a="1"/>
  <c r="C865" i="9" s="1"/>
  <c r="C866" i="9" a="1"/>
  <c r="C866" i="9" s="1"/>
  <c r="C867" i="9" a="1"/>
  <c r="C867" i="9" s="1"/>
  <c r="C868" i="9" a="1"/>
  <c r="C868" i="9" s="1"/>
  <c r="C869" i="9" a="1"/>
  <c r="C869" i="9" s="1"/>
  <c r="C870" i="9" a="1"/>
  <c r="C870" i="9" s="1"/>
  <c r="C871" i="9" a="1"/>
  <c r="C871" i="9" s="1"/>
  <c r="C872" i="9" a="1"/>
  <c r="C872" i="9" s="1"/>
  <c r="C873" i="9" a="1"/>
  <c r="C873" i="9" s="1"/>
  <c r="C874" i="9" a="1"/>
  <c r="C874" i="9" s="1"/>
  <c r="C875" i="9" a="1"/>
  <c r="C875" i="9" s="1"/>
  <c r="C876" i="9" a="1"/>
  <c r="C876" i="9" s="1"/>
  <c r="C877" i="9" a="1"/>
  <c r="C877" i="9" s="1"/>
  <c r="C878" i="9" a="1"/>
  <c r="C878" i="9" s="1"/>
  <c r="C879" i="9" a="1"/>
  <c r="C879" i="9" s="1"/>
  <c r="C880" i="9" a="1"/>
  <c r="C880" i="9" s="1"/>
  <c r="C881" i="9" a="1"/>
  <c r="C881" i="9" s="1"/>
  <c r="C882" i="9" a="1"/>
  <c r="C882" i="9" s="1"/>
  <c r="C883" i="9" a="1"/>
  <c r="C883" i="9" s="1"/>
  <c r="C884" i="9" a="1"/>
  <c r="C884" i="9" s="1"/>
  <c r="C885" i="9" a="1"/>
  <c r="C885" i="9" s="1"/>
  <c r="C886" i="9" a="1"/>
  <c r="C886" i="9" s="1"/>
  <c r="C887" i="9" a="1"/>
  <c r="C887" i="9" s="1"/>
  <c r="C888" i="9" a="1"/>
  <c r="C888" i="9" s="1"/>
  <c r="C889" i="9" a="1"/>
  <c r="C889" i="9" s="1"/>
  <c r="C890" i="9" a="1"/>
  <c r="C890" i="9" s="1"/>
  <c r="C891" i="9" a="1"/>
  <c r="C891" i="9" s="1"/>
  <c r="C892" i="9" a="1"/>
  <c r="C892" i="9" s="1"/>
  <c r="C893" i="9" a="1"/>
  <c r="C893" i="9" s="1"/>
  <c r="C894" i="9" a="1"/>
  <c r="C894" i="9" s="1"/>
  <c r="C895" i="9" a="1"/>
  <c r="C895" i="9" s="1"/>
  <c r="C896" i="9" a="1"/>
  <c r="C896" i="9" s="1"/>
  <c r="C897" i="9" a="1"/>
  <c r="C897" i="9" s="1"/>
  <c r="C898" i="9" a="1"/>
  <c r="C898" i="9" s="1"/>
  <c r="C899" i="9" a="1"/>
  <c r="C899" i="9" s="1"/>
  <c r="C900" i="9" a="1"/>
  <c r="C900" i="9" s="1"/>
  <c r="C901" i="9" a="1"/>
  <c r="C901" i="9" s="1"/>
  <c r="C902" i="9" a="1"/>
  <c r="C902" i="9" s="1"/>
  <c r="C903" i="9" a="1"/>
  <c r="C903" i="9" s="1"/>
  <c r="C904" i="9" a="1"/>
  <c r="C904" i="9" s="1"/>
  <c r="C905" i="9" a="1"/>
  <c r="C905" i="9" s="1"/>
  <c r="C906" i="9" a="1"/>
  <c r="C906" i="9" s="1"/>
  <c r="C907" i="9" a="1"/>
  <c r="C907" i="9" s="1"/>
  <c r="C908" i="9" a="1"/>
  <c r="C908" i="9" s="1"/>
  <c r="C909" i="9" a="1"/>
  <c r="C909" i="9" s="1"/>
  <c r="C910" i="9" a="1"/>
  <c r="C910" i="9" s="1"/>
  <c r="C911" i="9" a="1"/>
  <c r="C911" i="9" s="1"/>
  <c r="C912" i="9" a="1"/>
  <c r="C912" i="9" s="1"/>
  <c r="C913" i="9" a="1"/>
  <c r="C913" i="9" s="1"/>
  <c r="C914" i="9" a="1"/>
  <c r="C914" i="9" s="1"/>
  <c r="C915" i="9" a="1"/>
  <c r="C915" i="9" s="1"/>
  <c r="C916" i="9" a="1"/>
  <c r="C916" i="9" s="1"/>
  <c r="C917" i="9" a="1"/>
  <c r="C917" i="9" s="1"/>
  <c r="C918" i="9" a="1"/>
  <c r="C918" i="9" s="1"/>
  <c r="C919" i="9" a="1"/>
  <c r="C919" i="9" s="1"/>
  <c r="C920" i="9" a="1"/>
  <c r="C920" i="9" s="1"/>
  <c r="C921" i="9" a="1"/>
  <c r="C921" i="9" s="1"/>
  <c r="C922" i="9" a="1"/>
  <c r="C922" i="9" s="1"/>
  <c r="C923" i="9" a="1"/>
  <c r="C923" i="9" s="1"/>
  <c r="C924" i="9" a="1"/>
  <c r="C924" i="9" s="1"/>
  <c r="C925" i="9" a="1"/>
  <c r="C925" i="9" s="1"/>
  <c r="C926" i="9" a="1"/>
  <c r="C926" i="9" s="1"/>
  <c r="C927" i="9" a="1"/>
  <c r="C927" i="9" s="1"/>
  <c r="C928" i="9" a="1"/>
  <c r="C928" i="9" s="1"/>
  <c r="C929" i="9" a="1"/>
  <c r="C929" i="9" s="1"/>
  <c r="C930" i="9" a="1"/>
  <c r="C930" i="9" s="1"/>
  <c r="C931" i="9" a="1"/>
  <c r="C931" i="9" s="1"/>
  <c r="C932" i="9" a="1"/>
  <c r="C932" i="9" s="1"/>
  <c r="C933" i="9" a="1"/>
  <c r="C933" i="9" s="1"/>
  <c r="C934" i="9" a="1"/>
  <c r="C934" i="9" s="1"/>
  <c r="C935" i="9" a="1"/>
  <c r="C935" i="9" s="1"/>
  <c r="C936" i="9" a="1"/>
  <c r="C936" i="9" s="1"/>
  <c r="C937" i="9" a="1"/>
  <c r="C937" i="9" s="1"/>
  <c r="C938" i="9" a="1"/>
  <c r="C938" i="9" s="1"/>
  <c r="C939" i="9" a="1"/>
  <c r="C939" i="9" s="1"/>
  <c r="C940" i="9" a="1"/>
  <c r="C940" i="9" s="1"/>
  <c r="C941" i="9" a="1"/>
  <c r="C941" i="9" s="1"/>
  <c r="C942" i="9" a="1"/>
  <c r="C942" i="9" s="1"/>
  <c r="C943" i="9" a="1"/>
  <c r="C943" i="9" s="1"/>
  <c r="C944" i="9" a="1"/>
  <c r="C944" i="9" s="1"/>
  <c r="C945" i="9" a="1"/>
  <c r="C945" i="9" s="1"/>
  <c r="C946" i="9" a="1"/>
  <c r="C946" i="9" s="1"/>
  <c r="C947" i="9" a="1"/>
  <c r="C947" i="9" s="1"/>
  <c r="C948" i="9" a="1"/>
  <c r="C948" i="9" s="1"/>
  <c r="C949" i="9" a="1"/>
  <c r="C949" i="9" s="1"/>
  <c r="C950" i="9" a="1"/>
  <c r="C950" i="9" s="1"/>
  <c r="C951" i="9" a="1"/>
  <c r="C951" i="9" s="1"/>
  <c r="C952" i="9" a="1"/>
  <c r="C952" i="9" s="1"/>
  <c r="C953" i="9" a="1"/>
  <c r="C953" i="9" s="1"/>
  <c r="C954" i="9" a="1"/>
  <c r="C954" i="9" s="1"/>
  <c r="C955" i="9" a="1"/>
  <c r="C955" i="9" s="1"/>
  <c r="C956" i="9" a="1"/>
  <c r="C956" i="9" s="1"/>
  <c r="C957" i="9" a="1"/>
  <c r="C957" i="9" s="1"/>
  <c r="C958" i="9" a="1"/>
  <c r="C958" i="9" s="1"/>
  <c r="C959" i="9" a="1"/>
  <c r="C959" i="9" s="1"/>
  <c r="C960" i="9" a="1"/>
  <c r="C960" i="9" s="1"/>
  <c r="C961" i="9" a="1"/>
  <c r="C961" i="9" s="1"/>
  <c r="C962" i="9" a="1"/>
  <c r="C962" i="9" s="1"/>
  <c r="C963" i="9" a="1"/>
  <c r="C963" i="9" s="1"/>
  <c r="C964" i="9" a="1"/>
  <c r="C964" i="9" s="1"/>
  <c r="C965" i="9" a="1"/>
  <c r="C965" i="9" s="1"/>
  <c r="C966" i="9" a="1"/>
  <c r="C966" i="9" s="1"/>
  <c r="C967" i="9" a="1"/>
  <c r="C967" i="9" s="1"/>
  <c r="C968" i="9" a="1"/>
  <c r="C968" i="9" s="1"/>
  <c r="C969" i="9" a="1"/>
  <c r="C969" i="9" s="1"/>
  <c r="C970" i="9" a="1"/>
  <c r="C970" i="9" s="1"/>
  <c r="C971" i="9" a="1"/>
  <c r="C971" i="9" s="1"/>
  <c r="C972" i="9" a="1"/>
  <c r="C972" i="9" s="1"/>
  <c r="C973" i="9" a="1"/>
  <c r="C973" i="9" s="1"/>
  <c r="C974" i="9" a="1"/>
  <c r="C974" i="9" s="1"/>
  <c r="C975" i="9" a="1"/>
  <c r="C975" i="9" s="1"/>
  <c r="C976" i="9" a="1"/>
  <c r="C976" i="9" s="1"/>
  <c r="C977" i="9" a="1"/>
  <c r="C977" i="9" s="1"/>
  <c r="C978" i="9" a="1"/>
  <c r="C978" i="9" s="1"/>
  <c r="C979" i="9" a="1"/>
  <c r="C979" i="9" s="1"/>
  <c r="C980" i="9" a="1"/>
  <c r="C980" i="9" s="1"/>
  <c r="C981" i="9" a="1"/>
  <c r="C981" i="9" s="1"/>
  <c r="C982" i="9" a="1"/>
  <c r="C982" i="9" s="1"/>
  <c r="C983" i="9" a="1"/>
  <c r="C983" i="9" s="1"/>
  <c r="C984" i="9" a="1"/>
  <c r="C984" i="9" s="1"/>
  <c r="C985" i="9" a="1"/>
  <c r="C985" i="9" s="1"/>
  <c r="C986" i="9" a="1"/>
  <c r="C986" i="9" s="1"/>
  <c r="C987" i="9" a="1"/>
  <c r="C987" i="9" s="1"/>
  <c r="C988" i="9" a="1"/>
  <c r="C988" i="9" s="1"/>
  <c r="C989" i="9" a="1"/>
  <c r="C989" i="9" s="1"/>
  <c r="C990" i="9" a="1"/>
  <c r="C990" i="9" s="1"/>
  <c r="C991" i="9" a="1"/>
  <c r="C991" i="9" s="1"/>
  <c r="C992" i="9" a="1"/>
  <c r="C992" i="9" s="1"/>
  <c r="C993" i="9" a="1"/>
  <c r="C993" i="9" s="1"/>
  <c r="C994" i="9" a="1"/>
  <c r="C994" i="9" s="1"/>
  <c r="C995" i="9" a="1"/>
  <c r="C995" i="9" s="1"/>
  <c r="C996" i="9" a="1"/>
  <c r="C996" i="9" s="1"/>
  <c r="C997" i="9" a="1"/>
  <c r="C997" i="9" s="1"/>
  <c r="C998" i="9" a="1"/>
  <c r="C998" i="9" s="1"/>
  <c r="C999" i="9" a="1"/>
  <c r="C999" i="9" s="1"/>
  <c r="C1000" i="9" a="1"/>
  <c r="C1000" i="9" s="1"/>
  <c r="C1001" i="9" a="1"/>
  <c r="C1001" i="9" s="1"/>
  <c r="C1002" i="9" a="1"/>
  <c r="C1002" i="9" s="1"/>
  <c r="C1003" i="9" a="1"/>
  <c r="C1003" i="9" s="1"/>
  <c r="C1004" i="9" a="1"/>
  <c r="C1004" i="9" s="1"/>
  <c r="C1005" i="9" a="1"/>
  <c r="C1005" i="9" s="1"/>
  <c r="C1006" i="9" a="1"/>
  <c r="C1006" i="9" s="1"/>
  <c r="C1007" i="9" a="1"/>
  <c r="C1007" i="9" s="1"/>
  <c r="C1008" i="9" a="1"/>
  <c r="C1008" i="9" s="1"/>
  <c r="C1009" i="9" a="1"/>
  <c r="C1009" i="9" s="1"/>
  <c r="C1010" i="9" a="1"/>
  <c r="C1010" i="9" s="1"/>
  <c r="C1011" i="9" a="1"/>
  <c r="C1011" i="9" s="1"/>
  <c r="C1012" i="9" a="1"/>
  <c r="C1012" i="9" s="1"/>
  <c r="C1013" i="9" a="1"/>
  <c r="C1013" i="9" s="1"/>
  <c r="C1014" i="9" a="1"/>
  <c r="C1014" i="9" s="1"/>
  <c r="C1015" i="9" a="1"/>
  <c r="C1015" i="9" s="1"/>
  <c r="C1016" i="9" a="1"/>
  <c r="C1016" i="9" s="1"/>
  <c r="C1017" i="9" a="1"/>
  <c r="C1017" i="9" s="1"/>
  <c r="C1018" i="9" a="1"/>
  <c r="C1018" i="9" s="1"/>
  <c r="C1019" i="9" a="1"/>
  <c r="C1019" i="9" s="1"/>
  <c r="C1020" i="9" a="1"/>
  <c r="C1020" i="9" s="1"/>
  <c r="C1021" i="9" a="1"/>
  <c r="C1021" i="9" s="1"/>
  <c r="C1022" i="9" a="1"/>
  <c r="C1022" i="9" s="1"/>
  <c r="C1023" i="9" a="1"/>
  <c r="C1023" i="9" s="1"/>
  <c r="C1024" i="9" a="1"/>
  <c r="C1024" i="9" s="1"/>
  <c r="C1025" i="9" a="1"/>
  <c r="C1025" i="9" s="1"/>
  <c r="C1026" i="9" a="1"/>
  <c r="C1026" i="9" s="1"/>
  <c r="C1027" i="9" a="1"/>
  <c r="C1027" i="9" s="1"/>
  <c r="C1028" i="9" a="1"/>
  <c r="C1028" i="9" s="1"/>
  <c r="C1029" i="9" a="1"/>
  <c r="C1029" i="9" s="1"/>
  <c r="C1030" i="9" a="1"/>
  <c r="C1030" i="9" s="1"/>
  <c r="C1031" i="9" a="1"/>
  <c r="C1031" i="9" s="1"/>
  <c r="C1032" i="9" a="1"/>
  <c r="C1032" i="9" s="1"/>
  <c r="C1033" i="9" a="1"/>
  <c r="C1033" i="9" s="1"/>
  <c r="C1034" i="9" a="1"/>
  <c r="C1034" i="9" s="1"/>
  <c r="C1035" i="9" a="1"/>
  <c r="C1035" i="9" s="1"/>
  <c r="C1036" i="9" a="1"/>
  <c r="C1036" i="9" s="1"/>
  <c r="C1037" i="9" a="1"/>
  <c r="C1037" i="9" s="1"/>
  <c r="C1038" i="9" a="1"/>
  <c r="C1038" i="9" s="1"/>
  <c r="C1039" i="9" a="1"/>
  <c r="C1039" i="9" s="1"/>
  <c r="C1040" i="9" a="1"/>
  <c r="C1040" i="9" s="1"/>
  <c r="C1041" i="9" a="1"/>
  <c r="C1041" i="9" s="1"/>
  <c r="C1042" i="9" a="1"/>
  <c r="C1042" i="9" s="1"/>
  <c r="C1043" i="9" a="1"/>
  <c r="C1043" i="9" s="1"/>
  <c r="C1044" i="9" a="1"/>
  <c r="C1044" i="9" s="1"/>
  <c r="C1045" i="9" a="1"/>
  <c r="C1045" i="9" s="1"/>
  <c r="C1046" i="9" a="1"/>
  <c r="C1046" i="9" s="1"/>
  <c r="C1047" i="9" a="1"/>
  <c r="C1047" i="9" s="1"/>
  <c r="C1048" i="9" a="1"/>
  <c r="C1048" i="9" s="1"/>
  <c r="C1049" i="9" a="1"/>
  <c r="C1049" i="9" s="1"/>
  <c r="C1050" i="9" a="1"/>
  <c r="C1050" i="9" s="1"/>
  <c r="C1051" i="9" a="1"/>
  <c r="C1051" i="9" s="1"/>
  <c r="C1052" i="9" a="1"/>
  <c r="C1052" i="9" s="1"/>
  <c r="C1053" i="9" a="1"/>
  <c r="C1053" i="9" s="1"/>
  <c r="C1054" i="9" a="1"/>
  <c r="C1054" i="9" s="1"/>
  <c r="C1055" i="9" a="1"/>
  <c r="C1055" i="9" s="1"/>
  <c r="C1056" i="9" a="1"/>
  <c r="C1056" i="9" s="1"/>
  <c r="C1057" i="9" a="1"/>
  <c r="C1057" i="9" s="1"/>
  <c r="C1058" i="9" a="1"/>
  <c r="C1058" i="9" s="1"/>
  <c r="C1059" i="9" a="1"/>
  <c r="C1059" i="9" s="1"/>
  <c r="C1060" i="9" a="1"/>
  <c r="C1060" i="9" s="1"/>
  <c r="C1061" i="9" a="1"/>
  <c r="C1061" i="9" s="1"/>
  <c r="C1062" i="9" a="1"/>
  <c r="C1062" i="9" s="1"/>
  <c r="C1063" i="9" a="1"/>
  <c r="C1063" i="9" s="1"/>
  <c r="C1064" i="9" a="1"/>
  <c r="C1064" i="9" s="1"/>
  <c r="C1065" i="9" a="1"/>
  <c r="C1065" i="9" s="1"/>
  <c r="C1066" i="9" a="1"/>
  <c r="C1066" i="9" s="1"/>
  <c r="C1067" i="9" a="1"/>
  <c r="C1067" i="9" s="1"/>
  <c r="C1068" i="9" a="1"/>
  <c r="C1068" i="9" s="1"/>
  <c r="C1069" i="9" a="1"/>
  <c r="C1069" i="9" s="1"/>
  <c r="C1070" i="9" a="1"/>
  <c r="C1070" i="9" s="1"/>
  <c r="C1071" i="9" a="1"/>
  <c r="C1071" i="9" s="1"/>
  <c r="C1072" i="9" a="1"/>
  <c r="C1072" i="9" s="1"/>
  <c r="C1073" i="9" a="1"/>
  <c r="C1073" i="9" s="1"/>
  <c r="C1074" i="9" a="1"/>
  <c r="C1074" i="9" s="1"/>
  <c r="C1075" i="9" a="1"/>
  <c r="C1075" i="9" s="1"/>
  <c r="C1076" i="9" a="1"/>
  <c r="C1076" i="9" s="1"/>
  <c r="C1077" i="9" a="1"/>
  <c r="C1077" i="9" s="1"/>
  <c r="C1078" i="9" a="1"/>
  <c r="C1078" i="9" s="1"/>
  <c r="C1079" i="9" a="1"/>
  <c r="C1079" i="9" s="1"/>
  <c r="C1080" i="9" a="1"/>
  <c r="C1080" i="9" s="1"/>
  <c r="C1081" i="9" a="1"/>
  <c r="C1081" i="9" s="1"/>
  <c r="C1082" i="9" a="1"/>
  <c r="C1082" i="9" s="1"/>
  <c r="C1083" i="9" a="1"/>
  <c r="C1083" i="9" s="1"/>
  <c r="C1084" i="9" a="1"/>
  <c r="C1084" i="9" s="1"/>
  <c r="C1085" i="9" a="1"/>
  <c r="C1085" i="9" s="1"/>
  <c r="C1086" i="9" a="1"/>
  <c r="C1086" i="9" s="1"/>
  <c r="C1087" i="9" a="1"/>
  <c r="C1087" i="9" s="1"/>
  <c r="C1088" i="9" a="1"/>
  <c r="C1088" i="9" s="1"/>
  <c r="C1089" i="9" a="1"/>
  <c r="C1089" i="9" s="1"/>
  <c r="C1090" i="9" a="1"/>
  <c r="C1090" i="9" s="1"/>
  <c r="C1091" i="9" a="1"/>
  <c r="C1091" i="9" s="1"/>
  <c r="C1092" i="9" a="1"/>
  <c r="C1092" i="9" s="1"/>
  <c r="C1093" i="9" a="1"/>
  <c r="C1093" i="9" s="1"/>
  <c r="C1094" i="9" a="1"/>
  <c r="C1094" i="9" s="1"/>
  <c r="C1095" i="9" a="1"/>
  <c r="C1095" i="9" s="1"/>
  <c r="C1096" i="9" a="1"/>
  <c r="C1096" i="9" s="1"/>
  <c r="C1097" i="9" a="1"/>
  <c r="C1097" i="9" s="1"/>
  <c r="C1098" i="9" a="1"/>
  <c r="C1098" i="9" s="1"/>
  <c r="C1099" i="9" a="1"/>
  <c r="C1099" i="9" s="1"/>
  <c r="C1100" i="9" a="1"/>
  <c r="C1100" i="9" s="1"/>
  <c r="C1101" i="9" a="1"/>
  <c r="C1101" i="9" s="1"/>
  <c r="C1102" i="9" a="1"/>
  <c r="C1102" i="9" s="1"/>
  <c r="C1103" i="9" a="1"/>
  <c r="C1103" i="9" s="1"/>
  <c r="C1104" i="9" a="1"/>
  <c r="C1104" i="9" s="1"/>
  <c r="C1105" i="9" a="1"/>
  <c r="C1105" i="9" s="1"/>
  <c r="C1106" i="9" a="1"/>
  <c r="C1106" i="9" s="1"/>
  <c r="C1107" i="9" a="1"/>
  <c r="C1107" i="9" s="1"/>
  <c r="C1108" i="9" a="1"/>
  <c r="C1108" i="9" s="1"/>
  <c r="C1109" i="9" a="1"/>
  <c r="C1109" i="9" s="1"/>
  <c r="C1110" i="9" a="1"/>
  <c r="C1110" i="9" s="1"/>
  <c r="C1111" i="9" a="1"/>
  <c r="C1111" i="9" s="1"/>
  <c r="C1112" i="9" a="1"/>
  <c r="C1112" i="9" s="1"/>
  <c r="C1113" i="9" a="1"/>
  <c r="C1113" i="9" s="1"/>
  <c r="C1114" i="9" a="1"/>
  <c r="C1114" i="9" s="1"/>
  <c r="C1115" i="9" a="1"/>
  <c r="C1115" i="9" s="1"/>
  <c r="C1116" i="9" a="1"/>
  <c r="C1116" i="9" s="1"/>
  <c r="C1117" i="9" a="1"/>
  <c r="C1117" i="9" s="1"/>
  <c r="C1118" i="9" a="1"/>
  <c r="C1118" i="9" s="1"/>
  <c r="C1119" i="9" a="1"/>
  <c r="C1119" i="9" s="1"/>
  <c r="C1120" i="9" a="1"/>
  <c r="C1120" i="9" s="1"/>
  <c r="C1121" i="9" a="1"/>
  <c r="C1121" i="9" s="1"/>
  <c r="C1122" i="9" a="1"/>
  <c r="C1122" i="9" s="1"/>
  <c r="C1123" i="9" a="1"/>
  <c r="C1123" i="9" s="1"/>
  <c r="C1124" i="9" a="1"/>
  <c r="C1124" i="9" s="1"/>
  <c r="C1125" i="9" a="1"/>
  <c r="C1125" i="9" s="1"/>
  <c r="C1126" i="9" a="1"/>
  <c r="C1126" i="9" s="1"/>
  <c r="C1127" i="9" a="1"/>
  <c r="C1127" i="9" s="1"/>
  <c r="C1128" i="9" a="1"/>
  <c r="C1128" i="9" s="1"/>
  <c r="C1129" i="9" a="1"/>
  <c r="C1129" i="9" s="1"/>
  <c r="C1130" i="9" a="1"/>
  <c r="C1130" i="9" s="1"/>
  <c r="C1131" i="9" a="1"/>
  <c r="C1131" i="9" s="1"/>
  <c r="C1132" i="9" a="1"/>
  <c r="C1132" i="9" s="1"/>
  <c r="C1133" i="9" a="1"/>
  <c r="C1133" i="9" s="1"/>
  <c r="C1134" i="9" a="1"/>
  <c r="C1134" i="9" s="1"/>
  <c r="C1135" i="9" a="1"/>
  <c r="C1135" i="9" s="1"/>
  <c r="C1136" i="9" a="1"/>
  <c r="C1136" i="9" s="1"/>
  <c r="C1137" i="9" a="1"/>
  <c r="C1137" i="9" s="1"/>
  <c r="C1138" i="9" a="1"/>
  <c r="C1138" i="9" s="1"/>
  <c r="C1139" i="9" a="1"/>
  <c r="C1139" i="9" s="1"/>
  <c r="C1140" i="9" a="1"/>
  <c r="C1140" i="9" s="1"/>
  <c r="C1141" i="9" a="1"/>
  <c r="C1141" i="9" s="1"/>
  <c r="C1142" i="9" a="1"/>
  <c r="C1142" i="9" s="1"/>
  <c r="C1143" i="9" a="1"/>
  <c r="C1143" i="9" s="1"/>
  <c r="C1144" i="9" a="1"/>
  <c r="C1144" i="9" s="1"/>
  <c r="C1145" i="9" a="1"/>
  <c r="C1145" i="9" s="1"/>
  <c r="C1146" i="9" a="1"/>
  <c r="C1146" i="9" s="1"/>
  <c r="C1147" i="9" a="1"/>
  <c r="C1147" i="9" s="1"/>
  <c r="C1148" i="9" a="1"/>
  <c r="C1148" i="9" s="1"/>
  <c r="C1149" i="9" a="1"/>
  <c r="C1149" i="9" s="1"/>
  <c r="C1150" i="9" a="1"/>
  <c r="C1150" i="9" s="1"/>
  <c r="C1151" i="9" a="1"/>
  <c r="C1151" i="9" s="1"/>
  <c r="C1152" i="9" a="1"/>
  <c r="C1152" i="9" s="1"/>
  <c r="C1153" i="9" a="1"/>
  <c r="C1153" i="9" s="1"/>
  <c r="C1154" i="9" a="1"/>
  <c r="C1154" i="9" s="1"/>
  <c r="C1155" i="9" a="1"/>
  <c r="C1155" i="9" s="1"/>
  <c r="C1156" i="9" a="1"/>
  <c r="C1156" i="9" s="1"/>
  <c r="C1157" i="9" a="1"/>
  <c r="C1157" i="9" s="1"/>
  <c r="C1158" i="9" a="1"/>
  <c r="C1158" i="9" s="1"/>
  <c r="C1159" i="9" a="1"/>
  <c r="C1159" i="9" s="1"/>
  <c r="C1160" i="9" a="1"/>
  <c r="C1160" i="9" s="1"/>
  <c r="C1161" i="9" a="1"/>
  <c r="C1161" i="9" s="1"/>
  <c r="C1162" i="9" a="1"/>
  <c r="C1162" i="9" s="1"/>
  <c r="C1163" i="9" a="1"/>
  <c r="C1163" i="9" s="1"/>
  <c r="C1164" i="9" a="1"/>
  <c r="C1164" i="9" s="1"/>
  <c r="C1165" i="9" a="1"/>
  <c r="C1165" i="9" s="1"/>
  <c r="C1166" i="9" a="1"/>
  <c r="C1166" i="9" s="1"/>
  <c r="C1167" i="9" a="1"/>
  <c r="C1167" i="9" s="1"/>
  <c r="C1168" i="9" a="1"/>
  <c r="C1168" i="9" s="1"/>
  <c r="C1169" i="9" a="1"/>
  <c r="C1169" i="9" s="1"/>
  <c r="C1170" i="9" a="1"/>
  <c r="C1170" i="9" s="1"/>
  <c r="C1171" i="9" a="1"/>
  <c r="C1171" i="9" s="1"/>
  <c r="C1172" i="9" a="1"/>
  <c r="C1172" i="9" s="1"/>
  <c r="C1173" i="9" a="1"/>
  <c r="C1173" i="9" s="1"/>
  <c r="C1174" i="9" a="1"/>
  <c r="C1174" i="9" s="1"/>
  <c r="C1175" i="9" a="1"/>
  <c r="C1175" i="9" s="1"/>
  <c r="C1176" i="9" a="1"/>
  <c r="C1176" i="9" s="1"/>
  <c r="C1177" i="9" a="1"/>
  <c r="C1177" i="9" s="1"/>
  <c r="C1178" i="9" a="1"/>
  <c r="C1178" i="9" s="1"/>
  <c r="C1179" i="9" a="1"/>
  <c r="C1179" i="9" s="1"/>
  <c r="C1180" i="9" a="1"/>
  <c r="C1180" i="9" s="1"/>
  <c r="C1181" i="9" a="1"/>
  <c r="C1181" i="9" s="1"/>
  <c r="C1182" i="9" a="1"/>
  <c r="C1182" i="9" s="1"/>
  <c r="C1183" i="9" a="1"/>
  <c r="C1183" i="9" s="1"/>
  <c r="C1184" i="9" a="1"/>
  <c r="C1184" i="9" s="1"/>
  <c r="C1185" i="9" a="1"/>
  <c r="C1185" i="9" s="1"/>
  <c r="C1186" i="9" a="1"/>
  <c r="C1186" i="9" s="1"/>
  <c r="C1187" i="9" a="1"/>
  <c r="C1187" i="9" s="1"/>
  <c r="C1188" i="9" a="1"/>
  <c r="C1188" i="9" s="1"/>
  <c r="C1189" i="9" a="1"/>
  <c r="C1189" i="9" s="1"/>
  <c r="C1190" i="9" a="1"/>
  <c r="C1190" i="9" s="1"/>
  <c r="C1191" i="9" a="1"/>
  <c r="C1191" i="9" s="1"/>
  <c r="C1192" i="9" a="1"/>
  <c r="C1192" i="9" s="1"/>
  <c r="C1193" i="9" a="1"/>
  <c r="C1193" i="9" s="1"/>
  <c r="C1194" i="9" a="1"/>
  <c r="C1194" i="9" s="1"/>
  <c r="C1195" i="9" a="1"/>
  <c r="C1195" i="9" s="1"/>
  <c r="C1196" i="9" a="1"/>
  <c r="C1196" i="9" s="1"/>
  <c r="C1197" i="9" a="1"/>
  <c r="C1197" i="9" s="1"/>
  <c r="C1198" i="9" a="1"/>
  <c r="C1198" i="9" s="1"/>
  <c r="C1199" i="9" a="1"/>
  <c r="C1199" i="9" s="1"/>
  <c r="C1200" i="9" a="1"/>
  <c r="C1200" i="9" s="1"/>
  <c r="C1201" i="9" a="1"/>
  <c r="C1201" i="9" s="1"/>
  <c r="C1202" i="9" a="1"/>
  <c r="C1202" i="9" s="1"/>
  <c r="C1203" i="9" a="1"/>
  <c r="C1203" i="9" s="1"/>
  <c r="C1204" i="9" a="1"/>
  <c r="C1204" i="9" s="1"/>
  <c r="C1205" i="9" a="1"/>
  <c r="C1205" i="9" s="1"/>
  <c r="C1206" i="9" a="1"/>
  <c r="C1206" i="9" s="1"/>
  <c r="C1207" i="9" a="1"/>
  <c r="C1207" i="9" s="1"/>
  <c r="C1208" i="9" a="1"/>
  <c r="C1208" i="9" s="1"/>
  <c r="C1209" i="9" a="1"/>
  <c r="C1209" i="9" s="1"/>
  <c r="C1210" i="9" a="1"/>
  <c r="C1210" i="9" s="1"/>
  <c r="C1211" i="9" a="1"/>
  <c r="C1211" i="9" s="1"/>
  <c r="C1212" i="9" a="1"/>
  <c r="C1212" i="9" s="1"/>
  <c r="C1213" i="9" a="1"/>
  <c r="C1213" i="9" s="1"/>
  <c r="C1214" i="9" a="1"/>
  <c r="C1214" i="9" s="1"/>
  <c r="C1215" i="9" a="1"/>
  <c r="C1215" i="9" s="1"/>
  <c r="C1216" i="9" a="1"/>
  <c r="C1216" i="9" s="1"/>
  <c r="C1217" i="9" a="1"/>
  <c r="C1217" i="9" s="1"/>
  <c r="C1218" i="9" a="1"/>
  <c r="C1218" i="9" s="1"/>
  <c r="C1219" i="9" a="1"/>
  <c r="C1219" i="9" s="1"/>
  <c r="C1220" i="9" a="1"/>
  <c r="C1220" i="9" s="1"/>
  <c r="C1221" i="9" a="1"/>
  <c r="C1221" i="9" s="1"/>
  <c r="C1222" i="9" a="1"/>
  <c r="C1222" i="9" s="1"/>
  <c r="C1223" i="9" a="1"/>
  <c r="C1223" i="9" s="1"/>
  <c r="C1224" i="9" a="1"/>
  <c r="C1224" i="9" s="1"/>
  <c r="C1225" i="9" a="1"/>
  <c r="C1225" i="9" s="1"/>
  <c r="C1226" i="9" a="1"/>
  <c r="C1226" i="9" s="1"/>
  <c r="C1227" i="9" a="1"/>
  <c r="C1227" i="9" s="1"/>
  <c r="C1228" i="9" a="1"/>
  <c r="C1228" i="9" s="1"/>
  <c r="C1229" i="9" a="1"/>
  <c r="C1229" i="9" s="1"/>
  <c r="C1230" i="9" a="1"/>
  <c r="C1230" i="9" s="1"/>
  <c r="C1231" i="9" a="1"/>
  <c r="C1231" i="9" s="1"/>
  <c r="C1232" i="9" a="1"/>
  <c r="C1232" i="9" s="1"/>
  <c r="C1233" i="9" a="1"/>
  <c r="C1233" i="9" s="1"/>
  <c r="C1234" i="9" a="1"/>
  <c r="C1234" i="9" s="1"/>
  <c r="C1235" i="9" a="1"/>
  <c r="C1235" i="9" s="1"/>
  <c r="C1236" i="9" a="1"/>
  <c r="C1236" i="9" s="1"/>
  <c r="C1237" i="9" a="1"/>
  <c r="C1237" i="9" s="1"/>
  <c r="C1238" i="9" a="1"/>
  <c r="C1238" i="9" s="1"/>
  <c r="C1239" i="9" a="1"/>
  <c r="C1239" i="9" s="1"/>
  <c r="C1240" i="9" a="1"/>
  <c r="C1240" i="9" s="1"/>
  <c r="C1241" i="9" a="1"/>
  <c r="C1241" i="9" s="1"/>
  <c r="C1242" i="9" a="1"/>
  <c r="C1242" i="9" s="1"/>
  <c r="C1243" i="9" a="1"/>
  <c r="C1243" i="9" s="1"/>
  <c r="C1244" i="9" a="1"/>
  <c r="C1244" i="9" s="1"/>
  <c r="C1245" i="9" a="1"/>
  <c r="C1245" i="9" s="1"/>
  <c r="C1246" i="9" a="1"/>
  <c r="C1246" i="9" s="1"/>
  <c r="C1247" i="9" a="1"/>
  <c r="C1247" i="9" s="1"/>
  <c r="C1248" i="9" a="1"/>
  <c r="C1248" i="9" s="1"/>
  <c r="C1249" i="9" a="1"/>
  <c r="C1249" i="9" s="1"/>
  <c r="C1250" i="9" a="1"/>
  <c r="C1250" i="9" s="1"/>
  <c r="C1251" i="9" a="1"/>
  <c r="C1251" i="9" s="1"/>
  <c r="C1252" i="9" a="1"/>
  <c r="C1252" i="9" s="1"/>
  <c r="C1253" i="9" a="1"/>
  <c r="C1253" i="9" s="1"/>
  <c r="C1254" i="9" a="1"/>
  <c r="C1254" i="9" s="1"/>
  <c r="C1255" i="9" a="1"/>
  <c r="C1255" i="9" s="1"/>
  <c r="C1256" i="9" a="1"/>
  <c r="C1256" i="9" s="1"/>
  <c r="C1257" i="9" a="1"/>
  <c r="C1257" i="9" s="1"/>
  <c r="C1258" i="9" a="1"/>
  <c r="C1258" i="9" s="1"/>
  <c r="C1259" i="9" a="1"/>
  <c r="C1259" i="9" s="1"/>
  <c r="C1260" i="9" a="1"/>
  <c r="C1260" i="9" s="1"/>
  <c r="C1261" i="9" a="1"/>
  <c r="C1261" i="9" s="1"/>
  <c r="C1262" i="9" a="1"/>
  <c r="C1262" i="9" s="1"/>
  <c r="C1263" i="9" a="1"/>
  <c r="C1263" i="9" s="1"/>
  <c r="C1264" i="9" a="1"/>
  <c r="C1264" i="9" s="1"/>
  <c r="C1265" i="9" a="1"/>
  <c r="C1265" i="9" s="1"/>
  <c r="C1266" i="9" a="1"/>
  <c r="C1266" i="9" s="1"/>
  <c r="C1267" i="9" a="1"/>
  <c r="C1267" i="9" s="1"/>
  <c r="C1268" i="9" a="1"/>
  <c r="C1268" i="9" s="1"/>
  <c r="C1269" i="9" a="1"/>
  <c r="C1269" i="9" s="1"/>
  <c r="C1270" i="9" a="1"/>
  <c r="C1270" i="9" s="1"/>
  <c r="C1271" i="9" a="1"/>
  <c r="C1271" i="9" s="1"/>
  <c r="C1272" i="9" a="1"/>
  <c r="C1272" i="9" s="1"/>
  <c r="C1273" i="9" a="1"/>
  <c r="C1273" i="9" s="1"/>
  <c r="C1274" i="9" a="1"/>
  <c r="C1274" i="9" s="1"/>
  <c r="C1275" i="9" a="1"/>
  <c r="C1275" i="9" s="1"/>
  <c r="C1276" i="9" a="1"/>
  <c r="C1276" i="9" s="1"/>
  <c r="C1277" i="9" a="1"/>
  <c r="C1277" i="9" s="1"/>
  <c r="C1278" i="9" a="1"/>
  <c r="C1278" i="9" s="1"/>
  <c r="C1279" i="9" a="1"/>
  <c r="C1279" i="9" s="1"/>
  <c r="C1280" i="9" a="1"/>
  <c r="C1280" i="9" s="1"/>
  <c r="C1281" i="9" a="1"/>
  <c r="C1281" i="9" s="1"/>
  <c r="C1282" i="9" a="1"/>
  <c r="C1282" i="9" s="1"/>
  <c r="C1283" i="9" a="1"/>
  <c r="C1283" i="9" s="1"/>
  <c r="C1284" i="9" a="1"/>
  <c r="C1284" i="9" s="1"/>
  <c r="C1285" i="9" a="1"/>
  <c r="C1285" i="9" s="1"/>
  <c r="C1286" i="9" a="1"/>
  <c r="C1286" i="9" s="1"/>
  <c r="C1287" i="9" a="1"/>
  <c r="C1287" i="9" s="1"/>
  <c r="C1288" i="9" a="1"/>
  <c r="C1288" i="9" s="1"/>
  <c r="C1289" i="9" a="1"/>
  <c r="C1289" i="9" s="1"/>
  <c r="C1290" i="9" a="1"/>
  <c r="C1290" i="9" s="1"/>
  <c r="C1291" i="9" a="1"/>
  <c r="C1291" i="9" s="1"/>
  <c r="C1292" i="9" a="1"/>
  <c r="C1292" i="9" s="1"/>
  <c r="C1293" i="9" a="1"/>
  <c r="C1293" i="9" s="1"/>
  <c r="C1294" i="9" a="1"/>
  <c r="C1294" i="9" s="1"/>
  <c r="C1295" i="9" a="1"/>
  <c r="C1295" i="9" s="1"/>
  <c r="C1296" i="9" a="1"/>
  <c r="C1296" i="9" s="1"/>
  <c r="C1297" i="9" a="1"/>
  <c r="C1297" i="9" s="1"/>
  <c r="C1298" i="9" a="1"/>
  <c r="C1298" i="9" s="1"/>
  <c r="C1299" i="9" a="1"/>
  <c r="C1299" i="9" s="1"/>
  <c r="C1300" i="9" a="1"/>
  <c r="C1300" i="9" s="1"/>
  <c r="C1301" i="9" a="1"/>
  <c r="C1301" i="9" s="1"/>
  <c r="C1302" i="9" a="1"/>
  <c r="C1302" i="9" s="1"/>
  <c r="C1303" i="9" a="1"/>
  <c r="C1303" i="9" s="1"/>
  <c r="C1304" i="9" a="1"/>
  <c r="C1304" i="9" s="1"/>
  <c r="C1305" i="9" a="1"/>
  <c r="C1305" i="9" s="1"/>
  <c r="C1306" i="9" a="1"/>
  <c r="C1306" i="9" s="1"/>
  <c r="C1307" i="9" a="1"/>
  <c r="C1307" i="9" s="1"/>
  <c r="C1308" i="9" a="1"/>
  <c r="C1308" i="9" s="1"/>
  <c r="C1309" i="9" a="1"/>
  <c r="C1309" i="9" s="1"/>
  <c r="C1310" i="9" a="1"/>
  <c r="C1310" i="9" s="1"/>
  <c r="C1311" i="9" a="1"/>
  <c r="C1311" i="9" s="1"/>
  <c r="C1312" i="9" a="1"/>
  <c r="C1312" i="9" s="1"/>
  <c r="C1313" i="9" a="1"/>
  <c r="C1313" i="9" s="1"/>
  <c r="C1314" i="9" a="1"/>
  <c r="C1314" i="9" s="1"/>
  <c r="C1315" i="9" a="1"/>
  <c r="C1315" i="9" s="1"/>
  <c r="C1316" i="9" a="1"/>
  <c r="C1316" i="9" s="1"/>
  <c r="C1317" i="9" a="1"/>
  <c r="C1317" i="9" s="1"/>
  <c r="C1318" i="9" a="1"/>
  <c r="C1318" i="9" s="1"/>
  <c r="C1319" i="9" a="1"/>
  <c r="C1319" i="9" s="1"/>
  <c r="C1320" i="9" a="1"/>
  <c r="C1320" i="9" s="1"/>
  <c r="C1321" i="9" a="1"/>
  <c r="C1321" i="9" s="1"/>
  <c r="C1322" i="9" a="1"/>
  <c r="C1322" i="9" s="1"/>
  <c r="C1323" i="9" a="1"/>
  <c r="C1323" i="9" s="1"/>
  <c r="C1324" i="9" a="1"/>
  <c r="C1324" i="9" s="1"/>
  <c r="C1325" i="9" a="1"/>
  <c r="C1325" i="9" s="1"/>
  <c r="C1326" i="9" a="1"/>
  <c r="C1326" i="9" s="1"/>
  <c r="C1327" i="9" a="1"/>
  <c r="C1327" i="9" s="1"/>
  <c r="C1328" i="9" a="1"/>
  <c r="C1328" i="9" s="1"/>
  <c r="C1329" i="9" a="1"/>
  <c r="C1329" i="9" s="1"/>
  <c r="C1330" i="9" a="1"/>
  <c r="C1330" i="9" s="1"/>
  <c r="C1331" i="9" a="1"/>
  <c r="C1331" i="9" s="1"/>
  <c r="C1332" i="9" a="1"/>
  <c r="C1332" i="9" s="1"/>
  <c r="C1333" i="9" a="1"/>
  <c r="C1333" i="9" s="1"/>
  <c r="C1334" i="9" a="1"/>
  <c r="C1334" i="9" s="1"/>
  <c r="C1335" i="9" a="1"/>
  <c r="C1335" i="9" s="1"/>
  <c r="C1336" i="9" a="1"/>
  <c r="C1336" i="9" s="1"/>
  <c r="C1337" i="9" a="1"/>
  <c r="C1337" i="9" s="1"/>
  <c r="C1338" i="9" a="1"/>
  <c r="C1338" i="9" s="1"/>
  <c r="C1339" i="9" a="1"/>
  <c r="C1339" i="9" s="1"/>
  <c r="C1340" i="9" a="1"/>
  <c r="C1340" i="9" s="1"/>
  <c r="C1341" i="9" a="1"/>
  <c r="C1341" i="9" s="1"/>
  <c r="C1342" i="9" a="1"/>
  <c r="C1342" i="9" s="1"/>
  <c r="C1343" i="9" a="1"/>
  <c r="C1343" i="9" s="1"/>
  <c r="C1344" i="9" a="1"/>
  <c r="C1344" i="9" s="1"/>
  <c r="C1345" i="9" a="1"/>
  <c r="C1345" i="9" s="1"/>
  <c r="C1346" i="9" a="1"/>
  <c r="C1346" i="9" s="1"/>
  <c r="C1347" i="9" a="1"/>
  <c r="C1347" i="9" s="1"/>
  <c r="C1348" i="9" a="1"/>
  <c r="C1348" i="9" s="1"/>
  <c r="C1349" i="9" a="1"/>
  <c r="C1349" i="9" s="1"/>
  <c r="C1350" i="9" a="1"/>
  <c r="C1350" i="9" s="1"/>
  <c r="C1351" i="9" a="1"/>
  <c r="C1351" i="9" s="1"/>
  <c r="C1352" i="9" a="1"/>
  <c r="C1352" i="9" s="1"/>
  <c r="C1353" i="9" a="1"/>
  <c r="C1353" i="9" s="1"/>
  <c r="C1354" i="9" a="1"/>
  <c r="C1354" i="9" s="1"/>
  <c r="C1355" i="9" a="1"/>
  <c r="C1355" i="9" s="1"/>
  <c r="C1356" i="9" a="1"/>
  <c r="C1356" i="9" s="1"/>
  <c r="C1357" i="9" a="1"/>
  <c r="C1357" i="9" s="1"/>
  <c r="C1358" i="9" a="1"/>
  <c r="C1358" i="9" s="1"/>
  <c r="C1359" i="9" a="1"/>
  <c r="C1359" i="9" s="1"/>
  <c r="C1360" i="9" a="1"/>
  <c r="C1360" i="9" s="1"/>
  <c r="C1361" i="9" a="1"/>
  <c r="C1361" i="9" s="1"/>
  <c r="C1362" i="9" a="1"/>
  <c r="C1362" i="9" s="1"/>
  <c r="C1363" i="9" a="1"/>
  <c r="C1363" i="9" s="1"/>
  <c r="C1364" i="9" a="1"/>
  <c r="C1364" i="9" s="1"/>
  <c r="C1365" i="9" a="1"/>
  <c r="C1365" i="9" s="1"/>
  <c r="C1366" i="9" a="1"/>
  <c r="C1366" i="9" s="1"/>
  <c r="C1367" i="9" a="1"/>
  <c r="C1367" i="9" s="1"/>
  <c r="C1368" i="9" a="1"/>
  <c r="C1368" i="9" s="1"/>
  <c r="C1369" i="9" a="1"/>
  <c r="C1369" i="9" s="1"/>
  <c r="C1370" i="9" a="1"/>
  <c r="C1370" i="9" s="1"/>
  <c r="C1371" i="9" a="1"/>
  <c r="C1371" i="9" s="1"/>
  <c r="C1372" i="9" a="1"/>
  <c r="C1372" i="9" s="1"/>
  <c r="C1373" i="9" a="1"/>
  <c r="C1373" i="9" s="1"/>
  <c r="C1374" i="9" a="1"/>
  <c r="C1374" i="9" s="1"/>
  <c r="C1375" i="9" a="1"/>
  <c r="C1375" i="9" s="1"/>
  <c r="C1376" i="9" a="1"/>
  <c r="C1376" i="9" s="1"/>
  <c r="C1377" i="9" a="1"/>
  <c r="C1377" i="9" s="1"/>
  <c r="C1378" i="9" a="1"/>
  <c r="C1378" i="9" s="1"/>
  <c r="C1379" i="9" a="1"/>
  <c r="C1379" i="9" s="1"/>
  <c r="C1389" i="9" a="1"/>
  <c r="C1389" i="9" s="1"/>
  <c r="C1390" i="9" a="1"/>
  <c r="C1390" i="9" s="1"/>
  <c r="C1391" i="9" a="1"/>
  <c r="C1391" i="9" s="1"/>
  <c r="C1392" i="9" a="1"/>
  <c r="C1392" i="9" s="1"/>
  <c r="C1393" i="9" a="1"/>
  <c r="C1393" i="9" s="1"/>
  <c r="C1394" i="9" a="1"/>
  <c r="C1394" i="9" s="1"/>
  <c r="C1398" i="9" a="1"/>
  <c r="C1398" i="9" s="1"/>
  <c r="C1399" i="9" a="1"/>
  <c r="C1399" i="9" s="1"/>
  <c r="C1400" i="9" a="1"/>
  <c r="C1400" i="9" s="1"/>
  <c r="C13" i="1"/>
  <c r="C201" i="1"/>
  <c r="C210" i="1"/>
  <c r="O77" i="7" l="1"/>
  <c r="C77" i="7"/>
  <c r="C16" i="1"/>
  <c r="C18" i="1" s="1"/>
  <c r="O75" i="7"/>
  <c r="O74" i="7"/>
  <c r="O72" i="7"/>
  <c r="O70" i="7"/>
  <c r="O78" i="7"/>
  <c r="O69" i="7"/>
  <c r="A76" i="7"/>
  <c r="K1332" i="9"/>
  <c r="L1332" i="9"/>
  <c r="M1332" i="9"/>
  <c r="M1272" i="9"/>
  <c r="K1272" i="9"/>
  <c r="L1272" i="9"/>
  <c r="K1200" i="9"/>
  <c r="M1200" i="9"/>
  <c r="L1200" i="9"/>
  <c r="K1140" i="9"/>
  <c r="L1140" i="9"/>
  <c r="M1140" i="9"/>
  <c r="K1068" i="9"/>
  <c r="L1068" i="9"/>
  <c r="M1068" i="9"/>
  <c r="K996" i="9"/>
  <c r="L996" i="9"/>
  <c r="M996" i="9"/>
  <c r="K924" i="9"/>
  <c r="L924" i="9"/>
  <c r="M924" i="9"/>
  <c r="K864" i="9"/>
  <c r="L864" i="9"/>
  <c r="M864" i="9"/>
  <c r="L792" i="9"/>
  <c r="M792" i="9"/>
  <c r="K792" i="9"/>
  <c r="L720" i="9"/>
  <c r="M720" i="9"/>
  <c r="K720" i="9"/>
  <c r="L648" i="9"/>
  <c r="M648" i="9"/>
  <c r="K648" i="9"/>
  <c r="K576" i="9"/>
  <c r="L576" i="9"/>
  <c r="M576" i="9"/>
  <c r="K540" i="9"/>
  <c r="L540" i="9"/>
  <c r="M540" i="9"/>
  <c r="L1319" i="9"/>
  <c r="K1319" i="9"/>
  <c r="M1319" i="9"/>
  <c r="K1235" i="9"/>
  <c r="L1235" i="9"/>
  <c r="M1235" i="9"/>
  <c r="J1151" i="9"/>
  <c r="K1151" i="9"/>
  <c r="L1151" i="9"/>
  <c r="M1151" i="9"/>
  <c r="J1079" i="9"/>
  <c r="K1079" i="9"/>
  <c r="L1079" i="9"/>
  <c r="M1079" i="9"/>
  <c r="J995" i="9"/>
  <c r="K995" i="9"/>
  <c r="L995" i="9"/>
  <c r="M995" i="9"/>
  <c r="N923" i="9"/>
  <c r="K923" i="9"/>
  <c r="L923" i="9"/>
  <c r="M923" i="9"/>
  <c r="L875" i="9"/>
  <c r="K875" i="9"/>
  <c r="M875" i="9"/>
  <c r="L827" i="9"/>
  <c r="K827" i="9"/>
  <c r="M827" i="9"/>
  <c r="J755" i="9"/>
  <c r="K755" i="9"/>
  <c r="L755" i="9"/>
  <c r="M755" i="9"/>
  <c r="M743" i="9"/>
  <c r="L743" i="9"/>
  <c r="K743" i="9"/>
  <c r="K731" i="9"/>
  <c r="L731" i="9"/>
  <c r="M731" i="9"/>
  <c r="J719" i="9"/>
  <c r="L719" i="9"/>
  <c r="M719" i="9"/>
  <c r="K719" i="9"/>
  <c r="J707" i="9"/>
  <c r="K707" i="9"/>
  <c r="L707" i="9"/>
  <c r="M707" i="9"/>
  <c r="J647" i="9"/>
  <c r="K647" i="9"/>
  <c r="L647" i="9"/>
  <c r="M647" i="9"/>
  <c r="L623" i="9"/>
  <c r="M623" i="9"/>
  <c r="K623" i="9"/>
  <c r="K611" i="9"/>
  <c r="M611" i="9"/>
  <c r="L611" i="9"/>
  <c r="J599" i="9"/>
  <c r="L599" i="9"/>
  <c r="M599" i="9"/>
  <c r="K599" i="9"/>
  <c r="M587" i="9"/>
  <c r="K587" i="9"/>
  <c r="L587" i="9"/>
  <c r="J575" i="9"/>
  <c r="L575" i="9"/>
  <c r="M575" i="9"/>
  <c r="K575" i="9"/>
  <c r="J563" i="9"/>
  <c r="L563" i="9"/>
  <c r="K563" i="9"/>
  <c r="M563" i="9"/>
  <c r="L551" i="9"/>
  <c r="M551" i="9"/>
  <c r="K551" i="9"/>
  <c r="K539" i="9"/>
  <c r="L539" i="9"/>
  <c r="M539" i="9"/>
  <c r="J527" i="9"/>
  <c r="L527" i="9"/>
  <c r="M527" i="9"/>
  <c r="K527" i="9"/>
  <c r="J515" i="9"/>
  <c r="K515" i="9"/>
  <c r="L515" i="9"/>
  <c r="M515" i="9"/>
  <c r="K503" i="9"/>
  <c r="L503" i="9"/>
  <c r="M503" i="9"/>
  <c r="J1387" i="9"/>
  <c r="K1387" i="9"/>
  <c r="L1387" i="9"/>
  <c r="M1387" i="9"/>
  <c r="K1378" i="9"/>
  <c r="L1378" i="9"/>
  <c r="M1378" i="9"/>
  <c r="K1366" i="9"/>
  <c r="L1366" i="9"/>
  <c r="M1366" i="9"/>
  <c r="J1354" i="9"/>
  <c r="K1354" i="9"/>
  <c r="M1354" i="9"/>
  <c r="L1354" i="9"/>
  <c r="K1342" i="9"/>
  <c r="L1342" i="9"/>
  <c r="M1342" i="9"/>
  <c r="K1330" i="9"/>
  <c r="L1330" i="9"/>
  <c r="M1330" i="9"/>
  <c r="J1318" i="9"/>
  <c r="K1318" i="9"/>
  <c r="L1318" i="9"/>
  <c r="M1318" i="9"/>
  <c r="K1306" i="9"/>
  <c r="L1306" i="9"/>
  <c r="M1306" i="9"/>
  <c r="K1294" i="9"/>
  <c r="L1294" i="9"/>
  <c r="M1294" i="9"/>
  <c r="K1282" i="9"/>
  <c r="L1282" i="9"/>
  <c r="M1282" i="9"/>
  <c r="J1270" i="9"/>
  <c r="K1270" i="9"/>
  <c r="L1270" i="9"/>
  <c r="M1270" i="9"/>
  <c r="K1258" i="9"/>
  <c r="L1258" i="9"/>
  <c r="M1258" i="9"/>
  <c r="K1246" i="9"/>
  <c r="L1246" i="9"/>
  <c r="M1246" i="9"/>
  <c r="K1234" i="9"/>
  <c r="L1234" i="9"/>
  <c r="M1234" i="9"/>
  <c r="J1222" i="9"/>
  <c r="K1222" i="9"/>
  <c r="L1222" i="9"/>
  <c r="M1222" i="9"/>
  <c r="K1210" i="9"/>
  <c r="L1210" i="9"/>
  <c r="M1210" i="9"/>
  <c r="K1198" i="9"/>
  <c r="L1198" i="9"/>
  <c r="M1198" i="9"/>
  <c r="J1186" i="9"/>
  <c r="K1186" i="9"/>
  <c r="L1186" i="9"/>
  <c r="M1186" i="9"/>
  <c r="K1174" i="9"/>
  <c r="L1174" i="9"/>
  <c r="M1174" i="9"/>
  <c r="K1162" i="9"/>
  <c r="L1162" i="9"/>
  <c r="M1162" i="9"/>
  <c r="K1150" i="9"/>
  <c r="L1150" i="9"/>
  <c r="M1150" i="9"/>
  <c r="J1138" i="9"/>
  <c r="K1138" i="9"/>
  <c r="L1138" i="9"/>
  <c r="M1138" i="9"/>
  <c r="K1126" i="9"/>
  <c r="L1126" i="9"/>
  <c r="M1126" i="9"/>
  <c r="K1114" i="9"/>
  <c r="L1114" i="9"/>
  <c r="M1114" i="9"/>
  <c r="J1102" i="9"/>
  <c r="K1102" i="9"/>
  <c r="L1102" i="9"/>
  <c r="M1102" i="9"/>
  <c r="K1090" i="9"/>
  <c r="L1090" i="9"/>
  <c r="M1090" i="9"/>
  <c r="K1078" i="9"/>
  <c r="L1078" i="9"/>
  <c r="M1078" i="9"/>
  <c r="J1066" i="9"/>
  <c r="K1066" i="9"/>
  <c r="L1066" i="9"/>
  <c r="M1066" i="9"/>
  <c r="K1054" i="9"/>
  <c r="L1054" i="9"/>
  <c r="M1054" i="9"/>
  <c r="K1042" i="9"/>
  <c r="L1042" i="9"/>
  <c r="M1042" i="9"/>
  <c r="K1030" i="9"/>
  <c r="L1030" i="9"/>
  <c r="M1030" i="9"/>
  <c r="J1018" i="9"/>
  <c r="K1018" i="9"/>
  <c r="L1018" i="9"/>
  <c r="M1018" i="9"/>
  <c r="N1006" i="9"/>
  <c r="K1006" i="9"/>
  <c r="L1006" i="9"/>
  <c r="M1006" i="9"/>
  <c r="K994" i="9"/>
  <c r="L994" i="9"/>
  <c r="M994" i="9"/>
  <c r="J982" i="9"/>
  <c r="K982" i="9"/>
  <c r="L982" i="9"/>
  <c r="M982" i="9"/>
  <c r="K970" i="9"/>
  <c r="L970" i="9"/>
  <c r="M970" i="9"/>
  <c r="K958" i="9"/>
  <c r="L958" i="9"/>
  <c r="M958" i="9"/>
  <c r="J946" i="9"/>
  <c r="K946" i="9"/>
  <c r="L946" i="9"/>
  <c r="M946" i="9"/>
  <c r="K934" i="9"/>
  <c r="L934" i="9"/>
  <c r="M934" i="9"/>
  <c r="K922" i="9"/>
  <c r="L922" i="9"/>
  <c r="M922" i="9"/>
  <c r="K910" i="9"/>
  <c r="L910" i="9"/>
  <c r="M910" i="9"/>
  <c r="J898" i="9"/>
  <c r="K898" i="9"/>
  <c r="L898" i="9"/>
  <c r="M898" i="9"/>
  <c r="K886" i="9"/>
  <c r="L886" i="9"/>
  <c r="M886" i="9"/>
  <c r="K874" i="9"/>
  <c r="L874" i="9"/>
  <c r="M874" i="9"/>
  <c r="J862" i="9"/>
  <c r="K862" i="9"/>
  <c r="L862" i="9"/>
  <c r="M862" i="9"/>
  <c r="K850" i="9"/>
  <c r="L850" i="9"/>
  <c r="M850" i="9"/>
  <c r="K838" i="9"/>
  <c r="L838" i="9"/>
  <c r="M838" i="9"/>
  <c r="J826" i="9"/>
  <c r="K826" i="9"/>
  <c r="L826" i="9"/>
  <c r="M826" i="9"/>
  <c r="K814" i="9"/>
  <c r="L814" i="9"/>
  <c r="M814" i="9"/>
  <c r="K802" i="9"/>
  <c r="L802" i="9"/>
  <c r="M802" i="9"/>
  <c r="J790" i="9"/>
  <c r="L790" i="9"/>
  <c r="M790" i="9"/>
  <c r="K790" i="9"/>
  <c r="L778" i="9"/>
  <c r="M778" i="9"/>
  <c r="K778" i="9"/>
  <c r="L766" i="9"/>
  <c r="M766" i="9"/>
  <c r="K766" i="9"/>
  <c r="J754" i="9"/>
  <c r="L754" i="9"/>
  <c r="M754" i="9"/>
  <c r="K754" i="9"/>
  <c r="L742" i="9"/>
  <c r="M742" i="9"/>
  <c r="K742" i="9"/>
  <c r="L730" i="9"/>
  <c r="M730" i="9"/>
  <c r="K730" i="9"/>
  <c r="L718" i="9"/>
  <c r="M718" i="9"/>
  <c r="K718" i="9"/>
  <c r="J706" i="9"/>
  <c r="L706" i="9"/>
  <c r="M706" i="9"/>
  <c r="K706" i="9"/>
  <c r="L694" i="9"/>
  <c r="M694" i="9"/>
  <c r="K694" i="9"/>
  <c r="L682" i="9"/>
  <c r="M682" i="9"/>
  <c r="K682" i="9"/>
  <c r="L670" i="9"/>
  <c r="M670" i="9"/>
  <c r="K670" i="9"/>
  <c r="L658" i="9"/>
  <c r="M658" i="9"/>
  <c r="K658" i="9"/>
  <c r="J646" i="9"/>
  <c r="L646" i="9"/>
  <c r="M646" i="9"/>
  <c r="K646" i="9"/>
  <c r="L634" i="9"/>
  <c r="M634" i="9"/>
  <c r="K634" i="9"/>
  <c r="L622" i="9"/>
  <c r="M622" i="9"/>
  <c r="K622" i="9"/>
  <c r="J610" i="9"/>
  <c r="L610" i="9"/>
  <c r="M610" i="9"/>
  <c r="K610" i="9"/>
  <c r="L598" i="9"/>
  <c r="M598" i="9"/>
  <c r="K598" i="9"/>
  <c r="L586" i="9"/>
  <c r="M586" i="9"/>
  <c r="K586" i="9"/>
  <c r="J574" i="9"/>
  <c r="L574" i="9"/>
  <c r="M574" i="9"/>
  <c r="K574" i="9"/>
  <c r="L562" i="9"/>
  <c r="M562" i="9"/>
  <c r="K562" i="9"/>
  <c r="L550" i="9"/>
  <c r="M550" i="9"/>
  <c r="K550" i="9"/>
  <c r="J538" i="9"/>
  <c r="L538" i="9"/>
  <c r="M538" i="9"/>
  <c r="K538" i="9"/>
  <c r="L526" i="9"/>
  <c r="M526" i="9"/>
  <c r="K526" i="9"/>
  <c r="L514" i="9"/>
  <c r="M514" i="9"/>
  <c r="K514" i="9"/>
  <c r="L502" i="9"/>
  <c r="M502" i="9"/>
  <c r="K502" i="9"/>
  <c r="K1388" i="9"/>
  <c r="L1388" i="9"/>
  <c r="M1388" i="9"/>
  <c r="M1377" i="9"/>
  <c r="K1377" i="9"/>
  <c r="L1377" i="9"/>
  <c r="M1365" i="9"/>
  <c r="K1365" i="9"/>
  <c r="L1365" i="9"/>
  <c r="M1353" i="9"/>
  <c r="K1353" i="9"/>
  <c r="L1353" i="9"/>
  <c r="M1341" i="9"/>
  <c r="K1341" i="9"/>
  <c r="L1341" i="9"/>
  <c r="M1329" i="9"/>
  <c r="K1329" i="9"/>
  <c r="L1329" i="9"/>
  <c r="K1317" i="9"/>
  <c r="M1317" i="9"/>
  <c r="L1317" i="9"/>
  <c r="K1305" i="9"/>
  <c r="L1305" i="9"/>
  <c r="M1305" i="9"/>
  <c r="K1293" i="9"/>
  <c r="L1293" i="9"/>
  <c r="M1293" i="9"/>
  <c r="K1281" i="9"/>
  <c r="L1281" i="9"/>
  <c r="M1281" i="9"/>
  <c r="K1269" i="9"/>
  <c r="L1269" i="9"/>
  <c r="M1269" i="9"/>
  <c r="K1257" i="9"/>
  <c r="L1257" i="9"/>
  <c r="M1257" i="9"/>
  <c r="K1245" i="9"/>
  <c r="L1245" i="9"/>
  <c r="M1245" i="9"/>
  <c r="K1233" i="9"/>
  <c r="L1233" i="9"/>
  <c r="M1233" i="9"/>
  <c r="K1221" i="9"/>
  <c r="L1221" i="9"/>
  <c r="M1221" i="9"/>
  <c r="K1209" i="9"/>
  <c r="L1209" i="9"/>
  <c r="M1209" i="9"/>
  <c r="K1197" i="9"/>
  <c r="L1197" i="9"/>
  <c r="M1197" i="9"/>
  <c r="K1185" i="9"/>
  <c r="L1185" i="9"/>
  <c r="M1185" i="9"/>
  <c r="K1173" i="9"/>
  <c r="L1173" i="9"/>
  <c r="M1173" i="9"/>
  <c r="K1161" i="9"/>
  <c r="L1161" i="9"/>
  <c r="M1161" i="9"/>
  <c r="K1149" i="9"/>
  <c r="L1149" i="9"/>
  <c r="M1149" i="9"/>
  <c r="K1137" i="9"/>
  <c r="L1137" i="9"/>
  <c r="M1137" i="9"/>
  <c r="K1125" i="9"/>
  <c r="L1125" i="9"/>
  <c r="M1125" i="9"/>
  <c r="K1113" i="9"/>
  <c r="L1113" i="9"/>
  <c r="M1113" i="9"/>
  <c r="K1101" i="9"/>
  <c r="L1101" i="9"/>
  <c r="M1101" i="9"/>
  <c r="K1089" i="9"/>
  <c r="L1089" i="9"/>
  <c r="M1089" i="9"/>
  <c r="K1077" i="9"/>
  <c r="L1077" i="9"/>
  <c r="M1077" i="9"/>
  <c r="K1065" i="9"/>
  <c r="L1065" i="9"/>
  <c r="M1065" i="9"/>
  <c r="K1053" i="9"/>
  <c r="L1053" i="9"/>
  <c r="M1053" i="9"/>
  <c r="K1041" i="9"/>
  <c r="L1041" i="9"/>
  <c r="M1041" i="9"/>
  <c r="K1029" i="9"/>
  <c r="L1029" i="9"/>
  <c r="M1029" i="9"/>
  <c r="K1017" i="9"/>
  <c r="L1017" i="9"/>
  <c r="M1017" i="9"/>
  <c r="K1005" i="9"/>
  <c r="L1005" i="9"/>
  <c r="M1005" i="9"/>
  <c r="K993" i="9"/>
  <c r="L993" i="9"/>
  <c r="M993" i="9"/>
  <c r="K981" i="9"/>
  <c r="L981" i="9"/>
  <c r="M981" i="9"/>
  <c r="K969" i="9"/>
  <c r="L969" i="9"/>
  <c r="M969" i="9"/>
  <c r="K957" i="9"/>
  <c r="L957" i="9"/>
  <c r="M957" i="9"/>
  <c r="K945" i="9"/>
  <c r="L945" i="9"/>
  <c r="M945" i="9"/>
  <c r="K933" i="9"/>
  <c r="L933" i="9"/>
  <c r="M933" i="9"/>
  <c r="K921" i="9"/>
  <c r="L921" i="9"/>
  <c r="M921" i="9"/>
  <c r="K909" i="9"/>
  <c r="L909" i="9"/>
  <c r="M909" i="9"/>
  <c r="K897" i="9"/>
  <c r="L897" i="9"/>
  <c r="M897" i="9"/>
  <c r="K885" i="9"/>
  <c r="L885" i="9"/>
  <c r="M885" i="9"/>
  <c r="K873" i="9"/>
  <c r="L873" i="9"/>
  <c r="M873" i="9"/>
  <c r="K861" i="9"/>
  <c r="L861" i="9"/>
  <c r="M861" i="9"/>
  <c r="K849" i="9"/>
  <c r="L849" i="9"/>
  <c r="M849" i="9"/>
  <c r="K837" i="9"/>
  <c r="L837" i="9"/>
  <c r="M837" i="9"/>
  <c r="K825" i="9"/>
  <c r="L825" i="9"/>
  <c r="M825" i="9"/>
  <c r="K813" i="9"/>
  <c r="L813" i="9"/>
  <c r="M813" i="9"/>
  <c r="K801" i="9"/>
  <c r="L801" i="9"/>
  <c r="M801" i="9"/>
  <c r="M789" i="9"/>
  <c r="L789" i="9"/>
  <c r="K789" i="9"/>
  <c r="M777" i="9"/>
  <c r="K777" i="9"/>
  <c r="L777" i="9"/>
  <c r="M765" i="9"/>
  <c r="K765" i="9"/>
  <c r="L765" i="9"/>
  <c r="M753" i="9"/>
  <c r="K753" i="9"/>
  <c r="L753" i="9"/>
  <c r="M741" i="9"/>
  <c r="K741" i="9"/>
  <c r="L741" i="9"/>
  <c r="M729" i="9"/>
  <c r="K729" i="9"/>
  <c r="L729" i="9"/>
  <c r="M717" i="9"/>
  <c r="L717" i="9"/>
  <c r="K717" i="9"/>
  <c r="M705" i="9"/>
  <c r="K705" i="9"/>
  <c r="L705" i="9"/>
  <c r="M693" i="9"/>
  <c r="K693" i="9"/>
  <c r="L693" i="9"/>
  <c r="M681" i="9"/>
  <c r="L681" i="9"/>
  <c r="K681" i="9"/>
  <c r="M669" i="9"/>
  <c r="K669" i="9"/>
  <c r="L669" i="9"/>
  <c r="M657" i="9"/>
  <c r="K657" i="9"/>
  <c r="L657" i="9"/>
  <c r="M645" i="9"/>
  <c r="L645" i="9"/>
  <c r="K645" i="9"/>
  <c r="M633" i="9"/>
  <c r="K633" i="9"/>
  <c r="L633" i="9"/>
  <c r="K621" i="9"/>
  <c r="M621" i="9"/>
  <c r="L621" i="9"/>
  <c r="K609" i="9"/>
  <c r="L609" i="9"/>
  <c r="M609" i="9"/>
  <c r="K597" i="9"/>
  <c r="L597" i="9"/>
  <c r="M597" i="9"/>
  <c r="K585" i="9"/>
  <c r="L585" i="9"/>
  <c r="M585" i="9"/>
  <c r="M573" i="9"/>
  <c r="L573" i="9"/>
  <c r="K573" i="9"/>
  <c r="K561" i="9"/>
  <c r="L561" i="9"/>
  <c r="M561" i="9"/>
  <c r="M549" i="9"/>
  <c r="K549" i="9"/>
  <c r="L549" i="9"/>
  <c r="K537" i="9"/>
  <c r="L537" i="9"/>
  <c r="M537" i="9"/>
  <c r="L525" i="9"/>
  <c r="M525" i="9"/>
  <c r="K525" i="9"/>
  <c r="K513" i="9"/>
  <c r="L513" i="9"/>
  <c r="M513" i="9"/>
  <c r="K501" i="9"/>
  <c r="L501" i="9"/>
  <c r="M501" i="9"/>
  <c r="M1395" i="9"/>
  <c r="K1395" i="9"/>
  <c r="L1395" i="9"/>
  <c r="K1344" i="9"/>
  <c r="L1344" i="9"/>
  <c r="M1344" i="9"/>
  <c r="M1260" i="9"/>
  <c r="K1260" i="9"/>
  <c r="L1260" i="9"/>
  <c r="M1176" i="9"/>
  <c r="K1176" i="9"/>
  <c r="L1176" i="9"/>
  <c r="M1104" i="9"/>
  <c r="K1104" i="9"/>
  <c r="L1104" i="9"/>
  <c r="K1020" i="9"/>
  <c r="L1020" i="9"/>
  <c r="M1020" i="9"/>
  <c r="K948" i="9"/>
  <c r="L948" i="9"/>
  <c r="M948" i="9"/>
  <c r="K876" i="9"/>
  <c r="L876" i="9"/>
  <c r="M876" i="9"/>
  <c r="K816" i="9"/>
  <c r="L816" i="9"/>
  <c r="M816" i="9"/>
  <c r="L744" i="9"/>
  <c r="M744" i="9"/>
  <c r="K744" i="9"/>
  <c r="L660" i="9"/>
  <c r="K660" i="9"/>
  <c r="M660" i="9"/>
  <c r="K612" i="9"/>
  <c r="L612" i="9"/>
  <c r="M612" i="9"/>
  <c r="K528" i="9"/>
  <c r="L528" i="9"/>
  <c r="M528" i="9"/>
  <c r="K1386" i="9"/>
  <c r="L1386" i="9"/>
  <c r="M1386" i="9"/>
  <c r="K1355" i="9"/>
  <c r="L1355" i="9"/>
  <c r="M1355" i="9"/>
  <c r="K1283" i="9"/>
  <c r="L1283" i="9"/>
  <c r="M1283" i="9"/>
  <c r="K1223" i="9"/>
  <c r="L1223" i="9"/>
  <c r="M1223" i="9"/>
  <c r="K1163" i="9"/>
  <c r="L1163" i="9"/>
  <c r="M1163" i="9"/>
  <c r="K1103" i="9"/>
  <c r="L1103" i="9"/>
  <c r="M1103" i="9"/>
  <c r="J1043" i="9"/>
  <c r="K1043" i="9"/>
  <c r="L1043" i="9"/>
  <c r="M1043" i="9"/>
  <c r="K971" i="9"/>
  <c r="L971" i="9"/>
  <c r="M971" i="9"/>
  <c r="K899" i="9"/>
  <c r="L899" i="9"/>
  <c r="M899" i="9"/>
  <c r="L803" i="9"/>
  <c r="K803" i="9"/>
  <c r="M803" i="9"/>
  <c r="K683" i="9"/>
  <c r="L683" i="9"/>
  <c r="M683" i="9"/>
  <c r="K1376" i="9"/>
  <c r="L1376" i="9"/>
  <c r="M1376" i="9"/>
  <c r="J1316" i="9"/>
  <c r="K1316" i="9"/>
  <c r="L1316" i="9"/>
  <c r="M1316" i="9"/>
  <c r="J1256" i="9"/>
  <c r="M1256" i="9"/>
  <c r="K1256" i="9"/>
  <c r="L1256" i="9"/>
  <c r="J1196" i="9"/>
  <c r="M1196" i="9"/>
  <c r="K1196" i="9"/>
  <c r="L1196" i="9"/>
  <c r="L1148" i="9"/>
  <c r="K1148" i="9"/>
  <c r="M1148" i="9"/>
  <c r="M1088" i="9"/>
  <c r="K1088" i="9"/>
  <c r="L1088" i="9"/>
  <c r="M1016" i="9"/>
  <c r="K1016" i="9"/>
  <c r="L1016" i="9"/>
  <c r="J968" i="9"/>
  <c r="K968" i="9"/>
  <c r="M968" i="9"/>
  <c r="L968" i="9"/>
  <c r="J908" i="9"/>
  <c r="K908" i="9"/>
  <c r="L908" i="9"/>
  <c r="M908" i="9"/>
  <c r="J848" i="9"/>
  <c r="K848" i="9"/>
  <c r="L848" i="9"/>
  <c r="M848" i="9"/>
  <c r="J800" i="9"/>
  <c r="K800" i="9"/>
  <c r="L800" i="9"/>
  <c r="M800" i="9"/>
  <c r="J740" i="9"/>
  <c r="K740" i="9"/>
  <c r="L740" i="9"/>
  <c r="M740" i="9"/>
  <c r="J668" i="9"/>
  <c r="K668" i="9"/>
  <c r="L668" i="9"/>
  <c r="M668" i="9"/>
  <c r="J608" i="9"/>
  <c r="M608" i="9"/>
  <c r="K608" i="9"/>
  <c r="L608" i="9"/>
  <c r="J548" i="9"/>
  <c r="K548" i="9"/>
  <c r="L548" i="9"/>
  <c r="M548" i="9"/>
  <c r="J1396" i="9"/>
  <c r="K1396" i="9"/>
  <c r="L1396" i="9"/>
  <c r="M1396" i="9"/>
  <c r="J1351" i="9"/>
  <c r="M1351" i="9"/>
  <c r="K1351" i="9"/>
  <c r="L1351" i="9"/>
  <c r="J1291" i="9"/>
  <c r="K1291" i="9"/>
  <c r="L1291" i="9"/>
  <c r="M1291" i="9"/>
  <c r="J1243" i="9"/>
  <c r="K1243" i="9"/>
  <c r="L1243" i="9"/>
  <c r="M1243" i="9"/>
  <c r="J1183" i="9"/>
  <c r="K1183" i="9"/>
  <c r="L1183" i="9"/>
  <c r="M1183" i="9"/>
  <c r="J1123" i="9"/>
  <c r="K1123" i="9"/>
  <c r="M1123" i="9"/>
  <c r="L1123" i="9"/>
  <c r="J1075" i="9"/>
  <c r="K1075" i="9"/>
  <c r="L1075" i="9"/>
  <c r="M1075" i="9"/>
  <c r="J1015" i="9"/>
  <c r="K1015" i="9"/>
  <c r="L1015" i="9"/>
  <c r="M1015" i="9"/>
  <c r="J943" i="9"/>
  <c r="K943" i="9"/>
  <c r="L943" i="9"/>
  <c r="M943" i="9"/>
  <c r="J895" i="9"/>
  <c r="K895" i="9"/>
  <c r="L895" i="9"/>
  <c r="M895" i="9"/>
  <c r="J847" i="9"/>
  <c r="K847" i="9"/>
  <c r="L847" i="9"/>
  <c r="M847" i="9"/>
  <c r="J787" i="9"/>
  <c r="M787" i="9"/>
  <c r="K787" i="9"/>
  <c r="L787" i="9"/>
  <c r="J727" i="9"/>
  <c r="M727" i="9"/>
  <c r="L727" i="9"/>
  <c r="K727" i="9"/>
  <c r="M667" i="9"/>
  <c r="L667" i="9"/>
  <c r="K667" i="9"/>
  <c r="J607" i="9"/>
  <c r="M607" i="9"/>
  <c r="K607" i="9"/>
  <c r="L607" i="9"/>
  <c r="J547" i="9"/>
  <c r="K547" i="9"/>
  <c r="L547" i="9"/>
  <c r="M547" i="9"/>
  <c r="M1397" i="9"/>
  <c r="K1397" i="9"/>
  <c r="L1397" i="9"/>
  <c r="K1362" i="9"/>
  <c r="L1362" i="9"/>
  <c r="M1362" i="9"/>
  <c r="K1302" i="9"/>
  <c r="L1302" i="9"/>
  <c r="M1302" i="9"/>
  <c r="K1266" i="9"/>
  <c r="L1266" i="9"/>
  <c r="M1266" i="9"/>
  <c r="J1206" i="9"/>
  <c r="K1206" i="9"/>
  <c r="L1206" i="9"/>
  <c r="M1206" i="9"/>
  <c r="J1146" i="9"/>
  <c r="K1146" i="9"/>
  <c r="L1146" i="9"/>
  <c r="M1146" i="9"/>
  <c r="J1086" i="9"/>
  <c r="K1086" i="9"/>
  <c r="L1086" i="9"/>
  <c r="M1086" i="9"/>
  <c r="J1038" i="9"/>
  <c r="K1038" i="9"/>
  <c r="L1038" i="9"/>
  <c r="M1038" i="9"/>
  <c r="J978" i="9"/>
  <c r="K978" i="9"/>
  <c r="L978" i="9"/>
  <c r="M978" i="9"/>
  <c r="K930" i="9"/>
  <c r="L930" i="9"/>
  <c r="M930" i="9"/>
  <c r="J870" i="9"/>
  <c r="K870" i="9"/>
  <c r="L870" i="9"/>
  <c r="M870" i="9"/>
  <c r="J822" i="9"/>
  <c r="K822" i="9"/>
  <c r="L822" i="9"/>
  <c r="M822" i="9"/>
  <c r="J786" i="9"/>
  <c r="L786" i="9"/>
  <c r="M786" i="9"/>
  <c r="K786" i="9"/>
  <c r="J726" i="9"/>
  <c r="L726" i="9"/>
  <c r="M726" i="9"/>
  <c r="K726" i="9"/>
  <c r="J678" i="9"/>
  <c r="L678" i="9"/>
  <c r="M678" i="9"/>
  <c r="K678" i="9"/>
  <c r="L618" i="9"/>
  <c r="M618" i="9"/>
  <c r="K618" i="9"/>
  <c r="J570" i="9"/>
  <c r="L570" i="9"/>
  <c r="M570" i="9"/>
  <c r="K570" i="9"/>
  <c r="J522" i="9"/>
  <c r="L522" i="9"/>
  <c r="M522" i="9"/>
  <c r="K522" i="9"/>
  <c r="K1394" i="9"/>
  <c r="L1394" i="9"/>
  <c r="M1394" i="9"/>
  <c r="J1373" i="9"/>
  <c r="M1373" i="9"/>
  <c r="K1373" i="9"/>
  <c r="L1373" i="9"/>
  <c r="J1361" i="9"/>
  <c r="M1361" i="9"/>
  <c r="K1361" i="9"/>
  <c r="L1361" i="9"/>
  <c r="J1349" i="9"/>
  <c r="K1349" i="9"/>
  <c r="M1349" i="9"/>
  <c r="L1349" i="9"/>
  <c r="J1337" i="9"/>
  <c r="M1337" i="9"/>
  <c r="K1337" i="9"/>
  <c r="L1337" i="9"/>
  <c r="J1325" i="9"/>
  <c r="M1325" i="9"/>
  <c r="K1325" i="9"/>
  <c r="L1325" i="9"/>
  <c r="J1313" i="9"/>
  <c r="M1313" i="9"/>
  <c r="K1313" i="9"/>
  <c r="L1313" i="9"/>
  <c r="J1301" i="9"/>
  <c r="K1301" i="9"/>
  <c r="L1301" i="9"/>
  <c r="M1301" i="9"/>
  <c r="J1289" i="9"/>
  <c r="K1289" i="9"/>
  <c r="L1289" i="9"/>
  <c r="M1289" i="9"/>
  <c r="J1277" i="9"/>
  <c r="K1277" i="9"/>
  <c r="L1277" i="9"/>
  <c r="M1277" i="9"/>
  <c r="J1265" i="9"/>
  <c r="K1265" i="9"/>
  <c r="L1265" i="9"/>
  <c r="M1265" i="9"/>
  <c r="J1253" i="9"/>
  <c r="K1253" i="9"/>
  <c r="L1253" i="9"/>
  <c r="M1253" i="9"/>
  <c r="J1241" i="9"/>
  <c r="K1241" i="9"/>
  <c r="L1241" i="9"/>
  <c r="M1241" i="9"/>
  <c r="J1229" i="9"/>
  <c r="K1229" i="9"/>
  <c r="L1229" i="9"/>
  <c r="M1229" i="9"/>
  <c r="J1217" i="9"/>
  <c r="K1217" i="9"/>
  <c r="L1217" i="9"/>
  <c r="M1217" i="9"/>
  <c r="J1205" i="9"/>
  <c r="K1205" i="9"/>
  <c r="L1205" i="9"/>
  <c r="M1205" i="9"/>
  <c r="J1193" i="9"/>
  <c r="K1193" i="9"/>
  <c r="L1193" i="9"/>
  <c r="M1193" i="9"/>
  <c r="J1181" i="9"/>
  <c r="K1181" i="9"/>
  <c r="L1181" i="9"/>
  <c r="M1181" i="9"/>
  <c r="J1169" i="9"/>
  <c r="K1169" i="9"/>
  <c r="L1169" i="9"/>
  <c r="M1169" i="9"/>
  <c r="J1157" i="9"/>
  <c r="K1157" i="9"/>
  <c r="L1157" i="9"/>
  <c r="M1157" i="9"/>
  <c r="J1145" i="9"/>
  <c r="K1145" i="9"/>
  <c r="L1145" i="9"/>
  <c r="M1145" i="9"/>
  <c r="J1133" i="9"/>
  <c r="K1133" i="9"/>
  <c r="L1133" i="9"/>
  <c r="M1133" i="9"/>
  <c r="J1121" i="9"/>
  <c r="K1121" i="9"/>
  <c r="L1121" i="9"/>
  <c r="M1121" i="9"/>
  <c r="J1109" i="9"/>
  <c r="K1109" i="9"/>
  <c r="L1109" i="9"/>
  <c r="M1109" i="9"/>
  <c r="J1097" i="9"/>
  <c r="K1097" i="9"/>
  <c r="L1097" i="9"/>
  <c r="M1097" i="9"/>
  <c r="J1085" i="9"/>
  <c r="K1085" i="9"/>
  <c r="L1085" i="9"/>
  <c r="M1085" i="9"/>
  <c r="J1073" i="9"/>
  <c r="K1073" i="9"/>
  <c r="L1073" i="9"/>
  <c r="M1073" i="9"/>
  <c r="J1061" i="9"/>
  <c r="K1061" i="9"/>
  <c r="L1061" i="9"/>
  <c r="M1061" i="9"/>
  <c r="J1049" i="9"/>
  <c r="K1049" i="9"/>
  <c r="L1049" i="9"/>
  <c r="M1049" i="9"/>
  <c r="J1037" i="9"/>
  <c r="K1037" i="9"/>
  <c r="L1037" i="9"/>
  <c r="M1037" i="9"/>
  <c r="J1025" i="9"/>
  <c r="K1025" i="9"/>
  <c r="L1025" i="9"/>
  <c r="M1025" i="9"/>
  <c r="J1013" i="9"/>
  <c r="K1013" i="9"/>
  <c r="L1013" i="9"/>
  <c r="M1013" i="9"/>
  <c r="J1001" i="9"/>
  <c r="K1001" i="9"/>
  <c r="L1001" i="9"/>
  <c r="M1001" i="9"/>
  <c r="K989" i="9"/>
  <c r="L989" i="9"/>
  <c r="M989" i="9"/>
  <c r="N977" i="9"/>
  <c r="K977" i="9"/>
  <c r="L977" i="9"/>
  <c r="M977" i="9"/>
  <c r="J965" i="9"/>
  <c r="K965" i="9"/>
  <c r="L965" i="9"/>
  <c r="M965" i="9"/>
  <c r="J953" i="9"/>
  <c r="K953" i="9"/>
  <c r="L953" i="9"/>
  <c r="M953" i="9"/>
  <c r="N941" i="9"/>
  <c r="K941" i="9"/>
  <c r="L941" i="9"/>
  <c r="M941" i="9"/>
  <c r="J929" i="9"/>
  <c r="K929" i="9"/>
  <c r="L929" i="9"/>
  <c r="M929" i="9"/>
  <c r="J917" i="9"/>
  <c r="K917" i="9"/>
  <c r="L917" i="9"/>
  <c r="M917" i="9"/>
  <c r="N905" i="9"/>
  <c r="K905" i="9"/>
  <c r="L905" i="9"/>
  <c r="M905" i="9"/>
  <c r="J893" i="9"/>
  <c r="K893" i="9"/>
  <c r="L893" i="9"/>
  <c r="M893" i="9"/>
  <c r="J881" i="9"/>
  <c r="K881" i="9"/>
  <c r="L881" i="9"/>
  <c r="M881" i="9"/>
  <c r="N869" i="9"/>
  <c r="K869" i="9"/>
  <c r="L869" i="9"/>
  <c r="M869" i="9"/>
  <c r="J857" i="9"/>
  <c r="K857" i="9"/>
  <c r="L857" i="9"/>
  <c r="M857" i="9"/>
  <c r="J845" i="9"/>
  <c r="K845" i="9"/>
  <c r="L845" i="9"/>
  <c r="M845" i="9"/>
  <c r="J833" i="9"/>
  <c r="K833" i="9"/>
  <c r="L833" i="9"/>
  <c r="M833" i="9"/>
  <c r="J821" i="9"/>
  <c r="K821" i="9"/>
  <c r="L821" i="9"/>
  <c r="M821" i="9"/>
  <c r="N809" i="9"/>
  <c r="K809" i="9"/>
  <c r="L809" i="9"/>
  <c r="M809" i="9"/>
  <c r="J797" i="9"/>
  <c r="K797" i="9"/>
  <c r="L797" i="9"/>
  <c r="M797" i="9"/>
  <c r="J785" i="9"/>
  <c r="K785" i="9"/>
  <c r="L785" i="9"/>
  <c r="M785" i="9"/>
  <c r="J773" i="9"/>
  <c r="K773" i="9"/>
  <c r="L773" i="9"/>
  <c r="M773" i="9"/>
  <c r="J761" i="9"/>
  <c r="K761" i="9"/>
  <c r="L761" i="9"/>
  <c r="M761" i="9"/>
  <c r="J749" i="9"/>
  <c r="K749" i="9"/>
  <c r="L749" i="9"/>
  <c r="M749" i="9"/>
  <c r="J737" i="9"/>
  <c r="K737" i="9"/>
  <c r="L737" i="9"/>
  <c r="M737" i="9"/>
  <c r="J725" i="9"/>
  <c r="K725" i="9"/>
  <c r="L725" i="9"/>
  <c r="M725" i="9"/>
  <c r="J713" i="9"/>
  <c r="K713" i="9"/>
  <c r="L713" i="9"/>
  <c r="M713" i="9"/>
  <c r="J701" i="9"/>
  <c r="K701" i="9"/>
  <c r="L701" i="9"/>
  <c r="M701" i="9"/>
  <c r="J689" i="9"/>
  <c r="K689" i="9"/>
  <c r="L689" i="9"/>
  <c r="M689" i="9"/>
  <c r="J677" i="9"/>
  <c r="K677" i="9"/>
  <c r="L677" i="9"/>
  <c r="M677" i="9"/>
  <c r="J665" i="9"/>
  <c r="K665" i="9"/>
  <c r="M665" i="9"/>
  <c r="L665" i="9"/>
  <c r="J653" i="9"/>
  <c r="K653" i="9"/>
  <c r="L653" i="9"/>
  <c r="M653" i="9"/>
  <c r="J641" i="9"/>
  <c r="K641" i="9"/>
  <c r="L641" i="9"/>
  <c r="M641" i="9"/>
  <c r="J629" i="9"/>
  <c r="K629" i="9"/>
  <c r="L629" i="9"/>
  <c r="M629" i="9"/>
  <c r="J617" i="9"/>
  <c r="K617" i="9"/>
  <c r="L617" i="9"/>
  <c r="M617" i="9"/>
  <c r="J605" i="9"/>
  <c r="K605" i="9"/>
  <c r="L605" i="9"/>
  <c r="M605" i="9"/>
  <c r="J593" i="9"/>
  <c r="K593" i="9"/>
  <c r="L593" i="9"/>
  <c r="M593" i="9"/>
  <c r="J581" i="9"/>
  <c r="K581" i="9"/>
  <c r="L581" i="9"/>
  <c r="M581" i="9"/>
  <c r="J569" i="9"/>
  <c r="M569" i="9"/>
  <c r="K569" i="9"/>
  <c r="L569" i="9"/>
  <c r="J557" i="9"/>
  <c r="K557" i="9"/>
  <c r="L557" i="9"/>
  <c r="M557" i="9"/>
  <c r="J545" i="9"/>
  <c r="L545" i="9"/>
  <c r="M545" i="9"/>
  <c r="K545" i="9"/>
  <c r="J533" i="9"/>
  <c r="K533" i="9"/>
  <c r="L533" i="9"/>
  <c r="M533" i="9"/>
  <c r="J521" i="9"/>
  <c r="K521" i="9"/>
  <c r="L521" i="9"/>
  <c r="M521" i="9"/>
  <c r="J509" i="9"/>
  <c r="K509" i="9"/>
  <c r="L509" i="9"/>
  <c r="M509" i="9"/>
  <c r="J497" i="9"/>
  <c r="K497" i="9"/>
  <c r="L497" i="9"/>
  <c r="M497" i="9"/>
  <c r="J1381" i="9"/>
  <c r="M1381" i="9"/>
  <c r="K1381" i="9"/>
  <c r="L1381" i="9"/>
  <c r="K1308" i="9"/>
  <c r="L1308" i="9"/>
  <c r="M1308" i="9"/>
  <c r="L1236" i="9"/>
  <c r="K1236" i="9"/>
  <c r="M1236" i="9"/>
  <c r="K1164" i="9"/>
  <c r="L1164" i="9"/>
  <c r="M1164" i="9"/>
  <c r="K1092" i="9"/>
  <c r="L1092" i="9"/>
  <c r="M1092" i="9"/>
  <c r="M1008" i="9"/>
  <c r="K1008" i="9"/>
  <c r="L1008" i="9"/>
  <c r="K936" i="9"/>
  <c r="M936" i="9"/>
  <c r="L936" i="9"/>
  <c r="K852" i="9"/>
  <c r="L852" i="9"/>
  <c r="M852" i="9"/>
  <c r="L780" i="9"/>
  <c r="K780" i="9"/>
  <c r="M780" i="9"/>
  <c r="L708" i="9"/>
  <c r="K708" i="9"/>
  <c r="M708" i="9"/>
  <c r="L636" i="9"/>
  <c r="M636" i="9"/>
  <c r="K636" i="9"/>
  <c r="K552" i="9"/>
  <c r="L552" i="9"/>
  <c r="M552" i="9"/>
  <c r="M1343" i="9"/>
  <c r="K1343" i="9"/>
  <c r="L1343" i="9"/>
  <c r="K1271" i="9"/>
  <c r="L1271" i="9"/>
  <c r="M1271" i="9"/>
  <c r="J1199" i="9"/>
  <c r="K1199" i="9"/>
  <c r="L1199" i="9"/>
  <c r="M1199" i="9"/>
  <c r="J1127" i="9"/>
  <c r="K1127" i="9"/>
  <c r="L1127" i="9"/>
  <c r="M1127" i="9"/>
  <c r="K1067" i="9"/>
  <c r="L1067" i="9"/>
  <c r="M1067" i="9"/>
  <c r="K1007" i="9"/>
  <c r="L1007" i="9"/>
  <c r="M1007" i="9"/>
  <c r="J959" i="9"/>
  <c r="K959" i="9"/>
  <c r="L959" i="9"/>
  <c r="M959" i="9"/>
  <c r="J887" i="9"/>
  <c r="K887" i="9"/>
  <c r="L887" i="9"/>
  <c r="M887" i="9"/>
  <c r="J815" i="9"/>
  <c r="L815" i="9"/>
  <c r="K815" i="9"/>
  <c r="M815" i="9"/>
  <c r="K695" i="9"/>
  <c r="L695" i="9"/>
  <c r="M695" i="9"/>
  <c r="J1400" i="9"/>
  <c r="K1400" i="9"/>
  <c r="L1400" i="9"/>
  <c r="M1400" i="9"/>
  <c r="K1328" i="9"/>
  <c r="L1328" i="9"/>
  <c r="M1328" i="9"/>
  <c r="K1268" i="9"/>
  <c r="L1268" i="9"/>
  <c r="M1268" i="9"/>
  <c r="K1220" i="9"/>
  <c r="L1220" i="9"/>
  <c r="M1220" i="9"/>
  <c r="M1160" i="9"/>
  <c r="K1160" i="9"/>
  <c r="L1160" i="9"/>
  <c r="J1100" i="9"/>
  <c r="K1100" i="9"/>
  <c r="L1100" i="9"/>
  <c r="M1100" i="9"/>
  <c r="M1040" i="9"/>
  <c r="K1040" i="9"/>
  <c r="L1040" i="9"/>
  <c r="J980" i="9"/>
  <c r="K980" i="9"/>
  <c r="L980" i="9"/>
  <c r="M980" i="9"/>
  <c r="N932" i="9"/>
  <c r="K932" i="9"/>
  <c r="L932" i="9"/>
  <c r="M932" i="9"/>
  <c r="J872" i="9"/>
  <c r="K872" i="9"/>
  <c r="L872" i="9"/>
  <c r="M872" i="9"/>
  <c r="J812" i="9"/>
  <c r="K812" i="9"/>
  <c r="L812" i="9"/>
  <c r="M812" i="9"/>
  <c r="J752" i="9"/>
  <c r="L752" i="9"/>
  <c r="M752" i="9"/>
  <c r="K752" i="9"/>
  <c r="J692" i="9"/>
  <c r="K692" i="9"/>
  <c r="L692" i="9"/>
  <c r="M692" i="9"/>
  <c r="J644" i="9"/>
  <c r="K644" i="9"/>
  <c r="L644" i="9"/>
  <c r="M644" i="9"/>
  <c r="J584" i="9"/>
  <c r="M584" i="9"/>
  <c r="K584" i="9"/>
  <c r="L584" i="9"/>
  <c r="J512" i="9"/>
  <c r="M512" i="9"/>
  <c r="L512" i="9"/>
  <c r="K512" i="9"/>
  <c r="J1339" i="9"/>
  <c r="K1339" i="9"/>
  <c r="L1339" i="9"/>
  <c r="M1339" i="9"/>
  <c r="J1279" i="9"/>
  <c r="K1279" i="9"/>
  <c r="L1279" i="9"/>
  <c r="M1279" i="9"/>
  <c r="J1219" i="9"/>
  <c r="K1219" i="9"/>
  <c r="L1219" i="9"/>
  <c r="M1219" i="9"/>
  <c r="J1159" i="9"/>
  <c r="K1159" i="9"/>
  <c r="L1159" i="9"/>
  <c r="M1159" i="9"/>
  <c r="J1099" i="9"/>
  <c r="K1099" i="9"/>
  <c r="L1099" i="9"/>
  <c r="M1099" i="9"/>
  <c r="J1039" i="9"/>
  <c r="K1039" i="9"/>
  <c r="L1039" i="9"/>
  <c r="M1039" i="9"/>
  <c r="J979" i="9"/>
  <c r="K979" i="9"/>
  <c r="L979" i="9"/>
  <c r="M979" i="9"/>
  <c r="J931" i="9"/>
  <c r="K931" i="9"/>
  <c r="L931" i="9"/>
  <c r="M931" i="9"/>
  <c r="J871" i="9"/>
  <c r="K871" i="9"/>
  <c r="L871" i="9"/>
  <c r="M871" i="9"/>
  <c r="J823" i="9"/>
  <c r="L823" i="9"/>
  <c r="M823" i="9"/>
  <c r="K823" i="9"/>
  <c r="M775" i="9"/>
  <c r="K775" i="9"/>
  <c r="L775" i="9"/>
  <c r="M715" i="9"/>
  <c r="K715" i="9"/>
  <c r="L715" i="9"/>
  <c r="J643" i="9"/>
  <c r="M643" i="9"/>
  <c r="K643" i="9"/>
  <c r="L643" i="9"/>
  <c r="K595" i="9"/>
  <c r="L595" i="9"/>
  <c r="M595" i="9"/>
  <c r="J535" i="9"/>
  <c r="K535" i="9"/>
  <c r="L535" i="9"/>
  <c r="M535" i="9"/>
  <c r="K1374" i="9"/>
  <c r="L1374" i="9"/>
  <c r="M1374" i="9"/>
  <c r="K1314" i="9"/>
  <c r="M1314" i="9"/>
  <c r="L1314" i="9"/>
  <c r="K1254" i="9"/>
  <c r="L1254" i="9"/>
  <c r="M1254" i="9"/>
  <c r="J1194" i="9"/>
  <c r="K1194" i="9"/>
  <c r="L1194" i="9"/>
  <c r="M1194" i="9"/>
  <c r="J1134" i="9"/>
  <c r="K1134" i="9"/>
  <c r="L1134" i="9"/>
  <c r="M1134" i="9"/>
  <c r="J1074" i="9"/>
  <c r="K1074" i="9"/>
  <c r="L1074" i="9"/>
  <c r="M1074" i="9"/>
  <c r="J1014" i="9"/>
  <c r="K1014" i="9"/>
  <c r="L1014" i="9"/>
  <c r="M1014" i="9"/>
  <c r="J954" i="9"/>
  <c r="K954" i="9"/>
  <c r="L954" i="9"/>
  <c r="M954" i="9"/>
  <c r="K894" i="9"/>
  <c r="L894" i="9"/>
  <c r="M894" i="9"/>
  <c r="J834" i="9"/>
  <c r="K834" i="9"/>
  <c r="L834" i="9"/>
  <c r="M834" i="9"/>
  <c r="J762" i="9"/>
  <c r="L762" i="9"/>
  <c r="M762" i="9"/>
  <c r="K762" i="9"/>
  <c r="N702" i="9"/>
  <c r="L702" i="9"/>
  <c r="M702" i="9"/>
  <c r="K702" i="9"/>
  <c r="J642" i="9"/>
  <c r="L642" i="9"/>
  <c r="M642" i="9"/>
  <c r="K642" i="9"/>
  <c r="L582" i="9"/>
  <c r="M582" i="9"/>
  <c r="K582" i="9"/>
  <c r="L510" i="9"/>
  <c r="M510" i="9"/>
  <c r="K510" i="9"/>
  <c r="J1393" i="9"/>
  <c r="M1393" i="9"/>
  <c r="K1393" i="9"/>
  <c r="L1393" i="9"/>
  <c r="J1372" i="9"/>
  <c r="K1372" i="9"/>
  <c r="L1372" i="9"/>
  <c r="M1372" i="9"/>
  <c r="J1360" i="9"/>
  <c r="K1360" i="9"/>
  <c r="L1360" i="9"/>
  <c r="M1360" i="9"/>
  <c r="J1348" i="9"/>
  <c r="K1348" i="9"/>
  <c r="L1348" i="9"/>
  <c r="M1348" i="9"/>
  <c r="J1336" i="9"/>
  <c r="K1336" i="9"/>
  <c r="L1336" i="9"/>
  <c r="M1336" i="9"/>
  <c r="J1324" i="9"/>
  <c r="K1324" i="9"/>
  <c r="L1324" i="9"/>
  <c r="M1324" i="9"/>
  <c r="J1312" i="9"/>
  <c r="K1312" i="9"/>
  <c r="L1312" i="9"/>
  <c r="M1312" i="9"/>
  <c r="J1300" i="9"/>
  <c r="M1300" i="9"/>
  <c r="L1300" i="9"/>
  <c r="K1300" i="9"/>
  <c r="J1288" i="9"/>
  <c r="M1288" i="9"/>
  <c r="K1288" i="9"/>
  <c r="L1288" i="9"/>
  <c r="J1276" i="9"/>
  <c r="K1276" i="9"/>
  <c r="L1276" i="9"/>
  <c r="M1276" i="9"/>
  <c r="J1264" i="9"/>
  <c r="K1264" i="9"/>
  <c r="M1264" i="9"/>
  <c r="L1264" i="9"/>
  <c r="K1252" i="9"/>
  <c r="L1252" i="9"/>
  <c r="M1252" i="9"/>
  <c r="M1240" i="9"/>
  <c r="K1240" i="9"/>
  <c r="L1240" i="9"/>
  <c r="L1228" i="9"/>
  <c r="M1228" i="9"/>
  <c r="K1228" i="9"/>
  <c r="M1216" i="9"/>
  <c r="K1216" i="9"/>
  <c r="L1216" i="9"/>
  <c r="L1204" i="9"/>
  <c r="K1204" i="9"/>
  <c r="M1204" i="9"/>
  <c r="M1192" i="9"/>
  <c r="K1192" i="9"/>
  <c r="L1192" i="9"/>
  <c r="K1180" i="9"/>
  <c r="L1180" i="9"/>
  <c r="M1180" i="9"/>
  <c r="K1168" i="9"/>
  <c r="M1168" i="9"/>
  <c r="L1168" i="9"/>
  <c r="K1156" i="9"/>
  <c r="L1156" i="9"/>
  <c r="M1156" i="9"/>
  <c r="M1144" i="9"/>
  <c r="K1144" i="9"/>
  <c r="L1144" i="9"/>
  <c r="L1132" i="9"/>
  <c r="M1132" i="9"/>
  <c r="K1132" i="9"/>
  <c r="M1120" i="9"/>
  <c r="K1120" i="9"/>
  <c r="L1120" i="9"/>
  <c r="K1108" i="9"/>
  <c r="L1108" i="9"/>
  <c r="M1108" i="9"/>
  <c r="K1096" i="9"/>
  <c r="M1096" i="9"/>
  <c r="L1096" i="9"/>
  <c r="M1084" i="9"/>
  <c r="L1084" i="9"/>
  <c r="K1084" i="9"/>
  <c r="M1072" i="9"/>
  <c r="K1072" i="9"/>
  <c r="L1072" i="9"/>
  <c r="L1060" i="9"/>
  <c r="M1060" i="9"/>
  <c r="K1060" i="9"/>
  <c r="M1048" i="9"/>
  <c r="K1048" i="9"/>
  <c r="L1048" i="9"/>
  <c r="K1036" i="9"/>
  <c r="L1036" i="9"/>
  <c r="M1036" i="9"/>
  <c r="M1024" i="9"/>
  <c r="K1024" i="9"/>
  <c r="L1024" i="9"/>
  <c r="L1012" i="9"/>
  <c r="M1012" i="9"/>
  <c r="K1012" i="9"/>
  <c r="K1000" i="9"/>
  <c r="M1000" i="9"/>
  <c r="L1000" i="9"/>
  <c r="N988" i="9"/>
  <c r="M988" i="9"/>
  <c r="L988" i="9"/>
  <c r="K988" i="9"/>
  <c r="M976" i="9"/>
  <c r="K976" i="9"/>
  <c r="L976" i="9"/>
  <c r="K964" i="9"/>
  <c r="L964" i="9"/>
  <c r="M964" i="9"/>
  <c r="M952" i="9"/>
  <c r="K952" i="9"/>
  <c r="L952" i="9"/>
  <c r="M940" i="9"/>
  <c r="L940" i="9"/>
  <c r="K940" i="9"/>
  <c r="M928" i="9"/>
  <c r="K928" i="9"/>
  <c r="L928" i="9"/>
  <c r="L916" i="9"/>
  <c r="M916" i="9"/>
  <c r="K916" i="9"/>
  <c r="K904" i="9"/>
  <c r="M904" i="9"/>
  <c r="L904" i="9"/>
  <c r="L892" i="9"/>
  <c r="K892" i="9"/>
  <c r="M892" i="9"/>
  <c r="K880" i="9"/>
  <c r="M880" i="9"/>
  <c r="L880" i="9"/>
  <c r="K868" i="9"/>
  <c r="M868" i="9"/>
  <c r="L868" i="9"/>
  <c r="K856" i="9"/>
  <c r="M856" i="9"/>
  <c r="L856" i="9"/>
  <c r="K844" i="9"/>
  <c r="M844" i="9"/>
  <c r="L844" i="9"/>
  <c r="K832" i="9"/>
  <c r="M832" i="9"/>
  <c r="L832" i="9"/>
  <c r="K820" i="9"/>
  <c r="M820" i="9"/>
  <c r="L820" i="9"/>
  <c r="K808" i="9"/>
  <c r="M808" i="9"/>
  <c r="L808" i="9"/>
  <c r="K796" i="9"/>
  <c r="M796" i="9"/>
  <c r="L796" i="9"/>
  <c r="K784" i="9"/>
  <c r="L784" i="9"/>
  <c r="M784" i="9"/>
  <c r="L772" i="9"/>
  <c r="K772" i="9"/>
  <c r="M772" i="9"/>
  <c r="K760" i="9"/>
  <c r="M760" i="9"/>
  <c r="L760" i="9"/>
  <c r="K748" i="9"/>
  <c r="L748" i="9"/>
  <c r="M748" i="9"/>
  <c r="K736" i="9"/>
  <c r="L736" i="9"/>
  <c r="M736" i="9"/>
  <c r="K724" i="9"/>
  <c r="L724" i="9"/>
  <c r="M724" i="9"/>
  <c r="K712" i="9"/>
  <c r="L712" i="9"/>
  <c r="M712" i="9"/>
  <c r="K700" i="9"/>
  <c r="L700" i="9"/>
  <c r="M700" i="9"/>
  <c r="K688" i="9"/>
  <c r="L688" i="9"/>
  <c r="M688" i="9"/>
  <c r="M676" i="9"/>
  <c r="K676" i="9"/>
  <c r="L676" i="9"/>
  <c r="K664" i="9"/>
  <c r="L664" i="9"/>
  <c r="M664" i="9"/>
  <c r="M652" i="9"/>
  <c r="K652" i="9"/>
  <c r="L652" i="9"/>
  <c r="K640" i="9"/>
  <c r="L640" i="9"/>
  <c r="M640" i="9"/>
  <c r="M628" i="9"/>
  <c r="K628" i="9"/>
  <c r="L628" i="9"/>
  <c r="K616" i="9"/>
  <c r="L616" i="9"/>
  <c r="M616" i="9"/>
  <c r="K604" i="9"/>
  <c r="L604" i="9"/>
  <c r="M604" i="9"/>
  <c r="K592" i="9"/>
  <c r="L592" i="9"/>
  <c r="M592" i="9"/>
  <c r="K580" i="9"/>
  <c r="L580" i="9"/>
  <c r="M580" i="9"/>
  <c r="K568" i="9"/>
  <c r="L568" i="9"/>
  <c r="M568" i="9"/>
  <c r="K556" i="9"/>
  <c r="L556" i="9"/>
  <c r="M556" i="9"/>
  <c r="K544" i="9"/>
  <c r="L544" i="9"/>
  <c r="M544" i="9"/>
  <c r="K532" i="9"/>
  <c r="L532" i="9"/>
  <c r="M532" i="9"/>
  <c r="K520" i="9"/>
  <c r="L520" i="9"/>
  <c r="M520" i="9"/>
  <c r="K508" i="9"/>
  <c r="L508" i="9"/>
  <c r="M508" i="9"/>
  <c r="L496" i="9"/>
  <c r="K496" i="9"/>
  <c r="M496" i="9"/>
  <c r="K1382" i="9"/>
  <c r="L1382" i="9"/>
  <c r="M1382" i="9"/>
  <c r="M1389" i="9"/>
  <c r="K1389" i="9"/>
  <c r="L1389" i="9"/>
  <c r="K1320" i="9"/>
  <c r="L1320" i="9"/>
  <c r="M1320" i="9"/>
  <c r="M1248" i="9"/>
  <c r="K1248" i="9"/>
  <c r="L1248" i="9"/>
  <c r="M1188" i="9"/>
  <c r="L1188" i="9"/>
  <c r="K1188" i="9"/>
  <c r="K1116" i="9"/>
  <c r="L1116" i="9"/>
  <c r="M1116" i="9"/>
  <c r="K1044" i="9"/>
  <c r="L1044" i="9"/>
  <c r="M1044" i="9"/>
  <c r="M960" i="9"/>
  <c r="K960" i="9"/>
  <c r="L960" i="9"/>
  <c r="K900" i="9"/>
  <c r="L900" i="9"/>
  <c r="M900" i="9"/>
  <c r="K828" i="9"/>
  <c r="L828" i="9"/>
  <c r="M828" i="9"/>
  <c r="L756" i="9"/>
  <c r="M756" i="9"/>
  <c r="K756" i="9"/>
  <c r="L684" i="9"/>
  <c r="K684" i="9"/>
  <c r="M684" i="9"/>
  <c r="K600" i="9"/>
  <c r="L600" i="9"/>
  <c r="M600" i="9"/>
  <c r="M516" i="9"/>
  <c r="L516" i="9"/>
  <c r="K516" i="9"/>
  <c r="K1331" i="9"/>
  <c r="L1331" i="9"/>
  <c r="M1331" i="9"/>
  <c r="K1259" i="9"/>
  <c r="L1259" i="9"/>
  <c r="M1259" i="9"/>
  <c r="J1187" i="9"/>
  <c r="K1187" i="9"/>
  <c r="M1187" i="9"/>
  <c r="L1187" i="9"/>
  <c r="J1091" i="9"/>
  <c r="K1091" i="9"/>
  <c r="L1091" i="9"/>
  <c r="M1091" i="9"/>
  <c r="J1019" i="9"/>
  <c r="K1019" i="9"/>
  <c r="L1019" i="9"/>
  <c r="M1019" i="9"/>
  <c r="K935" i="9"/>
  <c r="L935" i="9"/>
  <c r="M935" i="9"/>
  <c r="L851" i="9"/>
  <c r="K851" i="9"/>
  <c r="M851" i="9"/>
  <c r="K779" i="9"/>
  <c r="L779" i="9"/>
  <c r="M779" i="9"/>
  <c r="K659" i="9"/>
  <c r="L659" i="9"/>
  <c r="M659" i="9"/>
  <c r="K1340" i="9"/>
  <c r="L1340" i="9"/>
  <c r="M1340" i="9"/>
  <c r="M1280" i="9"/>
  <c r="K1280" i="9"/>
  <c r="L1280" i="9"/>
  <c r="J1208" i="9"/>
  <c r="M1208" i="9"/>
  <c r="K1208" i="9"/>
  <c r="L1208" i="9"/>
  <c r="K1136" i="9"/>
  <c r="L1136" i="9"/>
  <c r="M1136" i="9"/>
  <c r="J1064" i="9"/>
  <c r="K1064" i="9"/>
  <c r="M1064" i="9"/>
  <c r="L1064" i="9"/>
  <c r="M992" i="9"/>
  <c r="K992" i="9"/>
  <c r="L992" i="9"/>
  <c r="J920" i="9"/>
  <c r="M920" i="9"/>
  <c r="K920" i="9"/>
  <c r="L920" i="9"/>
  <c r="J860" i="9"/>
  <c r="K860" i="9"/>
  <c r="L860" i="9"/>
  <c r="M860" i="9"/>
  <c r="J776" i="9"/>
  <c r="M776" i="9"/>
  <c r="L776" i="9"/>
  <c r="K776" i="9"/>
  <c r="J704" i="9"/>
  <c r="K704" i="9"/>
  <c r="L704" i="9"/>
  <c r="M704" i="9"/>
  <c r="J632" i="9"/>
  <c r="K632" i="9"/>
  <c r="M632" i="9"/>
  <c r="L632" i="9"/>
  <c r="J560" i="9"/>
  <c r="M560" i="9"/>
  <c r="K560" i="9"/>
  <c r="L560" i="9"/>
  <c r="J500" i="9"/>
  <c r="L500" i="9"/>
  <c r="M500" i="9"/>
  <c r="K500" i="9"/>
  <c r="J1375" i="9"/>
  <c r="K1375" i="9"/>
  <c r="L1375" i="9"/>
  <c r="M1375" i="9"/>
  <c r="J1315" i="9"/>
  <c r="L1315" i="9"/>
  <c r="M1315" i="9"/>
  <c r="K1315" i="9"/>
  <c r="J1231" i="9"/>
  <c r="K1231" i="9"/>
  <c r="L1231" i="9"/>
  <c r="M1231" i="9"/>
  <c r="J1171" i="9"/>
  <c r="K1171" i="9"/>
  <c r="L1171" i="9"/>
  <c r="M1171" i="9"/>
  <c r="J1111" i="9"/>
  <c r="K1111" i="9"/>
  <c r="L1111" i="9"/>
  <c r="M1111" i="9"/>
  <c r="J1051" i="9"/>
  <c r="K1051" i="9"/>
  <c r="L1051" i="9"/>
  <c r="M1051" i="9"/>
  <c r="J991" i="9"/>
  <c r="K991" i="9"/>
  <c r="L991" i="9"/>
  <c r="M991" i="9"/>
  <c r="N919" i="9"/>
  <c r="K919" i="9"/>
  <c r="L919" i="9"/>
  <c r="M919" i="9"/>
  <c r="J859" i="9"/>
  <c r="M859" i="9"/>
  <c r="K859" i="9"/>
  <c r="L859" i="9"/>
  <c r="J799" i="9"/>
  <c r="K799" i="9"/>
  <c r="L799" i="9"/>
  <c r="M799" i="9"/>
  <c r="J739" i="9"/>
  <c r="M739" i="9"/>
  <c r="L739" i="9"/>
  <c r="K739" i="9"/>
  <c r="M679" i="9"/>
  <c r="K679" i="9"/>
  <c r="L679" i="9"/>
  <c r="J619" i="9"/>
  <c r="K619" i="9"/>
  <c r="L619" i="9"/>
  <c r="M619" i="9"/>
  <c r="K559" i="9"/>
  <c r="L559" i="9"/>
  <c r="M559" i="9"/>
  <c r="J499" i="9"/>
  <c r="K499" i="9"/>
  <c r="L499" i="9"/>
  <c r="M499" i="9"/>
  <c r="K1398" i="9"/>
  <c r="L1398" i="9"/>
  <c r="M1398" i="9"/>
  <c r="K1326" i="9"/>
  <c r="L1326" i="9"/>
  <c r="M1326" i="9"/>
  <c r="K1242" i="9"/>
  <c r="L1242" i="9"/>
  <c r="M1242" i="9"/>
  <c r="J1170" i="9"/>
  <c r="K1170" i="9"/>
  <c r="L1170" i="9"/>
  <c r="M1170" i="9"/>
  <c r="J1110" i="9"/>
  <c r="K1110" i="9"/>
  <c r="L1110" i="9"/>
  <c r="M1110" i="9"/>
  <c r="J1050" i="9"/>
  <c r="K1050" i="9"/>
  <c r="L1050" i="9"/>
  <c r="M1050" i="9"/>
  <c r="K990" i="9"/>
  <c r="L990" i="9"/>
  <c r="M990" i="9"/>
  <c r="J918" i="9"/>
  <c r="K918" i="9"/>
  <c r="L918" i="9"/>
  <c r="M918" i="9"/>
  <c r="J846" i="9"/>
  <c r="K846" i="9"/>
  <c r="L846" i="9"/>
  <c r="M846" i="9"/>
  <c r="J774" i="9"/>
  <c r="L774" i="9"/>
  <c r="M774" i="9"/>
  <c r="K774" i="9"/>
  <c r="J714" i="9"/>
  <c r="L714" i="9"/>
  <c r="M714" i="9"/>
  <c r="K714" i="9"/>
  <c r="L654" i="9"/>
  <c r="M654" i="9"/>
  <c r="K654" i="9"/>
  <c r="L594" i="9"/>
  <c r="M594" i="9"/>
  <c r="K594" i="9"/>
  <c r="J534" i="9"/>
  <c r="L534" i="9"/>
  <c r="M534" i="9"/>
  <c r="K534" i="9"/>
  <c r="K1392" i="9"/>
  <c r="L1392" i="9"/>
  <c r="M1392" i="9"/>
  <c r="L1371" i="9"/>
  <c r="K1371" i="9"/>
  <c r="M1371" i="9"/>
  <c r="K1359" i="9"/>
  <c r="L1359" i="9"/>
  <c r="M1359" i="9"/>
  <c r="K1347" i="9"/>
  <c r="M1347" i="9"/>
  <c r="L1347" i="9"/>
  <c r="K1335" i="9"/>
  <c r="L1335" i="9"/>
  <c r="M1335" i="9"/>
  <c r="M1323" i="9"/>
  <c r="K1323" i="9"/>
  <c r="L1323" i="9"/>
  <c r="K1311" i="9"/>
  <c r="L1311" i="9"/>
  <c r="M1311" i="9"/>
  <c r="K1299" i="9"/>
  <c r="L1299" i="9"/>
  <c r="M1299" i="9"/>
  <c r="K1287" i="9"/>
  <c r="L1287" i="9"/>
  <c r="M1287" i="9"/>
  <c r="K1275" i="9"/>
  <c r="L1275" i="9"/>
  <c r="M1275" i="9"/>
  <c r="K1263" i="9"/>
  <c r="L1263" i="9"/>
  <c r="M1263" i="9"/>
  <c r="K1251" i="9"/>
  <c r="L1251" i="9"/>
  <c r="M1251" i="9"/>
  <c r="K1239" i="9"/>
  <c r="L1239" i="9"/>
  <c r="M1239" i="9"/>
  <c r="K1227" i="9"/>
  <c r="M1227" i="9"/>
  <c r="L1227" i="9"/>
  <c r="K1215" i="9"/>
  <c r="L1215" i="9"/>
  <c r="M1215" i="9"/>
  <c r="K1203" i="9"/>
  <c r="L1203" i="9"/>
  <c r="M1203" i="9"/>
  <c r="K1191" i="9"/>
  <c r="L1191" i="9"/>
  <c r="M1191" i="9"/>
  <c r="K1179" i="9"/>
  <c r="L1179" i="9"/>
  <c r="M1179" i="9"/>
  <c r="K1167" i="9"/>
  <c r="L1167" i="9"/>
  <c r="M1167" i="9"/>
  <c r="K1155" i="9"/>
  <c r="L1155" i="9"/>
  <c r="M1155" i="9"/>
  <c r="K1143" i="9"/>
  <c r="L1143" i="9"/>
  <c r="M1143" i="9"/>
  <c r="K1131" i="9"/>
  <c r="M1131" i="9"/>
  <c r="L1131" i="9"/>
  <c r="K1119" i="9"/>
  <c r="L1119" i="9"/>
  <c r="M1119" i="9"/>
  <c r="K1107" i="9"/>
  <c r="L1107" i="9"/>
  <c r="M1107" i="9"/>
  <c r="K1095" i="9"/>
  <c r="L1095" i="9"/>
  <c r="M1095" i="9"/>
  <c r="K1083" i="9"/>
  <c r="L1083" i="9"/>
  <c r="M1083" i="9"/>
  <c r="K1071" i="9"/>
  <c r="L1071" i="9"/>
  <c r="M1071" i="9"/>
  <c r="K1059" i="9"/>
  <c r="L1059" i="9"/>
  <c r="M1059" i="9"/>
  <c r="K1047" i="9"/>
  <c r="L1047" i="9"/>
  <c r="M1047" i="9"/>
  <c r="K1035" i="9"/>
  <c r="L1035" i="9"/>
  <c r="M1035" i="9"/>
  <c r="K1023" i="9"/>
  <c r="L1023" i="9"/>
  <c r="M1023" i="9"/>
  <c r="K1011" i="9"/>
  <c r="L1011" i="9"/>
  <c r="M1011" i="9"/>
  <c r="K999" i="9"/>
  <c r="L999" i="9"/>
  <c r="M999" i="9"/>
  <c r="K987" i="9"/>
  <c r="L987" i="9"/>
  <c r="M987" i="9"/>
  <c r="K975" i="9"/>
  <c r="L975" i="9"/>
  <c r="M975" i="9"/>
  <c r="K963" i="9"/>
  <c r="L963" i="9"/>
  <c r="M963" i="9"/>
  <c r="K951" i="9"/>
  <c r="L951" i="9"/>
  <c r="M951" i="9"/>
  <c r="K939" i="9"/>
  <c r="L939" i="9"/>
  <c r="M939" i="9"/>
  <c r="K927" i="9"/>
  <c r="L927" i="9"/>
  <c r="M927" i="9"/>
  <c r="K915" i="9"/>
  <c r="L915" i="9"/>
  <c r="M915" i="9"/>
  <c r="K903" i="9"/>
  <c r="L903" i="9"/>
  <c r="M903" i="9"/>
  <c r="K891" i="9"/>
  <c r="L891" i="9"/>
  <c r="M891" i="9"/>
  <c r="K879" i="9"/>
  <c r="L879" i="9"/>
  <c r="M879" i="9"/>
  <c r="K867" i="9"/>
  <c r="L867" i="9"/>
  <c r="M867" i="9"/>
  <c r="K855" i="9"/>
  <c r="L855" i="9"/>
  <c r="M855" i="9"/>
  <c r="K843" i="9"/>
  <c r="L843" i="9"/>
  <c r="M843" i="9"/>
  <c r="K831" i="9"/>
  <c r="L831" i="9"/>
  <c r="M831" i="9"/>
  <c r="K819" i="9"/>
  <c r="L819" i="9"/>
  <c r="M819" i="9"/>
  <c r="K807" i="9"/>
  <c r="L807" i="9"/>
  <c r="M807" i="9"/>
  <c r="K795" i="9"/>
  <c r="L795" i="9"/>
  <c r="M795" i="9"/>
  <c r="K783" i="9"/>
  <c r="L783" i="9"/>
  <c r="M783" i="9"/>
  <c r="K771" i="9"/>
  <c r="L771" i="9"/>
  <c r="M771" i="9"/>
  <c r="K759" i="9"/>
  <c r="L759" i="9"/>
  <c r="M759" i="9"/>
  <c r="K747" i="9"/>
  <c r="L747" i="9"/>
  <c r="M747" i="9"/>
  <c r="K735" i="9"/>
  <c r="L735" i="9"/>
  <c r="M735" i="9"/>
  <c r="K723" i="9"/>
  <c r="M723" i="9"/>
  <c r="L723" i="9"/>
  <c r="K711" i="9"/>
  <c r="L711" i="9"/>
  <c r="M711" i="9"/>
  <c r="K699" i="9"/>
  <c r="L699" i="9"/>
  <c r="M699" i="9"/>
  <c r="K687" i="9"/>
  <c r="L687" i="9"/>
  <c r="M687" i="9"/>
  <c r="K675" i="9"/>
  <c r="L675" i="9"/>
  <c r="M675" i="9"/>
  <c r="K663" i="9"/>
  <c r="L663" i="9"/>
  <c r="M663" i="9"/>
  <c r="K651" i="9"/>
  <c r="L651" i="9"/>
  <c r="M651" i="9"/>
  <c r="K639" i="9"/>
  <c r="L639" i="9"/>
  <c r="M639" i="9"/>
  <c r="K627" i="9"/>
  <c r="M627" i="9"/>
  <c r="L627" i="9"/>
  <c r="K615" i="9"/>
  <c r="L615" i="9"/>
  <c r="M615" i="9"/>
  <c r="L603" i="9"/>
  <c r="M603" i="9"/>
  <c r="K603" i="9"/>
  <c r="K591" i="9"/>
  <c r="L591" i="9"/>
  <c r="M591" i="9"/>
  <c r="K579" i="9"/>
  <c r="L579" i="9"/>
  <c r="M579" i="9"/>
  <c r="K567" i="9"/>
  <c r="L567" i="9"/>
  <c r="M567" i="9"/>
  <c r="K555" i="9"/>
  <c r="L555" i="9"/>
  <c r="M555" i="9"/>
  <c r="K543" i="9"/>
  <c r="L543" i="9"/>
  <c r="M543" i="9"/>
  <c r="M531" i="9"/>
  <c r="K531" i="9"/>
  <c r="L531" i="9"/>
  <c r="K519" i="9"/>
  <c r="L519" i="9"/>
  <c r="M519" i="9"/>
  <c r="K507" i="9"/>
  <c r="L507" i="9"/>
  <c r="M507" i="9"/>
  <c r="K495" i="9"/>
  <c r="M495" i="9"/>
  <c r="L495" i="9"/>
  <c r="K1383" i="9"/>
  <c r="L1383" i="9"/>
  <c r="M1383" i="9"/>
  <c r="K1356" i="9"/>
  <c r="L1356" i="9"/>
  <c r="M1356" i="9"/>
  <c r="M1284" i="9"/>
  <c r="K1284" i="9"/>
  <c r="L1284" i="9"/>
  <c r="K1212" i="9"/>
  <c r="L1212" i="9"/>
  <c r="M1212" i="9"/>
  <c r="K1128" i="9"/>
  <c r="M1128" i="9"/>
  <c r="L1128" i="9"/>
  <c r="M1056" i="9"/>
  <c r="K1056" i="9"/>
  <c r="L1056" i="9"/>
  <c r="M984" i="9"/>
  <c r="K984" i="9"/>
  <c r="L984" i="9"/>
  <c r="M912" i="9"/>
  <c r="K912" i="9"/>
  <c r="L912" i="9"/>
  <c r="K840" i="9"/>
  <c r="L840" i="9"/>
  <c r="M840" i="9"/>
  <c r="L768" i="9"/>
  <c r="M768" i="9"/>
  <c r="K768" i="9"/>
  <c r="L696" i="9"/>
  <c r="M696" i="9"/>
  <c r="K696" i="9"/>
  <c r="M588" i="9"/>
  <c r="K588" i="9"/>
  <c r="L588" i="9"/>
  <c r="K504" i="9"/>
  <c r="L504" i="9"/>
  <c r="M504" i="9"/>
  <c r="K1367" i="9"/>
  <c r="L1367" i="9"/>
  <c r="M1367" i="9"/>
  <c r="K1295" i="9"/>
  <c r="L1295" i="9"/>
  <c r="M1295" i="9"/>
  <c r="K1211" i="9"/>
  <c r="M1211" i="9"/>
  <c r="L1211" i="9"/>
  <c r="K1139" i="9"/>
  <c r="L1139" i="9"/>
  <c r="M1139" i="9"/>
  <c r="K1055" i="9"/>
  <c r="L1055" i="9"/>
  <c r="M1055" i="9"/>
  <c r="K983" i="9"/>
  <c r="L983" i="9"/>
  <c r="M983" i="9"/>
  <c r="J911" i="9"/>
  <c r="K911" i="9"/>
  <c r="L911" i="9"/>
  <c r="M911" i="9"/>
  <c r="L839" i="9"/>
  <c r="K839" i="9"/>
  <c r="M839" i="9"/>
  <c r="J767" i="9"/>
  <c r="K767" i="9"/>
  <c r="L767" i="9"/>
  <c r="M767" i="9"/>
  <c r="J635" i="9"/>
  <c r="K635" i="9"/>
  <c r="L635" i="9"/>
  <c r="M635" i="9"/>
  <c r="J1352" i="9"/>
  <c r="K1352" i="9"/>
  <c r="L1352" i="9"/>
  <c r="M1352" i="9"/>
  <c r="K1292" i="9"/>
  <c r="L1292" i="9"/>
  <c r="M1292" i="9"/>
  <c r="J1232" i="9"/>
  <c r="K1232" i="9"/>
  <c r="M1232" i="9"/>
  <c r="L1232" i="9"/>
  <c r="J1184" i="9"/>
  <c r="M1184" i="9"/>
  <c r="K1184" i="9"/>
  <c r="L1184" i="9"/>
  <c r="K1124" i="9"/>
  <c r="L1124" i="9"/>
  <c r="M1124" i="9"/>
  <c r="K1076" i="9"/>
  <c r="L1076" i="9"/>
  <c r="M1076" i="9"/>
  <c r="J1028" i="9"/>
  <c r="K1028" i="9"/>
  <c r="L1028" i="9"/>
  <c r="M1028" i="9"/>
  <c r="J956" i="9"/>
  <c r="K956" i="9"/>
  <c r="L956" i="9"/>
  <c r="M956" i="9"/>
  <c r="N896" i="9"/>
  <c r="M896" i="9"/>
  <c r="K896" i="9"/>
  <c r="L896" i="9"/>
  <c r="K836" i="9"/>
  <c r="L836" i="9"/>
  <c r="M836" i="9"/>
  <c r="K788" i="9"/>
  <c r="L788" i="9"/>
  <c r="M788" i="9"/>
  <c r="J728" i="9"/>
  <c r="K728" i="9"/>
  <c r="L728" i="9"/>
  <c r="M728" i="9"/>
  <c r="J680" i="9"/>
  <c r="K680" i="9"/>
  <c r="L680" i="9"/>
  <c r="M680" i="9"/>
  <c r="J620" i="9"/>
  <c r="K620" i="9"/>
  <c r="L620" i="9"/>
  <c r="M620" i="9"/>
  <c r="J572" i="9"/>
  <c r="K572" i="9"/>
  <c r="L572" i="9"/>
  <c r="M572" i="9"/>
  <c r="J524" i="9"/>
  <c r="K524" i="9"/>
  <c r="L524" i="9"/>
  <c r="M524" i="9"/>
  <c r="J1363" i="9"/>
  <c r="L1363" i="9"/>
  <c r="K1363" i="9"/>
  <c r="M1363" i="9"/>
  <c r="J1303" i="9"/>
  <c r="K1303" i="9"/>
  <c r="L1303" i="9"/>
  <c r="M1303" i="9"/>
  <c r="J1255" i="9"/>
  <c r="K1255" i="9"/>
  <c r="L1255" i="9"/>
  <c r="M1255" i="9"/>
  <c r="J1207" i="9"/>
  <c r="K1207" i="9"/>
  <c r="L1207" i="9"/>
  <c r="M1207" i="9"/>
  <c r="J1147" i="9"/>
  <c r="K1147" i="9"/>
  <c r="L1147" i="9"/>
  <c r="M1147" i="9"/>
  <c r="J1087" i="9"/>
  <c r="K1087" i="9"/>
  <c r="L1087" i="9"/>
  <c r="M1087" i="9"/>
  <c r="J1027" i="9"/>
  <c r="K1027" i="9"/>
  <c r="L1027" i="9"/>
  <c r="M1027" i="9"/>
  <c r="J967" i="9"/>
  <c r="K967" i="9"/>
  <c r="L967" i="9"/>
  <c r="M967" i="9"/>
  <c r="J883" i="9"/>
  <c r="K883" i="9"/>
  <c r="L883" i="9"/>
  <c r="M883" i="9"/>
  <c r="J811" i="9"/>
  <c r="K811" i="9"/>
  <c r="L811" i="9"/>
  <c r="M811" i="9"/>
  <c r="J751" i="9"/>
  <c r="M751" i="9"/>
  <c r="K751" i="9"/>
  <c r="L751" i="9"/>
  <c r="J691" i="9"/>
  <c r="M691" i="9"/>
  <c r="K691" i="9"/>
  <c r="L691" i="9"/>
  <c r="M631" i="9"/>
  <c r="K631" i="9"/>
  <c r="L631" i="9"/>
  <c r="J571" i="9"/>
  <c r="K571" i="9"/>
  <c r="L571" i="9"/>
  <c r="M571" i="9"/>
  <c r="J511" i="9"/>
  <c r="K511" i="9"/>
  <c r="L511" i="9"/>
  <c r="M511" i="9"/>
  <c r="K1350" i="9"/>
  <c r="L1350" i="9"/>
  <c r="M1350" i="9"/>
  <c r="K1290" i="9"/>
  <c r="L1290" i="9"/>
  <c r="M1290" i="9"/>
  <c r="K1230" i="9"/>
  <c r="L1230" i="9"/>
  <c r="M1230" i="9"/>
  <c r="J1182" i="9"/>
  <c r="K1182" i="9"/>
  <c r="L1182" i="9"/>
  <c r="M1182" i="9"/>
  <c r="J1122" i="9"/>
  <c r="K1122" i="9"/>
  <c r="L1122" i="9"/>
  <c r="M1122" i="9"/>
  <c r="J1062" i="9"/>
  <c r="K1062" i="9"/>
  <c r="L1062" i="9"/>
  <c r="M1062" i="9"/>
  <c r="J1002" i="9"/>
  <c r="K1002" i="9"/>
  <c r="L1002" i="9"/>
  <c r="M1002" i="9"/>
  <c r="J942" i="9"/>
  <c r="K942" i="9"/>
  <c r="L942" i="9"/>
  <c r="M942" i="9"/>
  <c r="J906" i="9"/>
  <c r="K906" i="9"/>
  <c r="L906" i="9"/>
  <c r="M906" i="9"/>
  <c r="K858" i="9"/>
  <c r="L858" i="9"/>
  <c r="M858" i="9"/>
  <c r="J798" i="9"/>
  <c r="K798" i="9"/>
  <c r="L798" i="9"/>
  <c r="M798" i="9"/>
  <c r="J738" i="9"/>
  <c r="L738" i="9"/>
  <c r="M738" i="9"/>
  <c r="K738" i="9"/>
  <c r="L666" i="9"/>
  <c r="M666" i="9"/>
  <c r="K666" i="9"/>
  <c r="J606" i="9"/>
  <c r="L606" i="9"/>
  <c r="M606" i="9"/>
  <c r="K606" i="9"/>
  <c r="L546" i="9"/>
  <c r="M546" i="9"/>
  <c r="K546" i="9"/>
  <c r="K1380" i="9"/>
  <c r="L1380" i="9"/>
  <c r="M1380" i="9"/>
  <c r="M1391" i="9"/>
  <c r="L1391" i="9"/>
  <c r="K1391" i="9"/>
  <c r="K1370" i="9"/>
  <c r="L1370" i="9"/>
  <c r="M1370" i="9"/>
  <c r="K1358" i="9"/>
  <c r="M1358" i="9"/>
  <c r="L1358" i="9"/>
  <c r="K1346" i="9"/>
  <c r="L1346" i="9"/>
  <c r="M1346" i="9"/>
  <c r="K1334" i="9"/>
  <c r="L1334" i="9"/>
  <c r="M1334" i="9"/>
  <c r="K1322" i="9"/>
  <c r="L1322" i="9"/>
  <c r="M1322" i="9"/>
  <c r="K1310" i="9"/>
  <c r="M1310" i="9"/>
  <c r="L1310" i="9"/>
  <c r="K1298" i="9"/>
  <c r="L1298" i="9"/>
  <c r="M1298" i="9"/>
  <c r="K1286" i="9"/>
  <c r="L1286" i="9"/>
  <c r="M1286" i="9"/>
  <c r="K1274" i="9"/>
  <c r="L1274" i="9"/>
  <c r="M1274" i="9"/>
  <c r="K1262" i="9"/>
  <c r="L1262" i="9"/>
  <c r="M1262" i="9"/>
  <c r="K1250" i="9"/>
  <c r="L1250" i="9"/>
  <c r="M1250" i="9"/>
  <c r="K1238" i="9"/>
  <c r="L1238" i="9"/>
  <c r="M1238" i="9"/>
  <c r="K1226" i="9"/>
  <c r="L1226" i="9"/>
  <c r="M1226" i="9"/>
  <c r="K1214" i="9"/>
  <c r="L1214" i="9"/>
  <c r="M1214" i="9"/>
  <c r="K1202" i="9"/>
  <c r="L1202" i="9"/>
  <c r="M1202" i="9"/>
  <c r="K1190" i="9"/>
  <c r="L1190" i="9"/>
  <c r="M1190" i="9"/>
  <c r="K1178" i="9"/>
  <c r="L1178" i="9"/>
  <c r="M1178" i="9"/>
  <c r="K1166" i="9"/>
  <c r="L1166" i="9"/>
  <c r="M1166" i="9"/>
  <c r="K1154" i="9"/>
  <c r="L1154" i="9"/>
  <c r="M1154" i="9"/>
  <c r="K1142" i="9"/>
  <c r="L1142" i="9"/>
  <c r="M1142" i="9"/>
  <c r="K1130" i="9"/>
  <c r="L1130" i="9"/>
  <c r="M1130" i="9"/>
  <c r="K1118" i="9"/>
  <c r="L1118" i="9"/>
  <c r="M1118" i="9"/>
  <c r="K1106" i="9"/>
  <c r="L1106" i="9"/>
  <c r="M1106" i="9"/>
  <c r="K1094" i="9"/>
  <c r="L1094" i="9"/>
  <c r="M1094" i="9"/>
  <c r="K1082" i="9"/>
  <c r="L1082" i="9"/>
  <c r="M1082" i="9"/>
  <c r="K1070" i="9"/>
  <c r="L1070" i="9"/>
  <c r="M1070" i="9"/>
  <c r="K1058" i="9"/>
  <c r="L1058" i="9"/>
  <c r="M1058" i="9"/>
  <c r="K1046" i="9"/>
  <c r="L1046" i="9"/>
  <c r="M1046" i="9"/>
  <c r="K1034" i="9"/>
  <c r="L1034" i="9"/>
  <c r="M1034" i="9"/>
  <c r="K1022" i="9"/>
  <c r="L1022" i="9"/>
  <c r="M1022" i="9"/>
  <c r="K1010" i="9"/>
  <c r="L1010" i="9"/>
  <c r="M1010" i="9"/>
  <c r="K998" i="9"/>
  <c r="L998" i="9"/>
  <c r="M998" i="9"/>
  <c r="K986" i="9"/>
  <c r="L986" i="9"/>
  <c r="M986" i="9"/>
  <c r="K974" i="9"/>
  <c r="L974" i="9"/>
  <c r="M974" i="9"/>
  <c r="K962" i="9"/>
  <c r="L962" i="9"/>
  <c r="M962" i="9"/>
  <c r="N950" i="9"/>
  <c r="K950" i="9"/>
  <c r="L950" i="9"/>
  <c r="M950" i="9"/>
  <c r="K938" i="9"/>
  <c r="L938" i="9"/>
  <c r="M938" i="9"/>
  <c r="K926" i="9"/>
  <c r="L926" i="9"/>
  <c r="M926" i="9"/>
  <c r="N914" i="9"/>
  <c r="K914" i="9"/>
  <c r="L914" i="9"/>
  <c r="M914" i="9"/>
  <c r="K902" i="9"/>
  <c r="L902" i="9"/>
  <c r="M902" i="9"/>
  <c r="K890" i="9"/>
  <c r="L890" i="9"/>
  <c r="M890" i="9"/>
  <c r="N878" i="9"/>
  <c r="K878" i="9"/>
  <c r="M878" i="9"/>
  <c r="L878" i="9"/>
  <c r="K866" i="9"/>
  <c r="M866" i="9"/>
  <c r="L866" i="9"/>
  <c r="K854" i="9"/>
  <c r="M854" i="9"/>
  <c r="L854" i="9"/>
  <c r="K842" i="9"/>
  <c r="M842" i="9"/>
  <c r="L842" i="9"/>
  <c r="K830" i="9"/>
  <c r="M830" i="9"/>
  <c r="L830" i="9"/>
  <c r="K818" i="9"/>
  <c r="M818" i="9"/>
  <c r="L818" i="9"/>
  <c r="K806" i="9"/>
  <c r="M806" i="9"/>
  <c r="L806" i="9"/>
  <c r="L794" i="9"/>
  <c r="M794" i="9"/>
  <c r="K794" i="9"/>
  <c r="L782" i="9"/>
  <c r="M782" i="9"/>
  <c r="K782" i="9"/>
  <c r="L770" i="9"/>
  <c r="M770" i="9"/>
  <c r="K770" i="9"/>
  <c r="L758" i="9"/>
  <c r="M758" i="9"/>
  <c r="K758" i="9"/>
  <c r="L746" i="9"/>
  <c r="M746" i="9"/>
  <c r="K746" i="9"/>
  <c r="L734" i="9"/>
  <c r="M734" i="9"/>
  <c r="K734" i="9"/>
  <c r="L722" i="9"/>
  <c r="M722" i="9"/>
  <c r="K722" i="9"/>
  <c r="L710" i="9"/>
  <c r="M710" i="9"/>
  <c r="K710" i="9"/>
  <c r="L698" i="9"/>
  <c r="M698" i="9"/>
  <c r="K698" i="9"/>
  <c r="L686" i="9"/>
  <c r="M686" i="9"/>
  <c r="K686" i="9"/>
  <c r="L674" i="9"/>
  <c r="M674" i="9"/>
  <c r="K674" i="9"/>
  <c r="L662" i="9"/>
  <c r="M662" i="9"/>
  <c r="K662" i="9"/>
  <c r="L650" i="9"/>
  <c r="M650" i="9"/>
  <c r="K650" i="9"/>
  <c r="L638" i="9"/>
  <c r="M638" i="9"/>
  <c r="K638" i="9"/>
  <c r="L626" i="9"/>
  <c r="M626" i="9"/>
  <c r="K626" i="9"/>
  <c r="L614" i="9"/>
  <c r="M614" i="9"/>
  <c r="K614" i="9"/>
  <c r="L602" i="9"/>
  <c r="M602" i="9"/>
  <c r="K602" i="9"/>
  <c r="L590" i="9"/>
  <c r="M590" i="9"/>
  <c r="K590" i="9"/>
  <c r="L578" i="9"/>
  <c r="M578" i="9"/>
  <c r="K578" i="9"/>
  <c r="L566" i="9"/>
  <c r="M566" i="9"/>
  <c r="K566" i="9"/>
  <c r="L554" i="9"/>
  <c r="M554" i="9"/>
  <c r="K554" i="9"/>
  <c r="L542" i="9"/>
  <c r="M542" i="9"/>
  <c r="K542" i="9"/>
  <c r="L530" i="9"/>
  <c r="M530" i="9"/>
  <c r="K530" i="9"/>
  <c r="L518" i="9"/>
  <c r="M518" i="9"/>
  <c r="K518" i="9"/>
  <c r="L506" i="9"/>
  <c r="M506" i="9"/>
  <c r="K506" i="9"/>
  <c r="J1384" i="9"/>
  <c r="K1384" i="9"/>
  <c r="L1384" i="9"/>
  <c r="M1384" i="9"/>
  <c r="K1368" i="9"/>
  <c r="L1368" i="9"/>
  <c r="M1368" i="9"/>
  <c r="K1296" i="9"/>
  <c r="M1296" i="9"/>
  <c r="L1296" i="9"/>
  <c r="M1224" i="9"/>
  <c r="K1224" i="9"/>
  <c r="L1224" i="9"/>
  <c r="M1152" i="9"/>
  <c r="K1152" i="9"/>
  <c r="L1152" i="9"/>
  <c r="M1080" i="9"/>
  <c r="K1080" i="9"/>
  <c r="L1080" i="9"/>
  <c r="K1032" i="9"/>
  <c r="M1032" i="9"/>
  <c r="L1032" i="9"/>
  <c r="K972" i="9"/>
  <c r="L972" i="9"/>
  <c r="M972" i="9"/>
  <c r="M888" i="9"/>
  <c r="K888" i="9"/>
  <c r="L888" i="9"/>
  <c r="K804" i="9"/>
  <c r="L804" i="9"/>
  <c r="M804" i="9"/>
  <c r="L732" i="9"/>
  <c r="K732" i="9"/>
  <c r="M732" i="9"/>
  <c r="L672" i="9"/>
  <c r="M672" i="9"/>
  <c r="K672" i="9"/>
  <c r="K624" i="9"/>
  <c r="L624" i="9"/>
  <c r="M624" i="9"/>
  <c r="K564" i="9"/>
  <c r="L564" i="9"/>
  <c r="M564" i="9"/>
  <c r="K1379" i="9"/>
  <c r="L1379" i="9"/>
  <c r="M1379" i="9"/>
  <c r="K1307" i="9"/>
  <c r="L1307" i="9"/>
  <c r="M1307" i="9"/>
  <c r="J1247" i="9"/>
  <c r="K1247" i="9"/>
  <c r="L1247" i="9"/>
  <c r="M1247" i="9"/>
  <c r="K1175" i="9"/>
  <c r="L1175" i="9"/>
  <c r="M1175" i="9"/>
  <c r="K1115" i="9"/>
  <c r="L1115" i="9"/>
  <c r="M1115" i="9"/>
  <c r="K1031" i="9"/>
  <c r="L1031" i="9"/>
  <c r="M1031" i="9"/>
  <c r="J947" i="9"/>
  <c r="K947" i="9"/>
  <c r="L947" i="9"/>
  <c r="M947" i="9"/>
  <c r="J863" i="9"/>
  <c r="L863" i="9"/>
  <c r="K863" i="9"/>
  <c r="M863" i="9"/>
  <c r="J791" i="9"/>
  <c r="K791" i="9"/>
  <c r="L791" i="9"/>
  <c r="M791" i="9"/>
  <c r="K671" i="9"/>
  <c r="L671" i="9"/>
  <c r="M671" i="9"/>
  <c r="K1364" i="9"/>
  <c r="L1364" i="9"/>
  <c r="M1364" i="9"/>
  <c r="K1304" i="9"/>
  <c r="L1304" i="9"/>
  <c r="M1304" i="9"/>
  <c r="K1244" i="9"/>
  <c r="M1244" i="9"/>
  <c r="L1244" i="9"/>
  <c r="J1172" i="9"/>
  <c r="K1172" i="9"/>
  <c r="L1172" i="9"/>
  <c r="M1172" i="9"/>
  <c r="M1112" i="9"/>
  <c r="K1112" i="9"/>
  <c r="L1112" i="9"/>
  <c r="K1052" i="9"/>
  <c r="L1052" i="9"/>
  <c r="M1052" i="9"/>
  <c r="J1004" i="9"/>
  <c r="K1004" i="9"/>
  <c r="L1004" i="9"/>
  <c r="M1004" i="9"/>
  <c r="J944" i="9"/>
  <c r="M944" i="9"/>
  <c r="K944" i="9"/>
  <c r="L944" i="9"/>
  <c r="J884" i="9"/>
  <c r="K884" i="9"/>
  <c r="L884" i="9"/>
  <c r="M884" i="9"/>
  <c r="J824" i="9"/>
  <c r="K824" i="9"/>
  <c r="L824" i="9"/>
  <c r="M824" i="9"/>
  <c r="J764" i="9"/>
  <c r="K764" i="9"/>
  <c r="L764" i="9"/>
  <c r="M764" i="9"/>
  <c r="J716" i="9"/>
  <c r="K716" i="9"/>
  <c r="L716" i="9"/>
  <c r="M716" i="9"/>
  <c r="J656" i="9"/>
  <c r="K656" i="9"/>
  <c r="L656" i="9"/>
  <c r="M656" i="9"/>
  <c r="J596" i="9"/>
  <c r="K596" i="9"/>
  <c r="L596" i="9"/>
  <c r="M596" i="9"/>
  <c r="J536" i="9"/>
  <c r="M536" i="9"/>
  <c r="K536" i="9"/>
  <c r="L536" i="9"/>
  <c r="J1399" i="9"/>
  <c r="K1399" i="9"/>
  <c r="L1399" i="9"/>
  <c r="M1399" i="9"/>
  <c r="J1327" i="9"/>
  <c r="K1327" i="9"/>
  <c r="L1327" i="9"/>
  <c r="M1327" i="9"/>
  <c r="J1267" i="9"/>
  <c r="K1267" i="9"/>
  <c r="M1267" i="9"/>
  <c r="L1267" i="9"/>
  <c r="J1195" i="9"/>
  <c r="K1195" i="9"/>
  <c r="L1195" i="9"/>
  <c r="M1195" i="9"/>
  <c r="J1135" i="9"/>
  <c r="K1135" i="9"/>
  <c r="L1135" i="9"/>
  <c r="M1135" i="9"/>
  <c r="J1063" i="9"/>
  <c r="K1063" i="9"/>
  <c r="L1063" i="9"/>
  <c r="M1063" i="9"/>
  <c r="K1003" i="9"/>
  <c r="L1003" i="9"/>
  <c r="M1003" i="9"/>
  <c r="J955" i="9"/>
  <c r="K955" i="9"/>
  <c r="L955" i="9"/>
  <c r="M955" i="9"/>
  <c r="J907" i="9"/>
  <c r="K907" i="9"/>
  <c r="L907" i="9"/>
  <c r="M907" i="9"/>
  <c r="J835" i="9"/>
  <c r="K835" i="9"/>
  <c r="L835" i="9"/>
  <c r="M835" i="9"/>
  <c r="J763" i="9"/>
  <c r="M763" i="9"/>
  <c r="K763" i="9"/>
  <c r="L763" i="9"/>
  <c r="J703" i="9"/>
  <c r="M703" i="9"/>
  <c r="L703" i="9"/>
  <c r="K703" i="9"/>
  <c r="J655" i="9"/>
  <c r="M655" i="9"/>
  <c r="K655" i="9"/>
  <c r="L655" i="9"/>
  <c r="J583" i="9"/>
  <c r="L583" i="9"/>
  <c r="M583" i="9"/>
  <c r="K583" i="9"/>
  <c r="K523" i="9"/>
  <c r="L523" i="9"/>
  <c r="M523" i="9"/>
  <c r="K1338" i="9"/>
  <c r="L1338" i="9"/>
  <c r="M1338" i="9"/>
  <c r="K1278" i="9"/>
  <c r="L1278" i="9"/>
  <c r="M1278" i="9"/>
  <c r="J1218" i="9"/>
  <c r="K1218" i="9"/>
  <c r="L1218" i="9"/>
  <c r="M1218" i="9"/>
  <c r="J1158" i="9"/>
  <c r="K1158" i="9"/>
  <c r="L1158" i="9"/>
  <c r="M1158" i="9"/>
  <c r="J1098" i="9"/>
  <c r="K1098" i="9"/>
  <c r="L1098" i="9"/>
  <c r="M1098" i="9"/>
  <c r="J1026" i="9"/>
  <c r="K1026" i="9"/>
  <c r="L1026" i="9"/>
  <c r="M1026" i="9"/>
  <c r="K966" i="9"/>
  <c r="L966" i="9"/>
  <c r="M966" i="9"/>
  <c r="J882" i="9"/>
  <c r="K882" i="9"/>
  <c r="L882" i="9"/>
  <c r="M882" i="9"/>
  <c r="J810" i="9"/>
  <c r="K810" i="9"/>
  <c r="L810" i="9"/>
  <c r="M810" i="9"/>
  <c r="J750" i="9"/>
  <c r="L750" i="9"/>
  <c r="M750" i="9"/>
  <c r="K750" i="9"/>
  <c r="J690" i="9"/>
  <c r="L690" i="9"/>
  <c r="M690" i="9"/>
  <c r="K690" i="9"/>
  <c r="J630" i="9"/>
  <c r="L630" i="9"/>
  <c r="M630" i="9"/>
  <c r="K630" i="9"/>
  <c r="L558" i="9"/>
  <c r="M558" i="9"/>
  <c r="K558" i="9"/>
  <c r="J498" i="9"/>
  <c r="L498" i="9"/>
  <c r="M498" i="9"/>
  <c r="K498" i="9"/>
  <c r="K1390" i="9"/>
  <c r="L1390" i="9"/>
  <c r="M1390" i="9"/>
  <c r="K1369" i="9"/>
  <c r="M1369" i="9"/>
  <c r="L1369" i="9"/>
  <c r="M1357" i="9"/>
  <c r="K1357" i="9"/>
  <c r="L1357" i="9"/>
  <c r="M1345" i="9"/>
  <c r="K1345" i="9"/>
  <c r="L1345" i="9"/>
  <c r="K1333" i="9"/>
  <c r="M1333" i="9"/>
  <c r="L1333" i="9"/>
  <c r="M1321" i="9"/>
  <c r="K1321" i="9"/>
  <c r="L1321" i="9"/>
  <c r="M1309" i="9"/>
  <c r="K1309" i="9"/>
  <c r="L1309" i="9"/>
  <c r="K1297" i="9"/>
  <c r="L1297" i="9"/>
  <c r="M1297" i="9"/>
  <c r="K1285" i="9"/>
  <c r="L1285" i="9"/>
  <c r="M1285" i="9"/>
  <c r="K1273" i="9"/>
  <c r="L1273" i="9"/>
  <c r="M1273" i="9"/>
  <c r="K1261" i="9"/>
  <c r="L1261" i="9"/>
  <c r="M1261" i="9"/>
  <c r="K1249" i="9"/>
  <c r="L1249" i="9"/>
  <c r="M1249" i="9"/>
  <c r="K1237" i="9"/>
  <c r="L1237" i="9"/>
  <c r="M1237" i="9"/>
  <c r="K1225" i="9"/>
  <c r="L1225" i="9"/>
  <c r="M1225" i="9"/>
  <c r="K1213" i="9"/>
  <c r="L1213" i="9"/>
  <c r="M1213" i="9"/>
  <c r="K1201" i="9"/>
  <c r="L1201" i="9"/>
  <c r="M1201" i="9"/>
  <c r="K1189" i="9"/>
  <c r="L1189" i="9"/>
  <c r="M1189" i="9"/>
  <c r="K1177" i="9"/>
  <c r="L1177" i="9"/>
  <c r="M1177" i="9"/>
  <c r="K1165" i="9"/>
  <c r="L1165" i="9"/>
  <c r="M1165" i="9"/>
  <c r="K1153" i="9"/>
  <c r="L1153" i="9"/>
  <c r="M1153" i="9"/>
  <c r="K1141" i="9"/>
  <c r="L1141" i="9"/>
  <c r="M1141" i="9"/>
  <c r="K1129" i="9"/>
  <c r="L1129" i="9"/>
  <c r="M1129" i="9"/>
  <c r="K1117" i="9"/>
  <c r="L1117" i="9"/>
  <c r="M1117" i="9"/>
  <c r="K1105" i="9"/>
  <c r="L1105" i="9"/>
  <c r="M1105" i="9"/>
  <c r="K1093" i="9"/>
  <c r="L1093" i="9"/>
  <c r="M1093" i="9"/>
  <c r="K1081" i="9"/>
  <c r="L1081" i="9"/>
  <c r="M1081" i="9"/>
  <c r="K1069" i="9"/>
  <c r="L1069" i="9"/>
  <c r="M1069" i="9"/>
  <c r="K1057" i="9"/>
  <c r="L1057" i="9"/>
  <c r="M1057" i="9"/>
  <c r="K1045" i="9"/>
  <c r="L1045" i="9"/>
  <c r="M1045" i="9"/>
  <c r="K1033" i="9"/>
  <c r="L1033" i="9"/>
  <c r="M1033" i="9"/>
  <c r="K1021" i="9"/>
  <c r="L1021" i="9"/>
  <c r="M1021" i="9"/>
  <c r="K1009" i="9"/>
  <c r="L1009" i="9"/>
  <c r="M1009" i="9"/>
  <c r="N997" i="9"/>
  <c r="K997" i="9"/>
  <c r="L997" i="9"/>
  <c r="M997" i="9"/>
  <c r="K985" i="9"/>
  <c r="L985" i="9"/>
  <c r="M985" i="9"/>
  <c r="N973" i="9"/>
  <c r="K973" i="9"/>
  <c r="L973" i="9"/>
  <c r="M973" i="9"/>
  <c r="K961" i="9"/>
  <c r="L961" i="9"/>
  <c r="M961" i="9"/>
  <c r="K949" i="9"/>
  <c r="L949" i="9"/>
  <c r="M949" i="9"/>
  <c r="N937" i="9"/>
  <c r="K937" i="9"/>
  <c r="L937" i="9"/>
  <c r="M937" i="9"/>
  <c r="K925" i="9"/>
  <c r="L925" i="9"/>
  <c r="M925" i="9"/>
  <c r="K913" i="9"/>
  <c r="L913" i="9"/>
  <c r="M913" i="9"/>
  <c r="N901" i="9"/>
  <c r="K901" i="9"/>
  <c r="L901" i="9"/>
  <c r="M901" i="9"/>
  <c r="K889" i="9"/>
  <c r="L889" i="9"/>
  <c r="M889" i="9"/>
  <c r="K877" i="9"/>
  <c r="L877" i="9"/>
  <c r="M877" i="9"/>
  <c r="N865" i="9"/>
  <c r="K865" i="9"/>
  <c r="L865" i="9"/>
  <c r="M865" i="9"/>
  <c r="K853" i="9"/>
  <c r="L853" i="9"/>
  <c r="M853" i="9"/>
  <c r="K841" i="9"/>
  <c r="L841" i="9"/>
  <c r="M841" i="9"/>
  <c r="K829" i="9"/>
  <c r="L829" i="9"/>
  <c r="M829" i="9"/>
  <c r="K817" i="9"/>
  <c r="L817" i="9"/>
  <c r="M817" i="9"/>
  <c r="K805" i="9"/>
  <c r="L805" i="9"/>
  <c r="M805" i="9"/>
  <c r="K793" i="9"/>
  <c r="L793" i="9"/>
  <c r="M793" i="9"/>
  <c r="K781" i="9"/>
  <c r="L781" i="9"/>
  <c r="M781" i="9"/>
  <c r="K769" i="9"/>
  <c r="L769" i="9"/>
  <c r="M769" i="9"/>
  <c r="K757" i="9"/>
  <c r="L757" i="9"/>
  <c r="M757" i="9"/>
  <c r="K745" i="9"/>
  <c r="L745" i="9"/>
  <c r="M745" i="9"/>
  <c r="K733" i="9"/>
  <c r="L733" i="9"/>
  <c r="M733" i="9"/>
  <c r="K721" i="9"/>
  <c r="L721" i="9"/>
  <c r="M721" i="9"/>
  <c r="M709" i="9"/>
  <c r="K709" i="9"/>
  <c r="L709" i="9"/>
  <c r="K697" i="9"/>
  <c r="L697" i="9"/>
  <c r="M697" i="9"/>
  <c r="M685" i="9"/>
  <c r="L685" i="9"/>
  <c r="K685" i="9"/>
  <c r="K673" i="9"/>
  <c r="L673" i="9"/>
  <c r="M673" i="9"/>
  <c r="L661" i="9"/>
  <c r="M661" i="9"/>
  <c r="K661" i="9"/>
  <c r="K649" i="9"/>
  <c r="L649" i="9"/>
  <c r="M649" i="9"/>
  <c r="K637" i="9"/>
  <c r="L637" i="9"/>
  <c r="M637" i="9"/>
  <c r="K625" i="9"/>
  <c r="L625" i="9"/>
  <c r="M625" i="9"/>
  <c r="L613" i="9"/>
  <c r="M613" i="9"/>
  <c r="K613" i="9"/>
  <c r="K601" i="9"/>
  <c r="L601" i="9"/>
  <c r="M601" i="9"/>
  <c r="L589" i="9"/>
  <c r="M589" i="9"/>
  <c r="K589" i="9"/>
  <c r="K577" i="9"/>
  <c r="L577" i="9"/>
  <c r="M577" i="9"/>
  <c r="L565" i="9"/>
  <c r="M565" i="9"/>
  <c r="K565" i="9"/>
  <c r="K553" i="9"/>
  <c r="L553" i="9"/>
  <c r="M553" i="9"/>
  <c r="L541" i="9"/>
  <c r="M541" i="9"/>
  <c r="K541" i="9"/>
  <c r="M529" i="9"/>
  <c r="K529" i="9"/>
  <c r="L529" i="9"/>
  <c r="L517" i="9"/>
  <c r="M517" i="9"/>
  <c r="K517" i="9"/>
  <c r="K505" i="9"/>
  <c r="L505" i="9"/>
  <c r="M505" i="9"/>
  <c r="K1385" i="9"/>
  <c r="M1385" i="9"/>
  <c r="L1385" i="9"/>
  <c r="O91" i="7"/>
  <c r="A74" i="7"/>
  <c r="B74" i="7"/>
  <c r="O68" i="7"/>
  <c r="C93" i="7"/>
  <c r="O85" i="7"/>
  <c r="C86" i="7"/>
  <c r="B83" i="7"/>
  <c r="C81" i="7"/>
  <c r="C80" i="7"/>
  <c r="C79" i="7"/>
  <c r="B79" i="7"/>
  <c r="A86" i="7"/>
  <c r="A77" i="7"/>
  <c r="O79" i="7"/>
  <c r="O86" i="7"/>
  <c r="B77" i="7"/>
  <c r="C88" i="7"/>
  <c r="O73" i="7"/>
  <c r="C90" i="7"/>
  <c r="C78" i="7"/>
  <c r="C68" i="7"/>
  <c r="O81" i="7"/>
  <c r="C84" i="7"/>
  <c r="C87" i="7"/>
  <c r="A82" i="7"/>
  <c r="O71" i="7"/>
  <c r="C83" i="7"/>
  <c r="B90" i="7"/>
  <c r="O82" i="7"/>
  <c r="B87" i="7"/>
  <c r="C82" i="7"/>
  <c r="J1268" i="9"/>
  <c r="J1382" i="9"/>
  <c r="J1364" i="9"/>
  <c r="J1350" i="9"/>
  <c r="J1304" i="9"/>
  <c r="J1376" i="9"/>
  <c r="J1292" i="9"/>
  <c r="J1278" i="9"/>
  <c r="J1340" i="9"/>
  <c r="N729" i="9"/>
  <c r="J1328" i="9"/>
  <c r="J1314" i="9"/>
  <c r="J1136" i="9"/>
  <c r="J896" i="9"/>
  <c r="J1230" i="9"/>
  <c r="J990" i="9"/>
  <c r="J894" i="9"/>
  <c r="J702" i="9"/>
  <c r="J654" i="9"/>
  <c r="J558" i="9"/>
  <c r="J510" i="9"/>
  <c r="J1220" i="9"/>
  <c r="J1124" i="9"/>
  <c r="J1076" i="9"/>
  <c r="J932" i="9"/>
  <c r="J836" i="9"/>
  <c r="J788" i="9"/>
  <c r="N815" i="9"/>
  <c r="J992" i="9"/>
  <c r="J1338" i="9"/>
  <c r="J594" i="9"/>
  <c r="N968" i="9"/>
  <c r="N860" i="9"/>
  <c r="J1016" i="9"/>
  <c r="N787" i="9"/>
  <c r="J1398" i="9"/>
  <c r="J919" i="9"/>
  <c r="J775" i="9"/>
  <c r="J679" i="9"/>
  <c r="J631" i="9"/>
  <c r="J1040" i="9"/>
  <c r="J1362" i="9"/>
  <c r="J1326" i="9"/>
  <c r="J1290" i="9"/>
  <c r="J1254" i="9"/>
  <c r="J966" i="9"/>
  <c r="J582" i="9"/>
  <c r="J1088" i="9"/>
  <c r="J1266" i="9"/>
  <c r="J595" i="9"/>
  <c r="J1112" i="9"/>
  <c r="J1394" i="9"/>
  <c r="J1244" i="9"/>
  <c r="J1148" i="9"/>
  <c r="J1052" i="9"/>
  <c r="N955" i="9"/>
  <c r="N845" i="9"/>
  <c r="J559" i="9"/>
  <c r="N883" i="9"/>
  <c r="J1302" i="9"/>
  <c r="J930" i="9"/>
  <c r="J546" i="9"/>
  <c r="J1160" i="9"/>
  <c r="J1388" i="9"/>
  <c r="J1280" i="9"/>
  <c r="J1003" i="9"/>
  <c r="J715" i="9"/>
  <c r="J667" i="9"/>
  <c r="J523" i="9"/>
  <c r="J1374" i="9"/>
  <c r="J1242" i="9"/>
  <c r="J858" i="9"/>
  <c r="J666" i="9"/>
  <c r="J618" i="9"/>
  <c r="O1392" i="9"/>
  <c r="N1392" i="9"/>
  <c r="J1392" i="9"/>
  <c r="O1335" i="9"/>
  <c r="N1335" i="9"/>
  <c r="J1335" i="9"/>
  <c r="O1275" i="9"/>
  <c r="N1275" i="9"/>
  <c r="J1275" i="9"/>
  <c r="N1228" i="9"/>
  <c r="J1228" i="9"/>
  <c r="O1228" i="9"/>
  <c r="O1168" i="9"/>
  <c r="N1168" i="9"/>
  <c r="J1168" i="9"/>
  <c r="O1108" i="9"/>
  <c r="N1108" i="9"/>
  <c r="J1108" i="9"/>
  <c r="O1060" i="9"/>
  <c r="N1060" i="9"/>
  <c r="J1060" i="9"/>
  <c r="O1000" i="9"/>
  <c r="N1000" i="9"/>
  <c r="J1000" i="9"/>
  <c r="O940" i="9"/>
  <c r="N940" i="9"/>
  <c r="J940" i="9"/>
  <c r="O856" i="9"/>
  <c r="N856" i="9"/>
  <c r="J856" i="9"/>
  <c r="O568" i="9"/>
  <c r="N568" i="9"/>
  <c r="J568" i="9"/>
  <c r="O1323" i="9"/>
  <c r="N1323" i="9"/>
  <c r="J1323" i="9"/>
  <c r="O1216" i="9"/>
  <c r="N1216" i="9"/>
  <c r="J1216" i="9"/>
  <c r="O1132" i="9"/>
  <c r="N1132" i="9"/>
  <c r="J1132" i="9"/>
  <c r="O1036" i="9"/>
  <c r="N1036" i="9"/>
  <c r="J1036" i="9"/>
  <c r="O952" i="9"/>
  <c r="N952" i="9"/>
  <c r="J952" i="9"/>
  <c r="O892" i="9"/>
  <c r="J892" i="9"/>
  <c r="N892" i="9"/>
  <c r="O808" i="9"/>
  <c r="N808" i="9"/>
  <c r="J808" i="9"/>
  <c r="O736" i="9"/>
  <c r="N736" i="9"/>
  <c r="J736" i="9"/>
  <c r="O652" i="9"/>
  <c r="N652" i="9"/>
  <c r="J652" i="9"/>
  <c r="O544" i="9"/>
  <c r="N544" i="9"/>
  <c r="J544" i="9"/>
  <c r="O1334" i="9"/>
  <c r="N1334" i="9"/>
  <c r="J1334" i="9"/>
  <c r="O1262" i="9"/>
  <c r="N1262" i="9"/>
  <c r="J1262" i="9"/>
  <c r="O1203" i="9"/>
  <c r="N1203" i="9"/>
  <c r="J1203" i="9"/>
  <c r="O1143" i="9"/>
  <c r="N1143" i="9"/>
  <c r="J1143" i="9"/>
  <c r="O1083" i="9"/>
  <c r="N1083" i="9"/>
  <c r="J1083" i="9"/>
  <c r="O1011" i="9"/>
  <c r="N1011" i="9"/>
  <c r="J1011" i="9"/>
  <c r="O951" i="9"/>
  <c r="N951" i="9"/>
  <c r="J951" i="9"/>
  <c r="O879" i="9"/>
  <c r="N879" i="9"/>
  <c r="J879" i="9"/>
  <c r="O819" i="9"/>
  <c r="N819" i="9"/>
  <c r="J819" i="9"/>
  <c r="O759" i="9"/>
  <c r="N759" i="9"/>
  <c r="J759" i="9"/>
  <c r="O699" i="9"/>
  <c r="N699" i="9"/>
  <c r="J699" i="9"/>
  <c r="O639" i="9"/>
  <c r="N639" i="9"/>
  <c r="J639" i="9"/>
  <c r="O591" i="9"/>
  <c r="N591" i="9"/>
  <c r="J591" i="9"/>
  <c r="O543" i="9"/>
  <c r="N543" i="9"/>
  <c r="J543" i="9"/>
  <c r="O495" i="9"/>
  <c r="N495" i="9"/>
  <c r="J495" i="9"/>
  <c r="O1355" i="9"/>
  <c r="N1355" i="9"/>
  <c r="J1355" i="9"/>
  <c r="O1283" i="9"/>
  <c r="N1283" i="9"/>
  <c r="J1283" i="9"/>
  <c r="O1212" i="9"/>
  <c r="N1212" i="9"/>
  <c r="J1212" i="9"/>
  <c r="O1176" i="9"/>
  <c r="N1176" i="9"/>
  <c r="J1176" i="9"/>
  <c r="O1140" i="9"/>
  <c r="N1140" i="9"/>
  <c r="J1140" i="9"/>
  <c r="O1128" i="9"/>
  <c r="N1128" i="9"/>
  <c r="J1128" i="9"/>
  <c r="O1116" i="9"/>
  <c r="N1116" i="9"/>
  <c r="J1116" i="9"/>
  <c r="O1092" i="9"/>
  <c r="N1092" i="9"/>
  <c r="J1092" i="9"/>
  <c r="O1056" i="9"/>
  <c r="N1056" i="9"/>
  <c r="J1056" i="9"/>
  <c r="O1044" i="9"/>
  <c r="N1044" i="9"/>
  <c r="J1044" i="9"/>
  <c r="O1032" i="9"/>
  <c r="N1032" i="9"/>
  <c r="J1032" i="9"/>
  <c r="O1020" i="9"/>
  <c r="N1020" i="9"/>
  <c r="J1020" i="9"/>
  <c r="O1008" i="9"/>
  <c r="N1008" i="9"/>
  <c r="J1008" i="9"/>
  <c r="O996" i="9"/>
  <c r="N996" i="9"/>
  <c r="J996" i="9"/>
  <c r="O984" i="9"/>
  <c r="N984" i="9"/>
  <c r="J984" i="9"/>
  <c r="O972" i="9"/>
  <c r="N972" i="9"/>
  <c r="J972" i="9"/>
  <c r="O960" i="9"/>
  <c r="N960" i="9"/>
  <c r="J960" i="9"/>
  <c r="O948" i="9"/>
  <c r="N948" i="9"/>
  <c r="J948" i="9"/>
  <c r="O936" i="9"/>
  <c r="N936" i="9"/>
  <c r="J936" i="9"/>
  <c r="O924" i="9"/>
  <c r="N924" i="9"/>
  <c r="J924" i="9"/>
  <c r="O912" i="9"/>
  <c r="N912" i="9"/>
  <c r="J912" i="9"/>
  <c r="O900" i="9"/>
  <c r="N900" i="9"/>
  <c r="J900" i="9"/>
  <c r="O888" i="9"/>
  <c r="N888" i="9"/>
  <c r="J888" i="9"/>
  <c r="O876" i="9"/>
  <c r="N876" i="9"/>
  <c r="J876" i="9"/>
  <c r="O864" i="9"/>
  <c r="N864" i="9"/>
  <c r="J864" i="9"/>
  <c r="O852" i="9"/>
  <c r="N852" i="9"/>
  <c r="J852" i="9"/>
  <c r="O840" i="9"/>
  <c r="N840" i="9"/>
  <c r="J840" i="9"/>
  <c r="O828" i="9"/>
  <c r="N828" i="9"/>
  <c r="J828" i="9"/>
  <c r="O816" i="9"/>
  <c r="N816" i="9"/>
  <c r="J816" i="9"/>
  <c r="O804" i="9"/>
  <c r="N804" i="9"/>
  <c r="J804" i="9"/>
  <c r="O792" i="9"/>
  <c r="N792" i="9"/>
  <c r="J792" i="9"/>
  <c r="O780" i="9"/>
  <c r="N780" i="9"/>
  <c r="J780" i="9"/>
  <c r="O768" i="9"/>
  <c r="N768" i="9"/>
  <c r="J768" i="9"/>
  <c r="O756" i="9"/>
  <c r="J756" i="9"/>
  <c r="N756" i="9"/>
  <c r="O744" i="9"/>
  <c r="N744" i="9"/>
  <c r="J744" i="9"/>
  <c r="O732" i="9"/>
  <c r="N732" i="9"/>
  <c r="J732" i="9"/>
  <c r="O720" i="9"/>
  <c r="N720" i="9"/>
  <c r="J720" i="9"/>
  <c r="O708" i="9"/>
  <c r="N708" i="9"/>
  <c r="J708" i="9"/>
  <c r="O696" i="9"/>
  <c r="N696" i="9"/>
  <c r="J696" i="9"/>
  <c r="O684" i="9"/>
  <c r="N684" i="9"/>
  <c r="J684" i="9"/>
  <c r="O672" i="9"/>
  <c r="N672" i="9"/>
  <c r="J672" i="9"/>
  <c r="O660" i="9"/>
  <c r="N660" i="9"/>
  <c r="J660" i="9"/>
  <c r="O648" i="9"/>
  <c r="N648" i="9"/>
  <c r="J648" i="9"/>
  <c r="O636" i="9"/>
  <c r="N636" i="9"/>
  <c r="J636" i="9"/>
  <c r="O624" i="9"/>
  <c r="N624" i="9"/>
  <c r="J624" i="9"/>
  <c r="O612" i="9"/>
  <c r="N612" i="9"/>
  <c r="J612" i="9"/>
  <c r="O600" i="9"/>
  <c r="N600" i="9"/>
  <c r="J600" i="9"/>
  <c r="O588" i="9"/>
  <c r="N588" i="9"/>
  <c r="J588" i="9"/>
  <c r="O576" i="9"/>
  <c r="N576" i="9"/>
  <c r="J576" i="9"/>
  <c r="O564" i="9"/>
  <c r="N564" i="9"/>
  <c r="J564" i="9"/>
  <c r="O552" i="9"/>
  <c r="N552" i="9"/>
  <c r="J552" i="9"/>
  <c r="O540" i="9"/>
  <c r="N540" i="9"/>
  <c r="J540" i="9"/>
  <c r="O528" i="9"/>
  <c r="N528" i="9"/>
  <c r="J528" i="9"/>
  <c r="O516" i="9"/>
  <c r="N516" i="9"/>
  <c r="J516" i="9"/>
  <c r="O504" i="9"/>
  <c r="N504" i="9"/>
  <c r="J504" i="9"/>
  <c r="O1371" i="9"/>
  <c r="N1371" i="9"/>
  <c r="J1371" i="9"/>
  <c r="O1311" i="9"/>
  <c r="N1311" i="9"/>
  <c r="J1311" i="9"/>
  <c r="O1263" i="9"/>
  <c r="N1263" i="9"/>
  <c r="J1263" i="9"/>
  <c r="O1204" i="9"/>
  <c r="N1204" i="9"/>
  <c r="J1204" i="9"/>
  <c r="O1156" i="9"/>
  <c r="N1156" i="9"/>
  <c r="J1156" i="9"/>
  <c r="O1096" i="9"/>
  <c r="N1096" i="9"/>
  <c r="J1096" i="9"/>
  <c r="O1024" i="9"/>
  <c r="N1024" i="9"/>
  <c r="J1024" i="9"/>
  <c r="O964" i="9"/>
  <c r="N964" i="9"/>
  <c r="J964" i="9"/>
  <c r="O904" i="9"/>
  <c r="N904" i="9"/>
  <c r="J904" i="9"/>
  <c r="O844" i="9"/>
  <c r="N844" i="9"/>
  <c r="J844" i="9"/>
  <c r="O784" i="9"/>
  <c r="N784" i="9"/>
  <c r="J784" i="9"/>
  <c r="O748" i="9"/>
  <c r="N748" i="9"/>
  <c r="J748" i="9"/>
  <c r="O688" i="9"/>
  <c r="N688" i="9"/>
  <c r="J688" i="9"/>
  <c r="O640" i="9"/>
  <c r="N640" i="9"/>
  <c r="J640" i="9"/>
  <c r="O604" i="9"/>
  <c r="N604" i="9"/>
  <c r="J604" i="9"/>
  <c r="O556" i="9"/>
  <c r="N556" i="9"/>
  <c r="J556" i="9"/>
  <c r="O508" i="9"/>
  <c r="N508" i="9"/>
  <c r="J508" i="9"/>
  <c r="O1370" i="9"/>
  <c r="N1370" i="9"/>
  <c r="J1370" i="9"/>
  <c r="O1322" i="9"/>
  <c r="N1322" i="9"/>
  <c r="J1322" i="9"/>
  <c r="O1286" i="9"/>
  <c r="N1286" i="9"/>
  <c r="J1286" i="9"/>
  <c r="O1239" i="9"/>
  <c r="N1239" i="9"/>
  <c r="J1239" i="9"/>
  <c r="O1191" i="9"/>
  <c r="N1191" i="9"/>
  <c r="J1191" i="9"/>
  <c r="O1155" i="9"/>
  <c r="N1155" i="9"/>
  <c r="J1155" i="9"/>
  <c r="N1107" i="9"/>
  <c r="J1107" i="9"/>
  <c r="O1059" i="9"/>
  <c r="N1059" i="9"/>
  <c r="J1059" i="9"/>
  <c r="O1023" i="9"/>
  <c r="N1023" i="9"/>
  <c r="J1023" i="9"/>
  <c r="O975" i="9"/>
  <c r="N975" i="9"/>
  <c r="J975" i="9"/>
  <c r="O927" i="9"/>
  <c r="N927" i="9"/>
  <c r="J927" i="9"/>
  <c r="O891" i="9"/>
  <c r="N891" i="9"/>
  <c r="J891" i="9"/>
  <c r="O843" i="9"/>
  <c r="N843" i="9"/>
  <c r="J843" i="9"/>
  <c r="O783" i="9"/>
  <c r="N783" i="9"/>
  <c r="J783" i="9"/>
  <c r="O723" i="9"/>
  <c r="N723" i="9"/>
  <c r="J723" i="9"/>
  <c r="O675" i="9"/>
  <c r="N675" i="9"/>
  <c r="J675" i="9"/>
  <c r="O615" i="9"/>
  <c r="N615" i="9"/>
  <c r="J615" i="9"/>
  <c r="O567" i="9"/>
  <c r="N567" i="9"/>
  <c r="J567" i="9"/>
  <c r="O519" i="9"/>
  <c r="N519" i="9"/>
  <c r="J519" i="9"/>
  <c r="S1383" i="9"/>
  <c r="O1383" i="9"/>
  <c r="N1383" i="9"/>
  <c r="J1383" i="9"/>
  <c r="S1395" i="9"/>
  <c r="O1395" i="9"/>
  <c r="N1395" i="9"/>
  <c r="J1395" i="9"/>
  <c r="O1107" i="9"/>
  <c r="O1367" i="9"/>
  <c r="N1367" i="9"/>
  <c r="J1367" i="9"/>
  <c r="O1295" i="9"/>
  <c r="N1295" i="9"/>
  <c r="J1295" i="9"/>
  <c r="O1248" i="9"/>
  <c r="N1248" i="9"/>
  <c r="J1248" i="9"/>
  <c r="O1200" i="9"/>
  <c r="N1200" i="9"/>
  <c r="J1200" i="9"/>
  <c r="O1152" i="9"/>
  <c r="N1152" i="9"/>
  <c r="J1152" i="9"/>
  <c r="O1080" i="9"/>
  <c r="N1080" i="9"/>
  <c r="J1080" i="9"/>
  <c r="S1385" i="9"/>
  <c r="O1385" i="9"/>
  <c r="N1385" i="9"/>
  <c r="J1385" i="9"/>
  <c r="O1347" i="9"/>
  <c r="N1347" i="9"/>
  <c r="J1347" i="9"/>
  <c r="O1287" i="9"/>
  <c r="N1287" i="9"/>
  <c r="J1287" i="9"/>
  <c r="O1240" i="9"/>
  <c r="N1240" i="9"/>
  <c r="J1240" i="9"/>
  <c r="O1180" i="9"/>
  <c r="N1180" i="9"/>
  <c r="J1180" i="9"/>
  <c r="O1120" i="9"/>
  <c r="N1120" i="9"/>
  <c r="J1120" i="9"/>
  <c r="O1072" i="9"/>
  <c r="N1072" i="9"/>
  <c r="J1072" i="9"/>
  <c r="O1012" i="9"/>
  <c r="N1012" i="9"/>
  <c r="J1012" i="9"/>
  <c r="O976" i="9"/>
  <c r="N976" i="9"/>
  <c r="J976" i="9"/>
  <c r="O916" i="9"/>
  <c r="N916" i="9"/>
  <c r="J916" i="9"/>
  <c r="O868" i="9"/>
  <c r="N868" i="9"/>
  <c r="J868" i="9"/>
  <c r="O820" i="9"/>
  <c r="N820" i="9"/>
  <c r="J820" i="9"/>
  <c r="O760" i="9"/>
  <c r="N760" i="9"/>
  <c r="J760" i="9"/>
  <c r="O712" i="9"/>
  <c r="N712" i="9"/>
  <c r="J712" i="9"/>
  <c r="O676" i="9"/>
  <c r="N676" i="9"/>
  <c r="J676" i="9"/>
  <c r="O628" i="9"/>
  <c r="N628" i="9"/>
  <c r="J628" i="9"/>
  <c r="O592" i="9"/>
  <c r="N592" i="9"/>
  <c r="J592" i="9"/>
  <c r="O532" i="9"/>
  <c r="N532" i="9"/>
  <c r="J532" i="9"/>
  <c r="O496" i="9"/>
  <c r="N496" i="9"/>
  <c r="J496" i="9"/>
  <c r="O1391" i="9"/>
  <c r="N1391" i="9"/>
  <c r="J1391" i="9"/>
  <c r="O1346" i="9"/>
  <c r="N1346" i="9"/>
  <c r="J1346" i="9"/>
  <c r="O1298" i="9"/>
  <c r="N1298" i="9"/>
  <c r="J1298" i="9"/>
  <c r="O1251" i="9"/>
  <c r="N1251" i="9"/>
  <c r="J1251" i="9"/>
  <c r="O1215" i="9"/>
  <c r="N1215" i="9"/>
  <c r="J1215" i="9"/>
  <c r="O1167" i="9"/>
  <c r="N1167" i="9"/>
  <c r="J1167" i="9"/>
  <c r="O1119" i="9"/>
  <c r="N1119" i="9"/>
  <c r="J1119" i="9"/>
  <c r="O1071" i="9"/>
  <c r="N1071" i="9"/>
  <c r="J1071" i="9"/>
  <c r="O1035" i="9"/>
  <c r="N1035" i="9"/>
  <c r="J1035" i="9"/>
  <c r="O987" i="9"/>
  <c r="N987" i="9"/>
  <c r="J987" i="9"/>
  <c r="O939" i="9"/>
  <c r="N939" i="9"/>
  <c r="J939" i="9"/>
  <c r="O903" i="9"/>
  <c r="N903" i="9"/>
  <c r="J903" i="9"/>
  <c r="O855" i="9"/>
  <c r="N855" i="9"/>
  <c r="J855" i="9"/>
  <c r="O807" i="9"/>
  <c r="N807" i="9"/>
  <c r="J807" i="9"/>
  <c r="O771" i="9"/>
  <c r="N771" i="9"/>
  <c r="J771" i="9"/>
  <c r="N735" i="9"/>
  <c r="O735" i="9"/>
  <c r="J735" i="9"/>
  <c r="O687" i="9"/>
  <c r="N687" i="9"/>
  <c r="J687" i="9"/>
  <c r="O651" i="9"/>
  <c r="N651" i="9"/>
  <c r="J651" i="9"/>
  <c r="O603" i="9"/>
  <c r="N603" i="9"/>
  <c r="J603" i="9"/>
  <c r="O555" i="9"/>
  <c r="N555" i="9"/>
  <c r="J555" i="9"/>
  <c r="O507" i="9"/>
  <c r="N507" i="9"/>
  <c r="J507" i="9"/>
  <c r="O1379" i="9"/>
  <c r="N1379" i="9"/>
  <c r="J1379" i="9"/>
  <c r="O1331" i="9"/>
  <c r="N1331" i="9"/>
  <c r="J1331" i="9"/>
  <c r="O1319" i="9"/>
  <c r="N1319" i="9"/>
  <c r="J1319" i="9"/>
  <c r="O1271" i="9"/>
  <c r="N1271" i="9"/>
  <c r="J1271" i="9"/>
  <c r="O1236" i="9"/>
  <c r="N1236" i="9"/>
  <c r="J1236" i="9"/>
  <c r="O1188" i="9"/>
  <c r="N1188" i="9"/>
  <c r="J1188" i="9"/>
  <c r="O1104" i="9"/>
  <c r="N1104" i="9"/>
  <c r="J1104" i="9"/>
  <c r="O1359" i="9"/>
  <c r="N1359" i="9"/>
  <c r="J1359" i="9"/>
  <c r="O1299" i="9"/>
  <c r="N1299" i="9"/>
  <c r="J1299" i="9"/>
  <c r="O1252" i="9"/>
  <c r="N1252" i="9"/>
  <c r="J1252" i="9"/>
  <c r="O1192" i="9"/>
  <c r="N1192" i="9"/>
  <c r="J1192" i="9"/>
  <c r="O1144" i="9"/>
  <c r="N1144" i="9"/>
  <c r="J1144" i="9"/>
  <c r="O1084" i="9"/>
  <c r="N1084" i="9"/>
  <c r="J1084" i="9"/>
  <c r="O1048" i="9"/>
  <c r="N1048" i="9"/>
  <c r="J1048" i="9"/>
  <c r="O988" i="9"/>
  <c r="J988" i="9"/>
  <c r="O928" i="9"/>
  <c r="N928" i="9"/>
  <c r="J928" i="9"/>
  <c r="O880" i="9"/>
  <c r="N880" i="9"/>
  <c r="J880" i="9"/>
  <c r="O832" i="9"/>
  <c r="N832" i="9"/>
  <c r="J832" i="9"/>
  <c r="O796" i="9"/>
  <c r="N796" i="9"/>
  <c r="J796" i="9"/>
  <c r="O772" i="9"/>
  <c r="N772" i="9"/>
  <c r="J772" i="9"/>
  <c r="O724" i="9"/>
  <c r="N724" i="9"/>
  <c r="J724" i="9"/>
  <c r="O700" i="9"/>
  <c r="N700" i="9"/>
  <c r="J700" i="9"/>
  <c r="O664" i="9"/>
  <c r="N664" i="9"/>
  <c r="J664" i="9"/>
  <c r="O616" i="9"/>
  <c r="N616" i="9"/>
  <c r="J616" i="9"/>
  <c r="O580" i="9"/>
  <c r="N580" i="9"/>
  <c r="J580" i="9"/>
  <c r="O520" i="9"/>
  <c r="N520" i="9"/>
  <c r="J520" i="9"/>
  <c r="O1358" i="9"/>
  <c r="N1358" i="9"/>
  <c r="J1358" i="9"/>
  <c r="O1310" i="9"/>
  <c r="N1310" i="9"/>
  <c r="J1310" i="9"/>
  <c r="N1274" i="9"/>
  <c r="O1274" i="9"/>
  <c r="J1274" i="9"/>
  <c r="N1227" i="9"/>
  <c r="O1227" i="9"/>
  <c r="J1227" i="9"/>
  <c r="O1179" i="9"/>
  <c r="N1179" i="9"/>
  <c r="J1179" i="9"/>
  <c r="O1131" i="9"/>
  <c r="N1131" i="9"/>
  <c r="J1131" i="9"/>
  <c r="O1095" i="9"/>
  <c r="N1095" i="9"/>
  <c r="J1095" i="9"/>
  <c r="O1047" i="9"/>
  <c r="N1047" i="9"/>
  <c r="J1047" i="9"/>
  <c r="O999" i="9"/>
  <c r="N999" i="9"/>
  <c r="J999" i="9"/>
  <c r="O963" i="9"/>
  <c r="N963" i="9"/>
  <c r="J963" i="9"/>
  <c r="O915" i="9"/>
  <c r="N915" i="9"/>
  <c r="J915" i="9"/>
  <c r="O867" i="9"/>
  <c r="N867" i="9"/>
  <c r="J867" i="9"/>
  <c r="O831" i="9"/>
  <c r="N831" i="9"/>
  <c r="J831" i="9"/>
  <c r="O795" i="9"/>
  <c r="N795" i="9"/>
  <c r="J795" i="9"/>
  <c r="O747" i="9"/>
  <c r="N747" i="9"/>
  <c r="J747" i="9"/>
  <c r="O711" i="9"/>
  <c r="N711" i="9"/>
  <c r="J711" i="9"/>
  <c r="O663" i="9"/>
  <c r="N663" i="9"/>
  <c r="J663" i="9"/>
  <c r="O627" i="9"/>
  <c r="N627" i="9"/>
  <c r="J627" i="9"/>
  <c r="O579" i="9"/>
  <c r="N579" i="9"/>
  <c r="J579" i="9"/>
  <c r="O531" i="9"/>
  <c r="N531" i="9"/>
  <c r="J531" i="9"/>
  <c r="O1343" i="9"/>
  <c r="N1343" i="9"/>
  <c r="J1343" i="9"/>
  <c r="O1307" i="9"/>
  <c r="N1307" i="9"/>
  <c r="J1307" i="9"/>
  <c r="O1259" i="9"/>
  <c r="N1259" i="9"/>
  <c r="J1259" i="9"/>
  <c r="O1224" i="9"/>
  <c r="N1224" i="9"/>
  <c r="J1224" i="9"/>
  <c r="O1164" i="9"/>
  <c r="N1164" i="9"/>
  <c r="J1164" i="9"/>
  <c r="O1068" i="9"/>
  <c r="N1068" i="9"/>
  <c r="J1068" i="9"/>
  <c r="O1197" i="9"/>
  <c r="N1197" i="9"/>
  <c r="J1197" i="9"/>
  <c r="O1390" i="9"/>
  <c r="N1390" i="9"/>
  <c r="O1369" i="9"/>
  <c r="N1369" i="9"/>
  <c r="O1357" i="9"/>
  <c r="N1357" i="9"/>
  <c r="O1345" i="9"/>
  <c r="N1345" i="9"/>
  <c r="O1333" i="9"/>
  <c r="N1333" i="9"/>
  <c r="O1321" i="9"/>
  <c r="N1321" i="9"/>
  <c r="O1309" i="9"/>
  <c r="N1309" i="9"/>
  <c r="O1297" i="9"/>
  <c r="N1297" i="9"/>
  <c r="O1285" i="9"/>
  <c r="N1285" i="9"/>
  <c r="O1273" i="9"/>
  <c r="N1273" i="9"/>
  <c r="O1261" i="9"/>
  <c r="N1261" i="9"/>
  <c r="O1250" i="9"/>
  <c r="N1250" i="9"/>
  <c r="O1238" i="9"/>
  <c r="N1238" i="9"/>
  <c r="O1226" i="9"/>
  <c r="N1226" i="9"/>
  <c r="O1214" i="9"/>
  <c r="N1214" i="9"/>
  <c r="O1202" i="9"/>
  <c r="N1202" i="9"/>
  <c r="O1190" i="9"/>
  <c r="N1190" i="9"/>
  <c r="O1178" i="9"/>
  <c r="N1178" i="9"/>
  <c r="O1166" i="9"/>
  <c r="N1166" i="9"/>
  <c r="O1154" i="9"/>
  <c r="N1154" i="9"/>
  <c r="O1142" i="9"/>
  <c r="N1142" i="9"/>
  <c r="O1130" i="9"/>
  <c r="N1130" i="9"/>
  <c r="O1118" i="9"/>
  <c r="N1118" i="9"/>
  <c r="O1106" i="9"/>
  <c r="N1106" i="9"/>
  <c r="O1094" i="9"/>
  <c r="N1094" i="9"/>
  <c r="O1082" i="9"/>
  <c r="N1082" i="9"/>
  <c r="O1070" i="9"/>
  <c r="N1070" i="9"/>
  <c r="O1058" i="9"/>
  <c r="N1058" i="9"/>
  <c r="O1046" i="9"/>
  <c r="N1046" i="9"/>
  <c r="O1034" i="9"/>
  <c r="N1034" i="9"/>
  <c r="O1022" i="9"/>
  <c r="N1022" i="9"/>
  <c r="O1010" i="9"/>
  <c r="N1010" i="9"/>
  <c r="O998" i="9"/>
  <c r="N998" i="9"/>
  <c r="O986" i="9"/>
  <c r="N986" i="9"/>
  <c r="O974" i="9"/>
  <c r="N974" i="9"/>
  <c r="O962" i="9"/>
  <c r="N962" i="9"/>
  <c r="O950" i="9"/>
  <c r="O938" i="9"/>
  <c r="N938" i="9"/>
  <c r="O926" i="9"/>
  <c r="N926" i="9"/>
  <c r="O914" i="9"/>
  <c r="O902" i="9"/>
  <c r="N902" i="9"/>
  <c r="O890" i="9"/>
  <c r="N890" i="9"/>
  <c r="O878" i="9"/>
  <c r="O866" i="9"/>
  <c r="N866" i="9"/>
  <c r="O854" i="9"/>
  <c r="N854" i="9"/>
  <c r="O842" i="9"/>
  <c r="N842" i="9"/>
  <c r="O830" i="9"/>
  <c r="N830" i="9"/>
  <c r="O818" i="9"/>
  <c r="N818" i="9"/>
  <c r="O806" i="9"/>
  <c r="N806" i="9"/>
  <c r="O794" i="9"/>
  <c r="N794" i="9"/>
  <c r="O782" i="9"/>
  <c r="N782" i="9"/>
  <c r="O770" i="9"/>
  <c r="N770" i="9"/>
  <c r="O758" i="9"/>
  <c r="N758" i="9"/>
  <c r="O746" i="9"/>
  <c r="N746" i="9"/>
  <c r="N734" i="9"/>
  <c r="O734" i="9"/>
  <c r="O722" i="9"/>
  <c r="N722" i="9"/>
  <c r="O710" i="9"/>
  <c r="N710" i="9"/>
  <c r="O698" i="9"/>
  <c r="N698" i="9"/>
  <c r="O686" i="9"/>
  <c r="N686" i="9"/>
  <c r="O674" i="9"/>
  <c r="N674" i="9"/>
  <c r="O662" i="9"/>
  <c r="N662" i="9"/>
  <c r="O650" i="9"/>
  <c r="N650" i="9"/>
  <c r="O638" i="9"/>
  <c r="N638" i="9"/>
  <c r="O626" i="9"/>
  <c r="N626" i="9"/>
  <c r="O614" i="9"/>
  <c r="N614" i="9"/>
  <c r="O602" i="9"/>
  <c r="N602" i="9"/>
  <c r="O590" i="9"/>
  <c r="N590" i="9"/>
  <c r="O578" i="9"/>
  <c r="N578" i="9"/>
  <c r="O566" i="9"/>
  <c r="N566" i="9"/>
  <c r="O554" i="9"/>
  <c r="N554" i="9"/>
  <c r="O542" i="9"/>
  <c r="N542" i="9"/>
  <c r="O530" i="9"/>
  <c r="N530" i="9"/>
  <c r="O518" i="9"/>
  <c r="N518" i="9"/>
  <c r="O506" i="9"/>
  <c r="N506" i="9"/>
  <c r="S1384" i="9"/>
  <c r="O1384" i="9"/>
  <c r="N1384" i="9"/>
  <c r="S1396" i="9"/>
  <c r="O1396" i="9"/>
  <c r="N1396" i="9"/>
  <c r="J1386" i="9"/>
  <c r="O1389" i="9"/>
  <c r="N1389" i="9"/>
  <c r="O1368" i="9"/>
  <c r="N1368" i="9"/>
  <c r="O1356" i="9"/>
  <c r="N1356" i="9"/>
  <c r="O1344" i="9"/>
  <c r="N1344" i="9"/>
  <c r="O1332" i="9"/>
  <c r="N1332" i="9"/>
  <c r="O1320" i="9"/>
  <c r="N1320" i="9"/>
  <c r="O1308" i="9"/>
  <c r="N1308" i="9"/>
  <c r="O1296" i="9"/>
  <c r="N1296" i="9"/>
  <c r="O1284" i="9"/>
  <c r="N1284" i="9"/>
  <c r="O1272" i="9"/>
  <c r="N1272" i="9"/>
  <c r="O1260" i="9"/>
  <c r="N1260" i="9"/>
  <c r="O1249" i="9"/>
  <c r="N1249" i="9"/>
  <c r="O1237" i="9"/>
  <c r="N1237" i="9"/>
  <c r="O1225" i="9"/>
  <c r="N1225" i="9"/>
  <c r="O1213" i="9"/>
  <c r="N1213" i="9"/>
  <c r="O1201" i="9"/>
  <c r="N1201" i="9"/>
  <c r="O1189" i="9"/>
  <c r="N1189" i="9"/>
  <c r="O1177" i="9"/>
  <c r="N1177" i="9"/>
  <c r="O1165" i="9"/>
  <c r="N1165" i="9"/>
  <c r="O1153" i="9"/>
  <c r="N1153" i="9"/>
  <c r="O1141" i="9"/>
  <c r="N1141" i="9"/>
  <c r="O1129" i="9"/>
  <c r="N1129" i="9"/>
  <c r="O1117" i="9"/>
  <c r="N1117" i="9"/>
  <c r="O1105" i="9"/>
  <c r="N1105" i="9"/>
  <c r="O1093" i="9"/>
  <c r="N1093" i="9"/>
  <c r="O1081" i="9"/>
  <c r="N1081" i="9"/>
  <c r="O1069" i="9"/>
  <c r="N1069" i="9"/>
  <c r="O1057" i="9"/>
  <c r="N1057" i="9"/>
  <c r="O1045" i="9"/>
  <c r="N1045" i="9"/>
  <c r="O1033" i="9"/>
  <c r="N1033" i="9"/>
  <c r="O1021" i="9"/>
  <c r="N1021" i="9"/>
  <c r="O1009" i="9"/>
  <c r="N1009" i="9"/>
  <c r="O997" i="9"/>
  <c r="O985" i="9"/>
  <c r="N985" i="9"/>
  <c r="O973" i="9"/>
  <c r="O961" i="9"/>
  <c r="N961" i="9"/>
  <c r="O949" i="9"/>
  <c r="N949" i="9"/>
  <c r="O937" i="9"/>
  <c r="O925" i="9"/>
  <c r="N925" i="9"/>
  <c r="O913" i="9"/>
  <c r="N913" i="9"/>
  <c r="O901" i="9"/>
  <c r="O889" i="9"/>
  <c r="N889" i="9"/>
  <c r="O877" i="9"/>
  <c r="N877" i="9"/>
  <c r="O865" i="9"/>
  <c r="O853" i="9"/>
  <c r="N853" i="9"/>
  <c r="O841" i="9"/>
  <c r="N841" i="9"/>
  <c r="O829" i="9"/>
  <c r="N829" i="9"/>
  <c r="O817" i="9"/>
  <c r="N817" i="9"/>
  <c r="O805" i="9"/>
  <c r="O793" i="9"/>
  <c r="N793" i="9"/>
  <c r="O781" i="9"/>
  <c r="N781" i="9"/>
  <c r="O769" i="9"/>
  <c r="N769" i="9"/>
  <c r="O757" i="9"/>
  <c r="N757" i="9"/>
  <c r="O745" i="9"/>
  <c r="N745" i="9"/>
  <c r="O733" i="9"/>
  <c r="N733" i="9"/>
  <c r="O721" i="9"/>
  <c r="N721" i="9"/>
  <c r="O709" i="9"/>
  <c r="N709" i="9"/>
  <c r="O697" i="9"/>
  <c r="O685" i="9"/>
  <c r="N685" i="9"/>
  <c r="O673" i="9"/>
  <c r="N673" i="9"/>
  <c r="O661" i="9"/>
  <c r="N661" i="9"/>
  <c r="O649" i="9"/>
  <c r="N649" i="9"/>
  <c r="O637" i="9"/>
  <c r="N637" i="9"/>
  <c r="O625" i="9"/>
  <c r="N625" i="9"/>
  <c r="O613" i="9"/>
  <c r="N613" i="9"/>
  <c r="O601" i="9"/>
  <c r="N601" i="9"/>
  <c r="O589" i="9"/>
  <c r="N589" i="9"/>
  <c r="O577" i="9"/>
  <c r="N577" i="9"/>
  <c r="O565" i="9"/>
  <c r="N565" i="9"/>
  <c r="O553" i="9"/>
  <c r="N553" i="9"/>
  <c r="O541" i="9"/>
  <c r="N541" i="9"/>
  <c r="O529" i="9"/>
  <c r="N529" i="9"/>
  <c r="O517" i="9"/>
  <c r="N517" i="9"/>
  <c r="O505" i="9"/>
  <c r="N505" i="9"/>
  <c r="J1397" i="9"/>
  <c r="J989" i="9"/>
  <c r="J977" i="9"/>
  <c r="J941" i="9"/>
  <c r="J905" i="9"/>
  <c r="J869" i="9"/>
  <c r="J809" i="9"/>
  <c r="N697" i="9"/>
  <c r="O1185" i="9"/>
  <c r="N1185" i="9"/>
  <c r="O1173" i="9"/>
  <c r="N1173" i="9"/>
  <c r="O1161" i="9"/>
  <c r="N1161" i="9"/>
  <c r="O1149" i="9"/>
  <c r="N1149" i="9"/>
  <c r="O1137" i="9"/>
  <c r="N1137" i="9"/>
  <c r="O1125" i="9"/>
  <c r="N1125" i="9"/>
  <c r="O1113" i="9"/>
  <c r="N1113" i="9"/>
  <c r="O1101" i="9"/>
  <c r="N1101" i="9"/>
  <c r="O1089" i="9"/>
  <c r="N1089" i="9"/>
  <c r="O1077" i="9"/>
  <c r="N1077" i="9"/>
  <c r="O1065" i="9"/>
  <c r="N1065" i="9"/>
  <c r="O1053" i="9"/>
  <c r="N1053" i="9"/>
  <c r="O1041" i="9"/>
  <c r="N1041" i="9"/>
  <c r="O1029" i="9"/>
  <c r="N1029" i="9"/>
  <c r="O1017" i="9"/>
  <c r="N1017" i="9"/>
  <c r="O1005" i="9"/>
  <c r="N1005" i="9"/>
  <c r="O993" i="9"/>
  <c r="N993" i="9"/>
  <c r="N981" i="9"/>
  <c r="O981" i="9"/>
  <c r="O969" i="9"/>
  <c r="N969" i="9"/>
  <c r="O957" i="9"/>
  <c r="N957" i="9"/>
  <c r="O945" i="9"/>
  <c r="N945" i="9"/>
  <c r="O933" i="9"/>
  <c r="N933" i="9"/>
  <c r="N921" i="9"/>
  <c r="O921" i="9"/>
  <c r="O909" i="9"/>
  <c r="N909" i="9"/>
  <c r="N897" i="9"/>
  <c r="O897" i="9"/>
  <c r="N885" i="9"/>
  <c r="O885" i="9"/>
  <c r="O873" i="9"/>
  <c r="N873" i="9"/>
  <c r="O861" i="9"/>
  <c r="N861" i="9"/>
  <c r="O849" i="9"/>
  <c r="N849" i="9"/>
  <c r="O837" i="9"/>
  <c r="N837" i="9"/>
  <c r="O825" i="9"/>
  <c r="N825" i="9"/>
  <c r="O813" i="9"/>
  <c r="N813" i="9"/>
  <c r="O801" i="9"/>
  <c r="N801" i="9"/>
  <c r="O789" i="9"/>
  <c r="N789" i="9"/>
  <c r="O777" i="9"/>
  <c r="N777" i="9"/>
  <c r="O765" i="9"/>
  <c r="N765" i="9"/>
  <c r="O753" i="9"/>
  <c r="N753" i="9"/>
  <c r="O741" i="9"/>
  <c r="N741" i="9"/>
  <c r="O729" i="9"/>
  <c r="O717" i="9"/>
  <c r="N717" i="9"/>
  <c r="N705" i="9"/>
  <c r="O705" i="9"/>
  <c r="O693" i="9"/>
  <c r="N693" i="9"/>
  <c r="O681" i="9"/>
  <c r="N681" i="9"/>
  <c r="O669" i="9"/>
  <c r="N669" i="9"/>
  <c r="O657" i="9"/>
  <c r="N657" i="9"/>
  <c r="O645" i="9"/>
  <c r="N645" i="9"/>
  <c r="O633" i="9"/>
  <c r="N633" i="9"/>
  <c r="O621" i="9"/>
  <c r="N621" i="9"/>
  <c r="O609" i="9"/>
  <c r="N609" i="9"/>
  <c r="O597" i="9"/>
  <c r="N597" i="9"/>
  <c r="O585" i="9"/>
  <c r="N585" i="9"/>
  <c r="O573" i="9"/>
  <c r="N573" i="9"/>
  <c r="O561" i="9"/>
  <c r="N561" i="9"/>
  <c r="O549" i="9"/>
  <c r="N549" i="9"/>
  <c r="O537" i="9"/>
  <c r="N537" i="9"/>
  <c r="O525" i="9"/>
  <c r="N525" i="9"/>
  <c r="O513" i="9"/>
  <c r="N513" i="9"/>
  <c r="O501" i="9"/>
  <c r="N501" i="9"/>
  <c r="J1369" i="9"/>
  <c r="J1357" i="9"/>
  <c r="J1345" i="9"/>
  <c r="J1333" i="9"/>
  <c r="J1321" i="9"/>
  <c r="J1309" i="9"/>
  <c r="J1297" i="9"/>
  <c r="J1285" i="9"/>
  <c r="J1273" i="9"/>
  <c r="J1261" i="9"/>
  <c r="J1249" i="9"/>
  <c r="J1237" i="9"/>
  <c r="J1225" i="9"/>
  <c r="J1213" i="9"/>
  <c r="J1201" i="9"/>
  <c r="J1189" i="9"/>
  <c r="J1177" i="9"/>
  <c r="J1165" i="9"/>
  <c r="J1153" i="9"/>
  <c r="J1141" i="9"/>
  <c r="J1129" i="9"/>
  <c r="J1117" i="9"/>
  <c r="J1105" i="9"/>
  <c r="J1093" i="9"/>
  <c r="J1081" i="9"/>
  <c r="J1069" i="9"/>
  <c r="J1057" i="9"/>
  <c r="J1045" i="9"/>
  <c r="J1033" i="9"/>
  <c r="J1021" i="9"/>
  <c r="J1009" i="9"/>
  <c r="J997" i="9"/>
  <c r="J985" i="9"/>
  <c r="J973" i="9"/>
  <c r="J961" i="9"/>
  <c r="J949" i="9"/>
  <c r="J937" i="9"/>
  <c r="J925" i="9"/>
  <c r="J913" i="9"/>
  <c r="J901" i="9"/>
  <c r="J889" i="9"/>
  <c r="J877" i="9"/>
  <c r="J865" i="9"/>
  <c r="J853" i="9"/>
  <c r="J841" i="9"/>
  <c r="J829" i="9"/>
  <c r="J817" i="9"/>
  <c r="J805" i="9"/>
  <c r="J793" i="9"/>
  <c r="J781" i="9"/>
  <c r="J769" i="9"/>
  <c r="J757" i="9"/>
  <c r="J745" i="9"/>
  <c r="J733" i="9"/>
  <c r="J721" i="9"/>
  <c r="J709" i="9"/>
  <c r="J697" i="9"/>
  <c r="J685" i="9"/>
  <c r="J673" i="9"/>
  <c r="J661" i="9"/>
  <c r="J649" i="9"/>
  <c r="J637" i="9"/>
  <c r="J625" i="9"/>
  <c r="J613" i="9"/>
  <c r="J601" i="9"/>
  <c r="J589" i="9"/>
  <c r="J577" i="9"/>
  <c r="J565" i="9"/>
  <c r="J553" i="9"/>
  <c r="J541" i="9"/>
  <c r="J529" i="9"/>
  <c r="J517" i="9"/>
  <c r="J505" i="9"/>
  <c r="N959" i="9"/>
  <c r="N887" i="9"/>
  <c r="O1366" i="9"/>
  <c r="N1366" i="9"/>
  <c r="O1330" i="9"/>
  <c r="N1330" i="9"/>
  <c r="O1282" i="9"/>
  <c r="N1282" i="9"/>
  <c r="O1258" i="9"/>
  <c r="N1258" i="9"/>
  <c r="O1211" i="9"/>
  <c r="N1211" i="9"/>
  <c r="O1175" i="9"/>
  <c r="N1175" i="9"/>
  <c r="O1139" i="9"/>
  <c r="N1139" i="9"/>
  <c r="O1103" i="9"/>
  <c r="N1103" i="9"/>
  <c r="O1055" i="9"/>
  <c r="N1055" i="9"/>
  <c r="O1007" i="9"/>
  <c r="N1007" i="9"/>
  <c r="O971" i="9"/>
  <c r="N971" i="9"/>
  <c r="O923" i="9"/>
  <c r="O875" i="9"/>
  <c r="N875" i="9"/>
  <c r="O851" i="9"/>
  <c r="N851" i="9"/>
  <c r="O803" i="9"/>
  <c r="N803" i="9"/>
  <c r="O743" i="9"/>
  <c r="N743" i="9"/>
  <c r="O695" i="9"/>
  <c r="N695" i="9"/>
  <c r="O659" i="9"/>
  <c r="N659" i="9"/>
  <c r="O623" i="9"/>
  <c r="N623" i="9"/>
  <c r="O587" i="9"/>
  <c r="N587" i="9"/>
  <c r="O551" i="9"/>
  <c r="N551" i="9"/>
  <c r="O503" i="9"/>
  <c r="N503" i="9"/>
  <c r="O1365" i="9"/>
  <c r="N1365" i="9"/>
  <c r="O1317" i="9"/>
  <c r="N1317" i="9"/>
  <c r="O1281" i="9"/>
  <c r="N1281" i="9"/>
  <c r="O1246" i="9"/>
  <c r="N1246" i="9"/>
  <c r="O1210" i="9"/>
  <c r="N1210" i="9"/>
  <c r="O1174" i="9"/>
  <c r="N1174" i="9"/>
  <c r="O1126" i="9"/>
  <c r="N1126" i="9"/>
  <c r="O1078" i="9"/>
  <c r="N1078" i="9"/>
  <c r="O1042" i="9"/>
  <c r="N1042" i="9"/>
  <c r="O1006" i="9"/>
  <c r="O958" i="9"/>
  <c r="N958" i="9"/>
  <c r="O910" i="9"/>
  <c r="O850" i="9"/>
  <c r="N850" i="9"/>
  <c r="O814" i="9"/>
  <c r="N814" i="9"/>
  <c r="O778" i="9"/>
  <c r="N778" i="9"/>
  <c r="O742" i="9"/>
  <c r="N742" i="9"/>
  <c r="O694" i="9"/>
  <c r="N694" i="9"/>
  <c r="O670" i="9"/>
  <c r="N670" i="9"/>
  <c r="O622" i="9"/>
  <c r="N622" i="9"/>
  <c r="O562" i="9"/>
  <c r="N562" i="9"/>
  <c r="O526" i="9"/>
  <c r="N526" i="9"/>
  <c r="S1380" i="9"/>
  <c r="O1380" i="9"/>
  <c r="N1380" i="9"/>
  <c r="J1226" i="9"/>
  <c r="J1190" i="9"/>
  <c r="J1154" i="9"/>
  <c r="J1106" i="9"/>
  <c r="J1070" i="9"/>
  <c r="J1022" i="9"/>
  <c r="J974" i="9"/>
  <c r="J926" i="9"/>
  <c r="J878" i="9"/>
  <c r="J830" i="9"/>
  <c r="J770" i="9"/>
  <c r="J722" i="9"/>
  <c r="J674" i="9"/>
  <c r="J626" i="9"/>
  <c r="J578" i="9"/>
  <c r="J530" i="9"/>
  <c r="N995" i="9"/>
  <c r="N946" i="9"/>
  <c r="O1400" i="9"/>
  <c r="N1400" i="9"/>
  <c r="O1340" i="9"/>
  <c r="N1340" i="9"/>
  <c r="O1316" i="9"/>
  <c r="N1316" i="9"/>
  <c r="O1292" i="9"/>
  <c r="N1292" i="9"/>
  <c r="O1268" i="9"/>
  <c r="N1268" i="9"/>
  <c r="O1257" i="9"/>
  <c r="N1257" i="9"/>
  <c r="O1209" i="9"/>
  <c r="N1209" i="9"/>
  <c r="O1399" i="9"/>
  <c r="N1399" i="9"/>
  <c r="O1375" i="9"/>
  <c r="N1375" i="9"/>
  <c r="O1363" i="9"/>
  <c r="N1363" i="9"/>
  <c r="O1351" i="9"/>
  <c r="N1351" i="9"/>
  <c r="O1339" i="9"/>
  <c r="N1339" i="9"/>
  <c r="O1327" i="9"/>
  <c r="N1327" i="9"/>
  <c r="O1315" i="9"/>
  <c r="N1315" i="9"/>
  <c r="O1303" i="9"/>
  <c r="N1303" i="9"/>
  <c r="O1291" i="9"/>
  <c r="N1291" i="9"/>
  <c r="O1279" i="9"/>
  <c r="N1279" i="9"/>
  <c r="O1267" i="9"/>
  <c r="N1267" i="9"/>
  <c r="O1256" i="9"/>
  <c r="N1256" i="9"/>
  <c r="O1244" i="9"/>
  <c r="N1244" i="9"/>
  <c r="O1232" i="9"/>
  <c r="N1232" i="9"/>
  <c r="O1220" i="9"/>
  <c r="N1220" i="9"/>
  <c r="N1208" i="9"/>
  <c r="O1196" i="9"/>
  <c r="N1196" i="9"/>
  <c r="O1184" i="9"/>
  <c r="N1184" i="9"/>
  <c r="O1172" i="9"/>
  <c r="N1172" i="9"/>
  <c r="O1160" i="9"/>
  <c r="N1160" i="9"/>
  <c r="O1148" i="9"/>
  <c r="N1148" i="9"/>
  <c r="O1136" i="9"/>
  <c r="N1136" i="9"/>
  <c r="O1124" i="9"/>
  <c r="N1124" i="9"/>
  <c r="O1112" i="9"/>
  <c r="N1112" i="9"/>
  <c r="O1100" i="9"/>
  <c r="N1100" i="9"/>
  <c r="O1088" i="9"/>
  <c r="N1088" i="9"/>
  <c r="O1076" i="9"/>
  <c r="N1076" i="9"/>
  <c r="O1064" i="9"/>
  <c r="N1064" i="9"/>
  <c r="O1052" i="9"/>
  <c r="N1052" i="9"/>
  <c r="O1040" i="9"/>
  <c r="N1040" i="9"/>
  <c r="O1028" i="9"/>
  <c r="N1028" i="9"/>
  <c r="O1016" i="9"/>
  <c r="N1016" i="9"/>
  <c r="O1004" i="9"/>
  <c r="O992" i="9"/>
  <c r="N992" i="9"/>
  <c r="O980" i="9"/>
  <c r="N980" i="9"/>
  <c r="O968" i="9"/>
  <c r="O956" i="9"/>
  <c r="N956" i="9"/>
  <c r="O944" i="9"/>
  <c r="N944" i="9"/>
  <c r="O932" i="9"/>
  <c r="O920" i="9"/>
  <c r="N920" i="9"/>
  <c r="O908" i="9"/>
  <c r="N908" i="9"/>
  <c r="O896" i="9"/>
  <c r="O884" i="9"/>
  <c r="N884" i="9"/>
  <c r="O872" i="9"/>
  <c r="N872" i="9"/>
  <c r="O860" i="9"/>
  <c r="O848" i="9"/>
  <c r="N848" i="9"/>
  <c r="O836" i="9"/>
  <c r="N836" i="9"/>
  <c r="O824" i="9"/>
  <c r="N824" i="9"/>
  <c r="O812" i="9"/>
  <c r="N812" i="9"/>
  <c r="O800" i="9"/>
  <c r="N800" i="9"/>
  <c r="O788" i="9"/>
  <c r="N788" i="9"/>
  <c r="O776" i="9"/>
  <c r="N776" i="9"/>
  <c r="O764" i="9"/>
  <c r="N764" i="9"/>
  <c r="O752" i="9"/>
  <c r="N752" i="9"/>
  <c r="O740" i="9"/>
  <c r="N740" i="9"/>
  <c r="O728" i="9"/>
  <c r="N728" i="9"/>
  <c r="O716" i="9"/>
  <c r="N716" i="9"/>
  <c r="O704" i="9"/>
  <c r="N704" i="9"/>
  <c r="O692" i="9"/>
  <c r="N692" i="9"/>
  <c r="O680" i="9"/>
  <c r="N680" i="9"/>
  <c r="O668" i="9"/>
  <c r="N668" i="9"/>
  <c r="O656" i="9"/>
  <c r="N656" i="9"/>
  <c r="O644" i="9"/>
  <c r="N644" i="9"/>
  <c r="O632" i="9"/>
  <c r="N632" i="9"/>
  <c r="O620" i="9"/>
  <c r="N620" i="9"/>
  <c r="O608" i="9"/>
  <c r="N608" i="9"/>
  <c r="O596" i="9"/>
  <c r="N596" i="9"/>
  <c r="N584" i="9"/>
  <c r="O584" i="9"/>
  <c r="O572" i="9"/>
  <c r="N572" i="9"/>
  <c r="O560" i="9"/>
  <c r="N560" i="9"/>
  <c r="N548" i="9"/>
  <c r="O548" i="9"/>
  <c r="O536" i="9"/>
  <c r="N536" i="9"/>
  <c r="O524" i="9"/>
  <c r="N524" i="9"/>
  <c r="O512" i="9"/>
  <c r="N512" i="9"/>
  <c r="O500" i="9"/>
  <c r="N500" i="9"/>
  <c r="S1381" i="9"/>
  <c r="O1381" i="9"/>
  <c r="N1381" i="9"/>
  <c r="S1387" i="9"/>
  <c r="O1387" i="9"/>
  <c r="N1387" i="9"/>
  <c r="J1380" i="9"/>
  <c r="J1368" i="9"/>
  <c r="J1356" i="9"/>
  <c r="J1344" i="9"/>
  <c r="J1332" i="9"/>
  <c r="J1320" i="9"/>
  <c r="J1308" i="9"/>
  <c r="J1296" i="9"/>
  <c r="J1284" i="9"/>
  <c r="J1272" i="9"/>
  <c r="J1260" i="9"/>
  <c r="N1004" i="9"/>
  <c r="N827" i="9"/>
  <c r="O1342" i="9"/>
  <c r="N1342" i="9"/>
  <c r="O1294" i="9"/>
  <c r="N1294" i="9"/>
  <c r="O1223" i="9"/>
  <c r="N1223" i="9"/>
  <c r="O1163" i="9"/>
  <c r="N1163" i="9"/>
  <c r="O1115" i="9"/>
  <c r="N1115" i="9"/>
  <c r="O1067" i="9"/>
  <c r="N1067" i="9"/>
  <c r="O1031" i="9"/>
  <c r="N1031" i="9"/>
  <c r="O983" i="9"/>
  <c r="N983" i="9"/>
  <c r="O935" i="9"/>
  <c r="N935" i="9"/>
  <c r="O899" i="9"/>
  <c r="N899" i="9"/>
  <c r="O839" i="9"/>
  <c r="N839" i="9"/>
  <c r="O779" i="9"/>
  <c r="N779" i="9"/>
  <c r="N731" i="9"/>
  <c r="O731" i="9"/>
  <c r="O671" i="9"/>
  <c r="N671" i="9"/>
  <c r="O611" i="9"/>
  <c r="N611" i="9"/>
  <c r="O539" i="9"/>
  <c r="N539" i="9"/>
  <c r="O1329" i="9"/>
  <c r="N1329" i="9"/>
  <c r="O1269" i="9"/>
  <c r="N1269" i="9"/>
  <c r="O1198" i="9"/>
  <c r="N1198" i="9"/>
  <c r="O1150" i="9"/>
  <c r="N1150" i="9"/>
  <c r="O1114" i="9"/>
  <c r="N1114" i="9"/>
  <c r="O1054" i="9"/>
  <c r="N1054" i="9"/>
  <c r="O994" i="9"/>
  <c r="N994" i="9"/>
  <c r="O934" i="9"/>
  <c r="N934" i="9"/>
  <c r="O886" i="9"/>
  <c r="N886" i="9"/>
  <c r="O838" i="9"/>
  <c r="N838" i="9"/>
  <c r="O766" i="9"/>
  <c r="N766" i="9"/>
  <c r="O730" i="9"/>
  <c r="N730" i="9"/>
  <c r="O682" i="9"/>
  <c r="N682" i="9"/>
  <c r="O634" i="9"/>
  <c r="N634" i="9"/>
  <c r="O598" i="9"/>
  <c r="N598" i="9"/>
  <c r="O550" i="9"/>
  <c r="N550" i="9"/>
  <c r="O502" i="9"/>
  <c r="N502" i="9"/>
  <c r="J1238" i="9"/>
  <c r="J1178" i="9"/>
  <c r="J1118" i="9"/>
  <c r="J1058" i="9"/>
  <c r="J998" i="9"/>
  <c r="J950" i="9"/>
  <c r="J902" i="9"/>
  <c r="J854" i="9"/>
  <c r="J806" i="9"/>
  <c r="J758" i="9"/>
  <c r="J710" i="9"/>
  <c r="J662" i="9"/>
  <c r="J614" i="9"/>
  <c r="J554" i="9"/>
  <c r="J506" i="9"/>
  <c r="O1364" i="9"/>
  <c r="N1364" i="9"/>
  <c r="O1233" i="9"/>
  <c r="N1233" i="9"/>
  <c r="O1398" i="9"/>
  <c r="N1398" i="9"/>
  <c r="O1374" i="9"/>
  <c r="N1374" i="9"/>
  <c r="O1362" i="9"/>
  <c r="N1362" i="9"/>
  <c r="O1350" i="9"/>
  <c r="N1350" i="9"/>
  <c r="O1338" i="9"/>
  <c r="N1338" i="9"/>
  <c r="O1326" i="9"/>
  <c r="N1326" i="9"/>
  <c r="O1314" i="9"/>
  <c r="N1314" i="9"/>
  <c r="O1302" i="9"/>
  <c r="N1302" i="9"/>
  <c r="O1290" i="9"/>
  <c r="N1290" i="9"/>
  <c r="O1278" i="9"/>
  <c r="N1278" i="9"/>
  <c r="O1266" i="9"/>
  <c r="N1266" i="9"/>
  <c r="O1255" i="9"/>
  <c r="N1255" i="9"/>
  <c r="O1243" i="9"/>
  <c r="N1243" i="9"/>
  <c r="O1231" i="9"/>
  <c r="N1231" i="9"/>
  <c r="O1219" i="9"/>
  <c r="N1219" i="9"/>
  <c r="N1207" i="9"/>
  <c r="O1195" i="9"/>
  <c r="N1195" i="9"/>
  <c r="O1183" i="9"/>
  <c r="N1183" i="9"/>
  <c r="O1171" i="9"/>
  <c r="N1171" i="9"/>
  <c r="O1159" i="9"/>
  <c r="N1159" i="9"/>
  <c r="O1147" i="9"/>
  <c r="N1147" i="9"/>
  <c r="O1135" i="9"/>
  <c r="N1135" i="9"/>
  <c r="O1123" i="9"/>
  <c r="N1123" i="9"/>
  <c r="O1111" i="9"/>
  <c r="N1111" i="9"/>
  <c r="O1099" i="9"/>
  <c r="N1099" i="9"/>
  <c r="O1087" i="9"/>
  <c r="N1087" i="9"/>
  <c r="O1075" i="9"/>
  <c r="N1075" i="9"/>
  <c r="O1063" i="9"/>
  <c r="N1063" i="9"/>
  <c r="O1051" i="9"/>
  <c r="N1051" i="9"/>
  <c r="O1039" i="9"/>
  <c r="N1039" i="9"/>
  <c r="O1027" i="9"/>
  <c r="N1027" i="9"/>
  <c r="O1015" i="9"/>
  <c r="N1015" i="9"/>
  <c r="O1003" i="9"/>
  <c r="O991" i="9"/>
  <c r="N991" i="9"/>
  <c r="O979" i="9"/>
  <c r="N979" i="9"/>
  <c r="O967" i="9"/>
  <c r="N967" i="9"/>
  <c r="O955" i="9"/>
  <c r="O943" i="9"/>
  <c r="N943" i="9"/>
  <c r="O931" i="9"/>
  <c r="N931" i="9"/>
  <c r="O919" i="9"/>
  <c r="O907" i="9"/>
  <c r="N907" i="9"/>
  <c r="O895" i="9"/>
  <c r="N895" i="9"/>
  <c r="O883" i="9"/>
  <c r="O871" i="9"/>
  <c r="N871" i="9"/>
  <c r="O859" i="9"/>
  <c r="N859" i="9"/>
  <c r="O847" i="9"/>
  <c r="N847" i="9"/>
  <c r="O835" i="9"/>
  <c r="N835" i="9"/>
  <c r="O823" i="9"/>
  <c r="N823" i="9"/>
  <c r="O811" i="9"/>
  <c r="N811" i="9"/>
  <c r="O799" i="9"/>
  <c r="N799" i="9"/>
  <c r="O787" i="9"/>
  <c r="O775" i="9"/>
  <c r="N775" i="9"/>
  <c r="O763" i="9"/>
  <c r="N763" i="9"/>
  <c r="O751" i="9"/>
  <c r="N751" i="9"/>
  <c r="O739" i="9"/>
  <c r="N739" i="9"/>
  <c r="O727" i="9"/>
  <c r="N727" i="9"/>
  <c r="O715" i="9"/>
  <c r="N715" i="9"/>
  <c r="O703" i="9"/>
  <c r="N703" i="9"/>
  <c r="O691" i="9"/>
  <c r="N691" i="9"/>
  <c r="O679" i="9"/>
  <c r="O667" i="9"/>
  <c r="N667" i="9"/>
  <c r="O655" i="9"/>
  <c r="N655" i="9"/>
  <c r="O643" i="9"/>
  <c r="N643" i="9"/>
  <c r="O631" i="9"/>
  <c r="N631" i="9"/>
  <c r="O619" i="9"/>
  <c r="N619" i="9"/>
  <c r="O607" i="9"/>
  <c r="N607" i="9"/>
  <c r="O595" i="9"/>
  <c r="N595" i="9"/>
  <c r="O583" i="9"/>
  <c r="N583" i="9"/>
  <c r="O571" i="9"/>
  <c r="N571" i="9"/>
  <c r="O559" i="9"/>
  <c r="N559" i="9"/>
  <c r="O547" i="9"/>
  <c r="N547" i="9"/>
  <c r="O535" i="9"/>
  <c r="N535" i="9"/>
  <c r="O523" i="9"/>
  <c r="N523" i="9"/>
  <c r="O511" i="9"/>
  <c r="N511" i="9"/>
  <c r="O499" i="9"/>
  <c r="N499" i="9"/>
  <c r="J1235" i="9"/>
  <c r="J1223" i="9"/>
  <c r="J1211" i="9"/>
  <c r="J1175" i="9"/>
  <c r="J1163" i="9"/>
  <c r="J1139" i="9"/>
  <c r="J1115" i="9"/>
  <c r="J1103" i="9"/>
  <c r="J1067" i="9"/>
  <c r="J1055" i="9"/>
  <c r="J1031" i="9"/>
  <c r="J1007" i="9"/>
  <c r="J983" i="9"/>
  <c r="J971" i="9"/>
  <c r="J935" i="9"/>
  <c r="J923" i="9"/>
  <c r="J899" i="9"/>
  <c r="J875" i="9"/>
  <c r="J851" i="9"/>
  <c r="J839" i="9"/>
  <c r="J827" i="9"/>
  <c r="J803" i="9"/>
  <c r="J779" i="9"/>
  <c r="J743" i="9"/>
  <c r="J731" i="9"/>
  <c r="J695" i="9"/>
  <c r="J683" i="9"/>
  <c r="J671" i="9"/>
  <c r="J659" i="9"/>
  <c r="J623" i="9"/>
  <c r="J611" i="9"/>
  <c r="J587" i="9"/>
  <c r="J551" i="9"/>
  <c r="J539" i="9"/>
  <c r="J503" i="9"/>
  <c r="N805" i="9"/>
  <c r="O1378" i="9"/>
  <c r="N1378" i="9"/>
  <c r="O1306" i="9"/>
  <c r="N1306" i="9"/>
  <c r="O1247" i="9"/>
  <c r="N1247" i="9"/>
  <c r="O1199" i="9"/>
  <c r="N1199" i="9"/>
  <c r="O1151" i="9"/>
  <c r="N1151" i="9"/>
  <c r="O1079" i="9"/>
  <c r="N1079" i="9"/>
  <c r="O1019" i="9"/>
  <c r="N1019" i="9"/>
  <c r="O959" i="9"/>
  <c r="O887" i="9"/>
  <c r="O815" i="9"/>
  <c r="O767" i="9"/>
  <c r="N767" i="9"/>
  <c r="O707" i="9"/>
  <c r="N707" i="9"/>
  <c r="O647" i="9"/>
  <c r="N647" i="9"/>
  <c r="O575" i="9"/>
  <c r="N575" i="9"/>
  <c r="O515" i="9"/>
  <c r="N515" i="9"/>
  <c r="O1353" i="9"/>
  <c r="N1353" i="9"/>
  <c r="O1305" i="9"/>
  <c r="N1305" i="9"/>
  <c r="O1234" i="9"/>
  <c r="N1234" i="9"/>
  <c r="O1162" i="9"/>
  <c r="N1162" i="9"/>
  <c r="O1090" i="9"/>
  <c r="N1090" i="9"/>
  <c r="O1030" i="9"/>
  <c r="N1030" i="9"/>
  <c r="O970" i="9"/>
  <c r="N970" i="9"/>
  <c r="O922" i="9"/>
  <c r="N922" i="9"/>
  <c r="O874" i="9"/>
  <c r="O802" i="9"/>
  <c r="N802" i="9"/>
  <c r="O718" i="9"/>
  <c r="N718" i="9"/>
  <c r="O658" i="9"/>
  <c r="N658" i="9"/>
  <c r="O586" i="9"/>
  <c r="N586" i="9"/>
  <c r="O514" i="9"/>
  <c r="N514" i="9"/>
  <c r="S1386" i="9"/>
  <c r="O1386" i="9"/>
  <c r="N1386" i="9"/>
  <c r="J1202" i="9"/>
  <c r="J1142" i="9"/>
  <c r="J1082" i="9"/>
  <c r="J1034" i="9"/>
  <c r="J986" i="9"/>
  <c r="J938" i="9"/>
  <c r="J890" i="9"/>
  <c r="J842" i="9"/>
  <c r="J794" i="9"/>
  <c r="J746" i="9"/>
  <c r="J698" i="9"/>
  <c r="J650" i="9"/>
  <c r="J602" i="9"/>
  <c r="J566" i="9"/>
  <c r="J518" i="9"/>
  <c r="O1352" i="9"/>
  <c r="N1352" i="9"/>
  <c r="O1221" i="9"/>
  <c r="N1221" i="9"/>
  <c r="O1394" i="9"/>
  <c r="N1394" i="9"/>
  <c r="O1373" i="9"/>
  <c r="N1373" i="9"/>
  <c r="O1361" i="9"/>
  <c r="N1361" i="9"/>
  <c r="O1349" i="9"/>
  <c r="N1349" i="9"/>
  <c r="O1337" i="9"/>
  <c r="N1337" i="9"/>
  <c r="O1325" i="9"/>
  <c r="N1325" i="9"/>
  <c r="O1313" i="9"/>
  <c r="N1313" i="9"/>
  <c r="O1301" i="9"/>
  <c r="N1301" i="9"/>
  <c r="O1289" i="9"/>
  <c r="N1289" i="9"/>
  <c r="O1277" i="9"/>
  <c r="N1277" i="9"/>
  <c r="O1265" i="9"/>
  <c r="N1265" i="9"/>
  <c r="O1254" i="9"/>
  <c r="N1254" i="9"/>
  <c r="O1242" i="9"/>
  <c r="N1242" i="9"/>
  <c r="O1230" i="9"/>
  <c r="N1230" i="9"/>
  <c r="O1218" i="9"/>
  <c r="N1218" i="9"/>
  <c r="O1206" i="9"/>
  <c r="N1206" i="9"/>
  <c r="O1194" i="9"/>
  <c r="N1194" i="9"/>
  <c r="O1182" i="9"/>
  <c r="N1182" i="9"/>
  <c r="O1170" i="9"/>
  <c r="N1170" i="9"/>
  <c r="O1158" i="9"/>
  <c r="N1158" i="9"/>
  <c r="O1146" i="9"/>
  <c r="N1146" i="9"/>
  <c r="O1134" i="9"/>
  <c r="N1134" i="9"/>
  <c r="O1122" i="9"/>
  <c r="N1122" i="9"/>
  <c r="O1110" i="9"/>
  <c r="N1110" i="9"/>
  <c r="O1098" i="9"/>
  <c r="N1098" i="9"/>
  <c r="O1086" i="9"/>
  <c r="N1086" i="9"/>
  <c r="O1074" i="9"/>
  <c r="N1074" i="9"/>
  <c r="O1062" i="9"/>
  <c r="N1062" i="9"/>
  <c r="N1050" i="9"/>
  <c r="O1050" i="9"/>
  <c r="O1038" i="9"/>
  <c r="N1038" i="9"/>
  <c r="N1026" i="9"/>
  <c r="O1026" i="9"/>
  <c r="O1014" i="9"/>
  <c r="N1014" i="9"/>
  <c r="O1002" i="9"/>
  <c r="N1002" i="9"/>
  <c r="O990" i="9"/>
  <c r="N990" i="9"/>
  <c r="O978" i="9"/>
  <c r="N978" i="9"/>
  <c r="O966" i="9"/>
  <c r="N966" i="9"/>
  <c r="O954" i="9"/>
  <c r="N954" i="9"/>
  <c r="O942" i="9"/>
  <c r="N942" i="9"/>
  <c r="O930" i="9"/>
  <c r="N930" i="9"/>
  <c r="O918" i="9"/>
  <c r="N918" i="9"/>
  <c r="O906" i="9"/>
  <c r="N906" i="9"/>
  <c r="O894" i="9"/>
  <c r="N894" i="9"/>
  <c r="O882" i="9"/>
  <c r="N882" i="9"/>
  <c r="O870" i="9"/>
  <c r="N870" i="9"/>
  <c r="O858" i="9"/>
  <c r="N858" i="9"/>
  <c r="O846" i="9"/>
  <c r="N846" i="9"/>
  <c r="O834" i="9"/>
  <c r="N834" i="9"/>
  <c r="O822" i="9"/>
  <c r="N822" i="9"/>
  <c r="O810" i="9"/>
  <c r="N810" i="9"/>
  <c r="O798" i="9"/>
  <c r="N798" i="9"/>
  <c r="O786" i="9"/>
  <c r="N786" i="9"/>
  <c r="O774" i="9"/>
  <c r="N774" i="9"/>
  <c r="O762" i="9"/>
  <c r="N762" i="9"/>
  <c r="O750" i="9"/>
  <c r="N750" i="9"/>
  <c r="O738" i="9"/>
  <c r="N738" i="9"/>
  <c r="O726" i="9"/>
  <c r="N726" i="9"/>
  <c r="O714" i="9"/>
  <c r="N714" i="9"/>
  <c r="O702" i="9"/>
  <c r="O690" i="9"/>
  <c r="N690" i="9"/>
  <c r="O678" i="9"/>
  <c r="N678" i="9"/>
  <c r="O666" i="9"/>
  <c r="N666" i="9"/>
  <c r="O654" i="9"/>
  <c r="N654" i="9"/>
  <c r="O642" i="9"/>
  <c r="N642" i="9"/>
  <c r="O630" i="9"/>
  <c r="N630" i="9"/>
  <c r="O618" i="9"/>
  <c r="N618" i="9"/>
  <c r="O606" i="9"/>
  <c r="N606" i="9"/>
  <c r="O594" i="9"/>
  <c r="N594" i="9"/>
  <c r="O582" i="9"/>
  <c r="N582" i="9"/>
  <c r="O570" i="9"/>
  <c r="N570" i="9"/>
  <c r="O558" i="9"/>
  <c r="N558" i="9"/>
  <c r="O546" i="9"/>
  <c r="N546" i="9"/>
  <c r="O534" i="9"/>
  <c r="N534" i="9"/>
  <c r="O522" i="9"/>
  <c r="N522" i="9"/>
  <c r="O510" i="9"/>
  <c r="N510" i="9"/>
  <c r="O498" i="9"/>
  <c r="N498" i="9"/>
  <c r="S1382" i="9"/>
  <c r="O1382" i="9"/>
  <c r="N1382" i="9"/>
  <c r="S1388" i="9"/>
  <c r="O1388" i="9"/>
  <c r="N1388" i="9"/>
  <c r="J1390" i="9"/>
  <c r="J1378" i="9"/>
  <c r="J1366" i="9"/>
  <c r="J1342" i="9"/>
  <c r="J1330" i="9"/>
  <c r="J1306" i="9"/>
  <c r="J1294" i="9"/>
  <c r="J1282" i="9"/>
  <c r="J1258" i="9"/>
  <c r="J1246" i="9"/>
  <c r="J1234" i="9"/>
  <c r="J1210" i="9"/>
  <c r="J1198" i="9"/>
  <c r="J1174" i="9"/>
  <c r="J1162" i="9"/>
  <c r="J1150" i="9"/>
  <c r="J1126" i="9"/>
  <c r="J1114" i="9"/>
  <c r="J1090" i="9"/>
  <c r="J1078" i="9"/>
  <c r="J1054" i="9"/>
  <c r="J1042" i="9"/>
  <c r="J1030" i="9"/>
  <c r="J1006" i="9"/>
  <c r="J994" i="9"/>
  <c r="J970" i="9"/>
  <c r="J958" i="9"/>
  <c r="J934" i="9"/>
  <c r="J922" i="9"/>
  <c r="J910" i="9"/>
  <c r="J886" i="9"/>
  <c r="J874" i="9"/>
  <c r="J850" i="9"/>
  <c r="J838" i="9"/>
  <c r="J814" i="9"/>
  <c r="J802" i="9"/>
  <c r="J778" i="9"/>
  <c r="J766" i="9"/>
  <c r="J742" i="9"/>
  <c r="J730" i="9"/>
  <c r="J718" i="9"/>
  <c r="J694" i="9"/>
  <c r="J682" i="9"/>
  <c r="J670" i="9"/>
  <c r="J658" i="9"/>
  <c r="J634" i="9"/>
  <c r="J622" i="9"/>
  <c r="J598" i="9"/>
  <c r="J586" i="9"/>
  <c r="J562" i="9"/>
  <c r="J550" i="9"/>
  <c r="J526" i="9"/>
  <c r="J514" i="9"/>
  <c r="J502" i="9"/>
  <c r="N1003" i="9"/>
  <c r="O1208" i="9"/>
  <c r="S1397" i="9"/>
  <c r="O1397" i="9"/>
  <c r="N1397" i="9"/>
  <c r="O1354" i="9"/>
  <c r="N1354" i="9"/>
  <c r="O1318" i="9"/>
  <c r="N1318" i="9"/>
  <c r="O1270" i="9"/>
  <c r="N1270" i="9"/>
  <c r="O1235" i="9"/>
  <c r="N1235" i="9"/>
  <c r="O1187" i="9"/>
  <c r="N1187" i="9"/>
  <c r="O1127" i="9"/>
  <c r="N1127" i="9"/>
  <c r="O1091" i="9"/>
  <c r="N1091" i="9"/>
  <c r="O1043" i="9"/>
  <c r="N1043" i="9"/>
  <c r="O995" i="9"/>
  <c r="O947" i="9"/>
  <c r="N947" i="9"/>
  <c r="O911" i="9"/>
  <c r="N911" i="9"/>
  <c r="O863" i="9"/>
  <c r="N863" i="9"/>
  <c r="O827" i="9"/>
  <c r="O791" i="9"/>
  <c r="N791" i="9"/>
  <c r="O755" i="9"/>
  <c r="N755" i="9"/>
  <c r="O719" i="9"/>
  <c r="N719" i="9"/>
  <c r="O683" i="9"/>
  <c r="N683" i="9"/>
  <c r="O635" i="9"/>
  <c r="N635" i="9"/>
  <c r="O599" i="9"/>
  <c r="N599" i="9"/>
  <c r="O563" i="9"/>
  <c r="N563" i="9"/>
  <c r="O527" i="9"/>
  <c r="N527" i="9"/>
  <c r="O1377" i="9"/>
  <c r="N1377" i="9"/>
  <c r="O1341" i="9"/>
  <c r="N1341" i="9"/>
  <c r="O1293" i="9"/>
  <c r="N1293" i="9"/>
  <c r="O1222" i="9"/>
  <c r="N1222" i="9"/>
  <c r="O1186" i="9"/>
  <c r="N1186" i="9"/>
  <c r="O1138" i="9"/>
  <c r="N1138" i="9"/>
  <c r="O1102" i="9"/>
  <c r="N1102" i="9"/>
  <c r="O1066" i="9"/>
  <c r="N1066" i="9"/>
  <c r="O1018" i="9"/>
  <c r="N1018" i="9"/>
  <c r="O982" i="9"/>
  <c r="N982" i="9"/>
  <c r="O946" i="9"/>
  <c r="O898" i="9"/>
  <c r="N898" i="9"/>
  <c r="O862" i="9"/>
  <c r="N862" i="9"/>
  <c r="O826" i="9"/>
  <c r="N826" i="9"/>
  <c r="O790" i="9"/>
  <c r="N790" i="9"/>
  <c r="O754" i="9"/>
  <c r="N754" i="9"/>
  <c r="O706" i="9"/>
  <c r="N706" i="9"/>
  <c r="O646" i="9"/>
  <c r="N646" i="9"/>
  <c r="O610" i="9"/>
  <c r="N610" i="9"/>
  <c r="O574" i="9"/>
  <c r="N574" i="9"/>
  <c r="O538" i="9"/>
  <c r="N538" i="9"/>
  <c r="J1250" i="9"/>
  <c r="J1214" i="9"/>
  <c r="J1166" i="9"/>
  <c r="J1130" i="9"/>
  <c r="J1094" i="9"/>
  <c r="J1046" i="9"/>
  <c r="J1010" i="9"/>
  <c r="J962" i="9"/>
  <c r="J914" i="9"/>
  <c r="J866" i="9"/>
  <c r="J818" i="9"/>
  <c r="J782" i="9"/>
  <c r="J734" i="9"/>
  <c r="J686" i="9"/>
  <c r="J638" i="9"/>
  <c r="J590" i="9"/>
  <c r="J542" i="9"/>
  <c r="N910" i="9"/>
  <c r="N874" i="9"/>
  <c r="O1376" i="9"/>
  <c r="N1376" i="9"/>
  <c r="O1328" i="9"/>
  <c r="N1328" i="9"/>
  <c r="O1304" i="9"/>
  <c r="N1304" i="9"/>
  <c r="O1280" i="9"/>
  <c r="N1280" i="9"/>
  <c r="O1245" i="9"/>
  <c r="N1245" i="9"/>
  <c r="O1393" i="9"/>
  <c r="N1393" i="9"/>
  <c r="O1372" i="9"/>
  <c r="N1372" i="9"/>
  <c r="O1360" i="9"/>
  <c r="N1360" i="9"/>
  <c r="O1348" i="9"/>
  <c r="N1348" i="9"/>
  <c r="O1336" i="9"/>
  <c r="N1336" i="9"/>
  <c r="O1324" i="9"/>
  <c r="N1324" i="9"/>
  <c r="O1312" i="9"/>
  <c r="N1312" i="9"/>
  <c r="O1300" i="9"/>
  <c r="N1300" i="9"/>
  <c r="O1288" i="9"/>
  <c r="N1288" i="9"/>
  <c r="O1276" i="9"/>
  <c r="N1276" i="9"/>
  <c r="O1264" i="9"/>
  <c r="N1264" i="9"/>
  <c r="O1253" i="9"/>
  <c r="N1253" i="9"/>
  <c r="O1241" i="9"/>
  <c r="N1241" i="9"/>
  <c r="O1229" i="9"/>
  <c r="N1229" i="9"/>
  <c r="O1217" i="9"/>
  <c r="N1217" i="9"/>
  <c r="O1205" i="9"/>
  <c r="N1205" i="9"/>
  <c r="O1193" i="9"/>
  <c r="N1193" i="9"/>
  <c r="O1181" i="9"/>
  <c r="N1181" i="9"/>
  <c r="O1169" i="9"/>
  <c r="N1169" i="9"/>
  <c r="O1157" i="9"/>
  <c r="N1157" i="9"/>
  <c r="O1145" i="9"/>
  <c r="N1145" i="9"/>
  <c r="O1133" i="9"/>
  <c r="N1133" i="9"/>
  <c r="O1121" i="9"/>
  <c r="N1121" i="9"/>
  <c r="O1109" i="9"/>
  <c r="N1109" i="9"/>
  <c r="O1097" i="9"/>
  <c r="N1097" i="9"/>
  <c r="O1085" i="9"/>
  <c r="N1085" i="9"/>
  <c r="O1073" i="9"/>
  <c r="N1073" i="9"/>
  <c r="O1061" i="9"/>
  <c r="N1061" i="9"/>
  <c r="O1049" i="9"/>
  <c r="N1049" i="9"/>
  <c r="O1037" i="9"/>
  <c r="N1037" i="9"/>
  <c r="O1025" i="9"/>
  <c r="N1025" i="9"/>
  <c r="O1013" i="9"/>
  <c r="N1013" i="9"/>
  <c r="O1001" i="9"/>
  <c r="N1001" i="9"/>
  <c r="O989" i="9"/>
  <c r="N989" i="9"/>
  <c r="O977" i="9"/>
  <c r="O965" i="9"/>
  <c r="N965" i="9"/>
  <c r="O953" i="9"/>
  <c r="N953" i="9"/>
  <c r="O941" i="9"/>
  <c r="O929" i="9"/>
  <c r="N929" i="9"/>
  <c r="O917" i="9"/>
  <c r="N917" i="9"/>
  <c r="O905" i="9"/>
  <c r="O893" i="9"/>
  <c r="N893" i="9"/>
  <c r="O881" i="9"/>
  <c r="N881" i="9"/>
  <c r="O869" i="9"/>
  <c r="O857" i="9"/>
  <c r="N857" i="9"/>
  <c r="O845" i="9"/>
  <c r="O833" i="9"/>
  <c r="N833" i="9"/>
  <c r="O821" i="9"/>
  <c r="N821" i="9"/>
  <c r="O809" i="9"/>
  <c r="O797" i="9"/>
  <c r="N797" i="9"/>
  <c r="O785" i="9"/>
  <c r="N785" i="9"/>
  <c r="O773" i="9"/>
  <c r="N773" i="9"/>
  <c r="O761" i="9"/>
  <c r="N761" i="9"/>
  <c r="O749" i="9"/>
  <c r="N749" i="9"/>
  <c r="O737" i="9"/>
  <c r="N737" i="9"/>
  <c r="O725" i="9"/>
  <c r="N725" i="9"/>
  <c r="O713" i="9"/>
  <c r="N713" i="9"/>
  <c r="O701" i="9"/>
  <c r="N701" i="9"/>
  <c r="O689" i="9"/>
  <c r="N689" i="9"/>
  <c r="O677" i="9"/>
  <c r="N677" i="9"/>
  <c r="O665" i="9"/>
  <c r="N665" i="9"/>
  <c r="O653" i="9"/>
  <c r="N653" i="9"/>
  <c r="O641" i="9"/>
  <c r="N641" i="9"/>
  <c r="O629" i="9"/>
  <c r="N629" i="9"/>
  <c r="O617" i="9"/>
  <c r="N617" i="9"/>
  <c r="O605" i="9"/>
  <c r="N605" i="9"/>
  <c r="O593" i="9"/>
  <c r="N593" i="9"/>
  <c r="O581" i="9"/>
  <c r="N581" i="9"/>
  <c r="O569" i="9"/>
  <c r="N569" i="9"/>
  <c r="O557" i="9"/>
  <c r="N557" i="9"/>
  <c r="O545" i="9"/>
  <c r="N545" i="9"/>
  <c r="O533" i="9"/>
  <c r="N533" i="9"/>
  <c r="O521" i="9"/>
  <c r="N521" i="9"/>
  <c r="O509" i="9"/>
  <c r="N509" i="9"/>
  <c r="O497" i="9"/>
  <c r="N497" i="9"/>
  <c r="J1389" i="9"/>
  <c r="J1377" i="9"/>
  <c r="J1365" i="9"/>
  <c r="J1353" i="9"/>
  <c r="J1341" i="9"/>
  <c r="J1329" i="9"/>
  <c r="J1317" i="9"/>
  <c r="J1305" i="9"/>
  <c r="J1293" i="9"/>
  <c r="J1281" i="9"/>
  <c r="J1269" i="9"/>
  <c r="J1257" i="9"/>
  <c r="J1245" i="9"/>
  <c r="J1233" i="9"/>
  <c r="J1221" i="9"/>
  <c r="J1209" i="9"/>
  <c r="J1185" i="9"/>
  <c r="J1173" i="9"/>
  <c r="J1161" i="9"/>
  <c r="J1149" i="9"/>
  <c r="J1137" i="9"/>
  <c r="J1125" i="9"/>
  <c r="J1113" i="9"/>
  <c r="J1101" i="9"/>
  <c r="J1089" i="9"/>
  <c r="J1077" i="9"/>
  <c r="J1065" i="9"/>
  <c r="J1053" i="9"/>
  <c r="J1041" i="9"/>
  <c r="J1029" i="9"/>
  <c r="J1017" i="9"/>
  <c r="J1005" i="9"/>
  <c r="J993" i="9"/>
  <c r="J981" i="9"/>
  <c r="J969" i="9"/>
  <c r="J957" i="9"/>
  <c r="J945" i="9"/>
  <c r="J933" i="9"/>
  <c r="J921" i="9"/>
  <c r="J909" i="9"/>
  <c r="J897" i="9"/>
  <c r="J885" i="9"/>
  <c r="J873" i="9"/>
  <c r="J861" i="9"/>
  <c r="J849" i="9"/>
  <c r="J837" i="9"/>
  <c r="J825" i="9"/>
  <c r="J813" i="9"/>
  <c r="J801" i="9"/>
  <c r="J789" i="9"/>
  <c r="J777" i="9"/>
  <c r="J765" i="9"/>
  <c r="J753" i="9"/>
  <c r="J741" i="9"/>
  <c r="J729" i="9"/>
  <c r="J717" i="9"/>
  <c r="J705" i="9"/>
  <c r="J693" i="9"/>
  <c r="J681" i="9"/>
  <c r="J669" i="9"/>
  <c r="J657" i="9"/>
  <c r="J645" i="9"/>
  <c r="J633" i="9"/>
  <c r="J621" i="9"/>
  <c r="J609" i="9"/>
  <c r="J597" i="9"/>
  <c r="J585" i="9"/>
  <c r="J573" i="9"/>
  <c r="J561" i="9"/>
  <c r="J549" i="9"/>
  <c r="J537" i="9"/>
  <c r="J525" i="9"/>
  <c r="J513" i="9"/>
  <c r="J501" i="9"/>
  <c r="N679" i="9"/>
  <c r="O1207" i="9"/>
  <c r="A75" i="7"/>
  <c r="A81" i="7"/>
  <c r="B75" i="7"/>
  <c r="A84" i="7"/>
  <c r="B84" i="7"/>
  <c r="O89" i="7"/>
  <c r="A87" i="7"/>
  <c r="A80" i="7"/>
  <c r="B80" i="7"/>
  <c r="A85" i="7"/>
  <c r="A78" i="7"/>
  <c r="B85" i="7"/>
  <c r="Y1395" i="9"/>
  <c r="V1395" i="9"/>
  <c r="P1395" i="9" s="1"/>
  <c r="Y1396" i="9"/>
  <c r="V1396" i="9"/>
  <c r="P1396" i="9" s="1"/>
  <c r="Y1397" i="9"/>
  <c r="V1397" i="9"/>
  <c r="P1397" i="9" s="1"/>
  <c r="Y1383" i="9"/>
  <c r="V1383" i="9"/>
  <c r="P1383" i="9" s="1"/>
  <c r="Y1386" i="9"/>
  <c r="V1386" i="9"/>
  <c r="P1386" i="9" s="1"/>
  <c r="Y1381" i="9"/>
  <c r="V1381" i="9"/>
  <c r="P1381" i="9" s="1"/>
  <c r="Y1387" i="9"/>
  <c r="V1387" i="9"/>
  <c r="P1387" i="9" s="1"/>
  <c r="Y1380" i="9"/>
  <c r="V1380" i="9"/>
  <c r="P1380" i="9" s="1"/>
  <c r="Y1382" i="9"/>
  <c r="V1382" i="9"/>
  <c r="P1382" i="9" s="1"/>
  <c r="Y1388" i="9"/>
  <c r="V1388" i="9"/>
  <c r="P1388" i="9" s="1"/>
  <c r="Y1384" i="9"/>
  <c r="V1384" i="9"/>
  <c r="P1384" i="9" s="1"/>
  <c r="Y1385" i="9"/>
  <c r="V1385" i="9"/>
  <c r="P1385" i="9" s="1"/>
  <c r="O92" i="7"/>
  <c r="A93" i="7"/>
  <c r="A90" i="7"/>
  <c r="B93" i="7"/>
  <c r="C21" i="1" l="1"/>
  <c r="R1395" i="9"/>
  <c r="R1397" i="9"/>
  <c r="R1396" i="9"/>
  <c r="R1386" i="9"/>
  <c r="R1387" i="9"/>
  <c r="R1383" i="9"/>
  <c r="R1384" i="9"/>
  <c r="R1382" i="9"/>
  <c r="R1381" i="9"/>
  <c r="R1388" i="9"/>
  <c r="R1385" i="9"/>
  <c r="R1380" i="9"/>
  <c r="C27" i="1" l="1"/>
  <c r="C32" i="1"/>
  <c r="P95" i="7"/>
  <c r="C95" i="7" s="1"/>
  <c r="V1401" i="9"/>
  <c r="V1402" i="9"/>
  <c r="V1403" i="9"/>
  <c r="V1404" i="9"/>
  <c r="W1405" i="9"/>
  <c r="X1405" i="9"/>
  <c r="W1406" i="9"/>
  <c r="X1406" i="9"/>
  <c r="X1407" i="9"/>
  <c r="W1408" i="9"/>
  <c r="X1408" i="9"/>
  <c r="W1409" i="9"/>
  <c r="X1409" i="9"/>
  <c r="W1410" i="9"/>
  <c r="X1410" i="9"/>
  <c r="X1411" i="9"/>
  <c r="C40" i="1" l="1"/>
  <c r="X1412" i="9"/>
  <c r="W21" i="1"/>
  <c r="V21" i="1" s="1"/>
  <c r="W22" i="1"/>
  <c r="V22" i="1" s="1"/>
  <c r="W23" i="1"/>
  <c r="V23" i="1" s="1"/>
  <c r="W24" i="1"/>
  <c r="V24" i="1" s="1"/>
  <c r="W25" i="1"/>
  <c r="V25" i="1" s="1"/>
  <c r="C49" i="1" l="1"/>
  <c r="P21" i="1"/>
  <c r="P22" i="1"/>
  <c r="P23" i="1"/>
  <c r="P24" i="1"/>
  <c r="P25" i="1"/>
  <c r="Q21" i="1"/>
  <c r="R21" i="1" s="1"/>
  <c r="T21" i="1"/>
  <c r="U21" i="1"/>
  <c r="Q22" i="1"/>
  <c r="R22" i="1" s="1"/>
  <c r="T22" i="1"/>
  <c r="U22" i="1"/>
  <c r="Q23" i="1"/>
  <c r="R23" i="1" s="1"/>
  <c r="T23" i="1"/>
  <c r="U23" i="1"/>
  <c r="Q24" i="1"/>
  <c r="R24" i="1" s="1"/>
  <c r="T24" i="1"/>
  <c r="U24" i="1"/>
  <c r="Q25" i="1"/>
  <c r="R25" i="1" s="1"/>
  <c r="T25" i="1"/>
  <c r="U25" i="1"/>
  <c r="D13" i="9" l="1" a="1"/>
  <c r="D13" i="9" s="1"/>
  <c r="C64" i="1"/>
  <c r="C66" i="1" s="1"/>
  <c r="C71" i="1" s="1"/>
  <c r="C73" i="1" s="1"/>
  <c r="C75" i="1" s="1"/>
  <c r="C80" i="1" s="1"/>
  <c r="C83" i="1" s="1"/>
  <c r="W83" i="1" s="1"/>
  <c r="V83" i="1" s="1"/>
  <c r="W148" i="1"/>
  <c r="V148" i="1" s="1"/>
  <c r="T148" i="1"/>
  <c r="Q148" i="1"/>
  <c r="R148" i="1" s="1"/>
  <c r="P148" i="1"/>
  <c r="U148" i="1"/>
  <c r="T90" i="1"/>
  <c r="Q90" i="1"/>
  <c r="R90" i="1" s="1"/>
  <c r="P90" i="1"/>
  <c r="U90" i="1"/>
  <c r="W89" i="1"/>
  <c r="V89" i="1" s="1"/>
  <c r="T89" i="1"/>
  <c r="Q89" i="1"/>
  <c r="R89" i="1" s="1"/>
  <c r="P89" i="1"/>
  <c r="U89" i="1"/>
  <c r="W88" i="1"/>
  <c r="V88" i="1" s="1"/>
  <c r="T88" i="1"/>
  <c r="Q88" i="1"/>
  <c r="R88" i="1" s="1"/>
  <c r="P88" i="1"/>
  <c r="U88" i="1"/>
  <c r="W87" i="1"/>
  <c r="V87" i="1" s="1"/>
  <c r="T87" i="1"/>
  <c r="Q87" i="1"/>
  <c r="R87" i="1" s="1"/>
  <c r="P87" i="1"/>
  <c r="U87" i="1"/>
  <c r="W86" i="1"/>
  <c r="A86" i="1" s="1"/>
  <c r="T86" i="1"/>
  <c r="Q86" i="1"/>
  <c r="R86" i="1" s="1"/>
  <c r="P86" i="1"/>
  <c r="U86" i="1"/>
  <c r="W85" i="1"/>
  <c r="V85" i="1" s="1"/>
  <c r="T85" i="1"/>
  <c r="Q85" i="1"/>
  <c r="R85" i="1" s="1"/>
  <c r="P85" i="1"/>
  <c r="U85" i="1"/>
  <c r="W84" i="1"/>
  <c r="B84" i="1" s="1"/>
  <c r="T84" i="1"/>
  <c r="Q84" i="1"/>
  <c r="R84" i="1" s="1"/>
  <c r="P84" i="1"/>
  <c r="U84" i="1"/>
  <c r="T83" i="1"/>
  <c r="Q83" i="1"/>
  <c r="R83" i="1" s="1"/>
  <c r="P83" i="1"/>
  <c r="U83" i="1"/>
  <c r="W82" i="1"/>
  <c r="A82" i="1" s="1"/>
  <c r="T82" i="1"/>
  <c r="Q82" i="1"/>
  <c r="R82" i="1" s="1"/>
  <c r="P82" i="1"/>
  <c r="U82" i="1"/>
  <c r="W81" i="1"/>
  <c r="V81" i="1" s="1"/>
  <c r="T81" i="1"/>
  <c r="Q81" i="1"/>
  <c r="R81" i="1" s="1"/>
  <c r="P81" i="1"/>
  <c r="U81" i="1"/>
  <c r="T80" i="1"/>
  <c r="Q80" i="1"/>
  <c r="R80" i="1" s="1"/>
  <c r="P80" i="1"/>
  <c r="U80" i="1"/>
  <c r="W79" i="1"/>
  <c r="V79" i="1" s="1"/>
  <c r="T79" i="1"/>
  <c r="Q79" i="1"/>
  <c r="R79" i="1" s="1"/>
  <c r="P79" i="1"/>
  <c r="U79" i="1"/>
  <c r="W78" i="1"/>
  <c r="A78" i="1" s="1"/>
  <c r="T78" i="1"/>
  <c r="Q78" i="1"/>
  <c r="R78" i="1" s="1"/>
  <c r="P78" i="1"/>
  <c r="U78" i="1"/>
  <c r="W77" i="1"/>
  <c r="V77" i="1" s="1"/>
  <c r="T77" i="1"/>
  <c r="Q77" i="1"/>
  <c r="R77" i="1" s="1"/>
  <c r="P77" i="1"/>
  <c r="U77" i="1"/>
  <c r="W76" i="1"/>
  <c r="V76" i="1" s="1"/>
  <c r="T76" i="1"/>
  <c r="Q76" i="1"/>
  <c r="R76" i="1" s="1"/>
  <c r="P76" i="1"/>
  <c r="U76" i="1"/>
  <c r="T75" i="1"/>
  <c r="Q75" i="1"/>
  <c r="R75" i="1" s="1"/>
  <c r="P75" i="1"/>
  <c r="U75" i="1"/>
  <c r="W74" i="1"/>
  <c r="A74" i="1" s="1"/>
  <c r="T74" i="1"/>
  <c r="Q74" i="1"/>
  <c r="R74" i="1" s="1"/>
  <c r="P74" i="1"/>
  <c r="U74" i="1"/>
  <c r="T73" i="1"/>
  <c r="Q73" i="1"/>
  <c r="R73" i="1" s="1"/>
  <c r="P73" i="1"/>
  <c r="U73" i="1"/>
  <c r="W72" i="1"/>
  <c r="V72" i="1" s="1"/>
  <c r="T72" i="1"/>
  <c r="Q72" i="1"/>
  <c r="R72" i="1" s="1"/>
  <c r="P72" i="1"/>
  <c r="U72" i="1"/>
  <c r="W71" i="1"/>
  <c r="V71" i="1" s="1"/>
  <c r="T71" i="1"/>
  <c r="Q71" i="1"/>
  <c r="R71" i="1" s="1"/>
  <c r="P71" i="1"/>
  <c r="U71" i="1"/>
  <c r="W70" i="1"/>
  <c r="A70" i="1" s="1"/>
  <c r="T70" i="1"/>
  <c r="Q70" i="1"/>
  <c r="R70" i="1" s="1"/>
  <c r="P70" i="1"/>
  <c r="U70" i="1"/>
  <c r="W69" i="1"/>
  <c r="V69" i="1" s="1"/>
  <c r="T69" i="1"/>
  <c r="Q69" i="1"/>
  <c r="R69" i="1" s="1"/>
  <c r="P69" i="1"/>
  <c r="U69" i="1"/>
  <c r="W68" i="1"/>
  <c r="V68" i="1" s="1"/>
  <c r="T68" i="1"/>
  <c r="Q68" i="1"/>
  <c r="R68" i="1" s="1"/>
  <c r="P68" i="1"/>
  <c r="U68" i="1"/>
  <c r="W67" i="1"/>
  <c r="V67" i="1" s="1"/>
  <c r="T67" i="1"/>
  <c r="Q67" i="1"/>
  <c r="R67" i="1" s="1"/>
  <c r="P67" i="1"/>
  <c r="U67" i="1"/>
  <c r="W66" i="1"/>
  <c r="V66" i="1" s="1"/>
  <c r="T66" i="1"/>
  <c r="Q66" i="1"/>
  <c r="R66" i="1" s="1"/>
  <c r="P66" i="1"/>
  <c r="U66" i="1"/>
  <c r="W65" i="1"/>
  <c r="V65" i="1" s="1"/>
  <c r="T65" i="1"/>
  <c r="Q65" i="1"/>
  <c r="R65" i="1" s="1"/>
  <c r="P65" i="1"/>
  <c r="U65" i="1"/>
  <c r="W64" i="1"/>
  <c r="V64" i="1" s="1"/>
  <c r="T64" i="1"/>
  <c r="Q64" i="1"/>
  <c r="R64" i="1" s="1"/>
  <c r="P64" i="1"/>
  <c r="U64" i="1"/>
  <c r="W63" i="1"/>
  <c r="V63" i="1" s="1"/>
  <c r="T63" i="1"/>
  <c r="Q63" i="1"/>
  <c r="R63" i="1" s="1"/>
  <c r="P63" i="1"/>
  <c r="U63" i="1"/>
  <c r="W62" i="1"/>
  <c r="A62" i="1" s="1"/>
  <c r="T62" i="1"/>
  <c r="Q62" i="1"/>
  <c r="R62" i="1" s="1"/>
  <c r="P62" i="1"/>
  <c r="U62" i="1"/>
  <c r="W61" i="1"/>
  <c r="V61" i="1" s="1"/>
  <c r="T61" i="1"/>
  <c r="Q61" i="1"/>
  <c r="R61" i="1" s="1"/>
  <c r="P61" i="1"/>
  <c r="U61" i="1"/>
  <c r="T60" i="1"/>
  <c r="Q60" i="1"/>
  <c r="R60" i="1" s="1"/>
  <c r="P60" i="1"/>
  <c r="U60" i="1"/>
  <c r="W59" i="1"/>
  <c r="V59" i="1" s="1"/>
  <c r="T59" i="1"/>
  <c r="Q59" i="1"/>
  <c r="R59" i="1" s="1"/>
  <c r="P59" i="1"/>
  <c r="U59" i="1"/>
  <c r="W58" i="1"/>
  <c r="V58" i="1" s="1"/>
  <c r="T58" i="1"/>
  <c r="Q58" i="1"/>
  <c r="R58" i="1" s="1"/>
  <c r="P58" i="1"/>
  <c r="U58" i="1"/>
  <c r="W57" i="1"/>
  <c r="V57" i="1" s="1"/>
  <c r="T57" i="1"/>
  <c r="Q57" i="1"/>
  <c r="R57" i="1" s="1"/>
  <c r="P57" i="1"/>
  <c r="U57" i="1"/>
  <c r="W56" i="1"/>
  <c r="V56" i="1" s="1"/>
  <c r="T56" i="1"/>
  <c r="Q56" i="1"/>
  <c r="R56" i="1" s="1"/>
  <c r="P56" i="1"/>
  <c r="U56" i="1"/>
  <c r="W55" i="1"/>
  <c r="V55" i="1" s="1"/>
  <c r="T55" i="1"/>
  <c r="Q55" i="1"/>
  <c r="R55" i="1" s="1"/>
  <c r="P55" i="1"/>
  <c r="U55" i="1"/>
  <c r="W54" i="1"/>
  <c r="A54" i="1" s="1"/>
  <c r="T54" i="1"/>
  <c r="Q54" i="1"/>
  <c r="R54" i="1" s="1"/>
  <c r="P54" i="1"/>
  <c r="U54" i="1"/>
  <c r="W53" i="1"/>
  <c r="V53" i="1" s="1"/>
  <c r="T53" i="1"/>
  <c r="Q53" i="1"/>
  <c r="R53" i="1" s="1"/>
  <c r="P53" i="1"/>
  <c r="U53" i="1"/>
  <c r="W52" i="1"/>
  <c r="V52" i="1" s="1"/>
  <c r="T52" i="1"/>
  <c r="Q52" i="1"/>
  <c r="R52" i="1" s="1"/>
  <c r="P52" i="1"/>
  <c r="U52" i="1"/>
  <c r="W51" i="1"/>
  <c r="V51" i="1" s="1"/>
  <c r="T51" i="1"/>
  <c r="Q51" i="1"/>
  <c r="R51" i="1" s="1"/>
  <c r="P51" i="1"/>
  <c r="U51" i="1"/>
  <c r="W50" i="1"/>
  <c r="V50" i="1" s="1"/>
  <c r="T50" i="1"/>
  <c r="Q50" i="1"/>
  <c r="R50" i="1" s="1"/>
  <c r="P50" i="1"/>
  <c r="U50" i="1"/>
  <c r="W49" i="1"/>
  <c r="V49" i="1" s="1"/>
  <c r="T49" i="1"/>
  <c r="Q49" i="1"/>
  <c r="R49" i="1" s="1"/>
  <c r="P49" i="1"/>
  <c r="U49" i="1"/>
  <c r="W48" i="1"/>
  <c r="V48" i="1" s="1"/>
  <c r="T48" i="1"/>
  <c r="Q48" i="1"/>
  <c r="R48" i="1" s="1"/>
  <c r="P48" i="1"/>
  <c r="U48" i="1"/>
  <c r="W47" i="1"/>
  <c r="V47" i="1" s="1"/>
  <c r="T47" i="1"/>
  <c r="Q47" i="1"/>
  <c r="R47" i="1" s="1"/>
  <c r="P47" i="1"/>
  <c r="U47" i="1"/>
  <c r="T46" i="1"/>
  <c r="Q46" i="1"/>
  <c r="R46" i="1" s="1"/>
  <c r="P46" i="1"/>
  <c r="U46" i="1"/>
  <c r="W45" i="1"/>
  <c r="V45" i="1" s="1"/>
  <c r="T45" i="1"/>
  <c r="Q45" i="1"/>
  <c r="R45" i="1" s="1"/>
  <c r="P45" i="1"/>
  <c r="U45" i="1"/>
  <c r="W44" i="1"/>
  <c r="V44" i="1" s="1"/>
  <c r="T44" i="1"/>
  <c r="Q44" i="1"/>
  <c r="R44" i="1" s="1"/>
  <c r="P44" i="1"/>
  <c r="U44" i="1"/>
  <c r="W43" i="1"/>
  <c r="V43" i="1" s="1"/>
  <c r="T43" i="1"/>
  <c r="Q43" i="1"/>
  <c r="R43" i="1" s="1"/>
  <c r="P43" i="1"/>
  <c r="U43" i="1"/>
  <c r="W42" i="1"/>
  <c r="V42" i="1" s="1"/>
  <c r="T42" i="1"/>
  <c r="Q42" i="1"/>
  <c r="R42" i="1" s="1"/>
  <c r="P42" i="1"/>
  <c r="U42" i="1"/>
  <c r="W41" i="1"/>
  <c r="V41" i="1" s="1"/>
  <c r="T41" i="1"/>
  <c r="Q41" i="1"/>
  <c r="R41" i="1" s="1"/>
  <c r="P41" i="1"/>
  <c r="U41" i="1"/>
  <c r="W40" i="1"/>
  <c r="V40" i="1" s="1"/>
  <c r="T40" i="1"/>
  <c r="Q40" i="1"/>
  <c r="R40" i="1" s="1"/>
  <c r="P40" i="1"/>
  <c r="U40" i="1"/>
  <c r="T141" i="1"/>
  <c r="Q141" i="1"/>
  <c r="R141" i="1" s="1"/>
  <c r="P141" i="1"/>
  <c r="U141" i="1"/>
  <c r="W140" i="1"/>
  <c r="V140" i="1" s="1"/>
  <c r="T140" i="1"/>
  <c r="Q140" i="1"/>
  <c r="R140" i="1" s="1"/>
  <c r="P140" i="1"/>
  <c r="U140" i="1"/>
  <c r="W139" i="1"/>
  <c r="V139" i="1" s="1"/>
  <c r="T139" i="1"/>
  <c r="Q139" i="1"/>
  <c r="R139" i="1" s="1"/>
  <c r="P139" i="1"/>
  <c r="U139" i="1"/>
  <c r="W138" i="1"/>
  <c r="V138" i="1" s="1"/>
  <c r="T138" i="1"/>
  <c r="Q138" i="1"/>
  <c r="R138" i="1" s="1"/>
  <c r="P138" i="1"/>
  <c r="U138" i="1"/>
  <c r="W137" i="1"/>
  <c r="A137" i="1" s="1"/>
  <c r="T137" i="1"/>
  <c r="Q137" i="1"/>
  <c r="R137" i="1" s="1"/>
  <c r="P137" i="1"/>
  <c r="U137" i="1"/>
  <c r="W136" i="1"/>
  <c r="V136" i="1" s="1"/>
  <c r="T136" i="1"/>
  <c r="Q136" i="1"/>
  <c r="R136" i="1" s="1"/>
  <c r="P136" i="1"/>
  <c r="U136" i="1"/>
  <c r="W135" i="1"/>
  <c r="V135" i="1" s="1"/>
  <c r="T135" i="1"/>
  <c r="Q135" i="1"/>
  <c r="R135" i="1" s="1"/>
  <c r="P135" i="1"/>
  <c r="U135" i="1"/>
  <c r="W134" i="1"/>
  <c r="V134" i="1" s="1"/>
  <c r="T134" i="1"/>
  <c r="Q134" i="1"/>
  <c r="R134" i="1" s="1"/>
  <c r="P134" i="1"/>
  <c r="U134" i="1"/>
  <c r="W133" i="1"/>
  <c r="A133" i="1" s="1"/>
  <c r="T133" i="1"/>
  <c r="Q133" i="1"/>
  <c r="R133" i="1" s="1"/>
  <c r="P133" i="1"/>
  <c r="U133" i="1"/>
  <c r="W132" i="1"/>
  <c r="V132" i="1" s="1"/>
  <c r="T132" i="1"/>
  <c r="Q132" i="1"/>
  <c r="R132" i="1" s="1"/>
  <c r="P132" i="1"/>
  <c r="U132" i="1"/>
  <c r="W131" i="1"/>
  <c r="B131" i="1" s="1"/>
  <c r="T131" i="1"/>
  <c r="Q131" i="1"/>
  <c r="R131" i="1" s="1"/>
  <c r="P131" i="1"/>
  <c r="U131" i="1"/>
  <c r="W130" i="1"/>
  <c r="V130" i="1" s="1"/>
  <c r="T130" i="1"/>
  <c r="Q130" i="1"/>
  <c r="R130" i="1" s="1"/>
  <c r="P130" i="1"/>
  <c r="U130" i="1"/>
  <c r="W129" i="1"/>
  <c r="A129" i="1" s="1"/>
  <c r="T129" i="1"/>
  <c r="Q129" i="1"/>
  <c r="R129" i="1" s="1"/>
  <c r="P129" i="1"/>
  <c r="U129" i="1"/>
  <c r="W128" i="1"/>
  <c r="A128" i="1" s="1"/>
  <c r="T128" i="1"/>
  <c r="Q128" i="1"/>
  <c r="R128" i="1" s="1"/>
  <c r="P128" i="1"/>
  <c r="U128" i="1"/>
  <c r="W127" i="1"/>
  <c r="V127" i="1" s="1"/>
  <c r="T127" i="1"/>
  <c r="Q127" i="1"/>
  <c r="R127" i="1" s="1"/>
  <c r="P127" i="1"/>
  <c r="U127" i="1"/>
  <c r="W126" i="1"/>
  <c r="V126" i="1" s="1"/>
  <c r="T126" i="1"/>
  <c r="Q126" i="1"/>
  <c r="R126" i="1" s="1"/>
  <c r="P126" i="1"/>
  <c r="U126" i="1"/>
  <c r="W125" i="1"/>
  <c r="V125" i="1" s="1"/>
  <c r="T125" i="1"/>
  <c r="Q125" i="1"/>
  <c r="R125" i="1" s="1"/>
  <c r="P125" i="1"/>
  <c r="U125" i="1"/>
  <c r="W124" i="1"/>
  <c r="V124" i="1" s="1"/>
  <c r="T124" i="1"/>
  <c r="Q124" i="1"/>
  <c r="R124" i="1" s="1"/>
  <c r="P124" i="1"/>
  <c r="U124" i="1"/>
  <c r="W123" i="1"/>
  <c r="V123" i="1" s="1"/>
  <c r="T123" i="1"/>
  <c r="Q123" i="1"/>
  <c r="R123" i="1" s="1"/>
  <c r="P123" i="1"/>
  <c r="U123" i="1"/>
  <c r="W122" i="1"/>
  <c r="V122" i="1" s="1"/>
  <c r="T122" i="1"/>
  <c r="Q122" i="1"/>
  <c r="R122" i="1" s="1"/>
  <c r="P122" i="1"/>
  <c r="U122" i="1"/>
  <c r="T121" i="1"/>
  <c r="Q121" i="1"/>
  <c r="R121" i="1" s="1"/>
  <c r="P121" i="1"/>
  <c r="U121" i="1"/>
  <c r="W120" i="1"/>
  <c r="A120" i="1" s="1"/>
  <c r="T120" i="1"/>
  <c r="Q120" i="1"/>
  <c r="R120" i="1" s="1"/>
  <c r="P120" i="1"/>
  <c r="U120" i="1"/>
  <c r="W119" i="1"/>
  <c r="V119" i="1" s="1"/>
  <c r="T119" i="1"/>
  <c r="Q119" i="1"/>
  <c r="R119" i="1" s="1"/>
  <c r="P119" i="1"/>
  <c r="U119" i="1"/>
  <c r="W118" i="1"/>
  <c r="V118" i="1" s="1"/>
  <c r="T118" i="1"/>
  <c r="Q118" i="1"/>
  <c r="R118" i="1" s="1"/>
  <c r="P118" i="1"/>
  <c r="U118" i="1"/>
  <c r="W117" i="1"/>
  <c r="V117" i="1" s="1"/>
  <c r="T117" i="1"/>
  <c r="Q117" i="1"/>
  <c r="R117" i="1" s="1"/>
  <c r="P117" i="1"/>
  <c r="U117" i="1"/>
  <c r="W116" i="1"/>
  <c r="V116" i="1" s="1"/>
  <c r="T116" i="1"/>
  <c r="Q116" i="1"/>
  <c r="R116" i="1" s="1"/>
  <c r="P116" i="1"/>
  <c r="U116" i="1"/>
  <c r="W115" i="1"/>
  <c r="V115" i="1" s="1"/>
  <c r="T115" i="1"/>
  <c r="Q115" i="1"/>
  <c r="R115" i="1" s="1"/>
  <c r="P115" i="1"/>
  <c r="U115" i="1"/>
  <c r="W114" i="1"/>
  <c r="V114" i="1" s="1"/>
  <c r="T114" i="1"/>
  <c r="Q114" i="1"/>
  <c r="R114" i="1" s="1"/>
  <c r="P114" i="1"/>
  <c r="U114" i="1"/>
  <c r="W113" i="1"/>
  <c r="A113" i="1" s="1"/>
  <c r="T113" i="1"/>
  <c r="Q113" i="1"/>
  <c r="R113" i="1" s="1"/>
  <c r="P113" i="1"/>
  <c r="U113" i="1"/>
  <c r="W112" i="1"/>
  <c r="A112" i="1" s="1"/>
  <c r="T112" i="1"/>
  <c r="Q112" i="1"/>
  <c r="R112" i="1" s="1"/>
  <c r="P112" i="1"/>
  <c r="U112" i="1"/>
  <c r="W111" i="1"/>
  <c r="V111" i="1" s="1"/>
  <c r="T111" i="1"/>
  <c r="Q111" i="1"/>
  <c r="R111" i="1" s="1"/>
  <c r="P111" i="1"/>
  <c r="U111" i="1"/>
  <c r="W110" i="1"/>
  <c r="V110" i="1" s="1"/>
  <c r="T110" i="1"/>
  <c r="Q110" i="1"/>
  <c r="R110" i="1" s="1"/>
  <c r="P110" i="1"/>
  <c r="U110" i="1"/>
  <c r="W109" i="1"/>
  <c r="V109" i="1" s="1"/>
  <c r="T109" i="1"/>
  <c r="Q109" i="1"/>
  <c r="R109" i="1" s="1"/>
  <c r="P109" i="1"/>
  <c r="U109" i="1"/>
  <c r="W108" i="1"/>
  <c r="V108" i="1" s="1"/>
  <c r="T108" i="1"/>
  <c r="Q108" i="1"/>
  <c r="R108" i="1" s="1"/>
  <c r="P108" i="1"/>
  <c r="U108" i="1"/>
  <c r="W107" i="1"/>
  <c r="V107" i="1" s="1"/>
  <c r="T107" i="1"/>
  <c r="Q107" i="1"/>
  <c r="R107" i="1" s="1"/>
  <c r="P107" i="1"/>
  <c r="U107" i="1"/>
  <c r="W106" i="1"/>
  <c r="V106" i="1" s="1"/>
  <c r="T106" i="1"/>
  <c r="Q106" i="1"/>
  <c r="R106" i="1" s="1"/>
  <c r="P106" i="1"/>
  <c r="U106" i="1"/>
  <c r="W105" i="1"/>
  <c r="A105" i="1" s="1"/>
  <c r="T105" i="1"/>
  <c r="Q105" i="1"/>
  <c r="R105" i="1" s="1"/>
  <c r="P105" i="1"/>
  <c r="U105" i="1"/>
  <c r="W104" i="1"/>
  <c r="A104" i="1" s="1"/>
  <c r="T104" i="1"/>
  <c r="Q104" i="1"/>
  <c r="R104" i="1" s="1"/>
  <c r="P104" i="1"/>
  <c r="U104" i="1"/>
  <c r="T103" i="1"/>
  <c r="Q103" i="1"/>
  <c r="R103" i="1" s="1"/>
  <c r="P103" i="1"/>
  <c r="U103" i="1"/>
  <c r="W102" i="1"/>
  <c r="V102" i="1" s="1"/>
  <c r="T102" i="1"/>
  <c r="Q102" i="1"/>
  <c r="R102" i="1" s="1"/>
  <c r="P102" i="1"/>
  <c r="U102" i="1"/>
  <c r="W101" i="1"/>
  <c r="V101" i="1" s="1"/>
  <c r="T101" i="1"/>
  <c r="Q101" i="1"/>
  <c r="R101" i="1" s="1"/>
  <c r="P101" i="1"/>
  <c r="U101" i="1"/>
  <c r="W100" i="1"/>
  <c r="V100" i="1" s="1"/>
  <c r="T100" i="1"/>
  <c r="Q100" i="1"/>
  <c r="R100" i="1" s="1"/>
  <c r="P100" i="1"/>
  <c r="U100" i="1"/>
  <c r="W99" i="1"/>
  <c r="V99" i="1" s="1"/>
  <c r="T99" i="1"/>
  <c r="Q99" i="1"/>
  <c r="R99" i="1" s="1"/>
  <c r="P99" i="1"/>
  <c r="U99" i="1"/>
  <c r="W98" i="1"/>
  <c r="V98" i="1" s="1"/>
  <c r="T98" i="1"/>
  <c r="Q98" i="1"/>
  <c r="R98" i="1" s="1"/>
  <c r="P98" i="1"/>
  <c r="U98" i="1"/>
  <c r="W97" i="1"/>
  <c r="A97" i="1" s="1"/>
  <c r="T97" i="1"/>
  <c r="Q97" i="1"/>
  <c r="R97" i="1" s="1"/>
  <c r="P97" i="1"/>
  <c r="U97" i="1"/>
  <c r="W96" i="1"/>
  <c r="A96" i="1" s="1"/>
  <c r="T96" i="1"/>
  <c r="Q96" i="1"/>
  <c r="R96" i="1" s="1"/>
  <c r="P96" i="1"/>
  <c r="U96" i="1"/>
  <c r="W95" i="1"/>
  <c r="V95" i="1" s="1"/>
  <c r="T95" i="1"/>
  <c r="Q95" i="1"/>
  <c r="R95" i="1" s="1"/>
  <c r="P95" i="1"/>
  <c r="U95" i="1"/>
  <c r="W94" i="1"/>
  <c r="V94" i="1" s="1"/>
  <c r="T94" i="1"/>
  <c r="Q94" i="1"/>
  <c r="R94" i="1" s="1"/>
  <c r="P94" i="1"/>
  <c r="U94" i="1"/>
  <c r="W93" i="1"/>
  <c r="V93" i="1" s="1"/>
  <c r="T93" i="1"/>
  <c r="Q93" i="1"/>
  <c r="R93" i="1" s="1"/>
  <c r="P93" i="1"/>
  <c r="U93" i="1"/>
  <c r="W92" i="1"/>
  <c r="V92" i="1" s="1"/>
  <c r="T92" i="1"/>
  <c r="Q92" i="1"/>
  <c r="R92" i="1" s="1"/>
  <c r="P92" i="1"/>
  <c r="U92" i="1"/>
  <c r="W91" i="1"/>
  <c r="V91" i="1" s="1"/>
  <c r="T91" i="1"/>
  <c r="Q91" i="1"/>
  <c r="R91" i="1" s="1"/>
  <c r="P91" i="1"/>
  <c r="U91" i="1"/>
  <c r="W193" i="1"/>
  <c r="V193" i="1" s="1"/>
  <c r="T193" i="1"/>
  <c r="Q193" i="1"/>
  <c r="R193" i="1" s="1"/>
  <c r="P193" i="1"/>
  <c r="U193" i="1"/>
  <c r="W192" i="1"/>
  <c r="V192" i="1" s="1"/>
  <c r="T192" i="1"/>
  <c r="Q192" i="1"/>
  <c r="R192" i="1" s="1"/>
  <c r="P192" i="1"/>
  <c r="U192" i="1"/>
  <c r="W191" i="1"/>
  <c r="A191" i="1" s="1"/>
  <c r="T191" i="1"/>
  <c r="Q191" i="1"/>
  <c r="R191" i="1" s="1"/>
  <c r="P191" i="1"/>
  <c r="U191" i="1"/>
  <c r="W190" i="1"/>
  <c r="V190" i="1" s="1"/>
  <c r="T190" i="1"/>
  <c r="Q190" i="1"/>
  <c r="R190" i="1" s="1"/>
  <c r="P190" i="1"/>
  <c r="U190" i="1"/>
  <c r="W189" i="1"/>
  <c r="A189" i="1" s="1"/>
  <c r="T189" i="1"/>
  <c r="Q189" i="1"/>
  <c r="R189" i="1" s="1"/>
  <c r="P189" i="1"/>
  <c r="U189" i="1"/>
  <c r="W188" i="1"/>
  <c r="V188" i="1" s="1"/>
  <c r="T188" i="1"/>
  <c r="Q188" i="1"/>
  <c r="R188" i="1" s="1"/>
  <c r="P188" i="1"/>
  <c r="U188" i="1"/>
  <c r="W187" i="1"/>
  <c r="V187" i="1" s="1"/>
  <c r="T187" i="1"/>
  <c r="Q187" i="1"/>
  <c r="R187" i="1" s="1"/>
  <c r="P187" i="1"/>
  <c r="U187" i="1"/>
  <c r="W186" i="1"/>
  <c r="V186" i="1" s="1"/>
  <c r="T186" i="1"/>
  <c r="Q186" i="1"/>
  <c r="R186" i="1" s="1"/>
  <c r="P186" i="1"/>
  <c r="U186" i="1"/>
  <c r="T185" i="1"/>
  <c r="Q185" i="1"/>
  <c r="R185" i="1" s="1"/>
  <c r="P185" i="1"/>
  <c r="U185" i="1"/>
  <c r="W184" i="1"/>
  <c r="V184" i="1" s="1"/>
  <c r="T184" i="1"/>
  <c r="Q184" i="1"/>
  <c r="R184" i="1" s="1"/>
  <c r="P184" i="1"/>
  <c r="U184" i="1"/>
  <c r="W183" i="1"/>
  <c r="V183" i="1" s="1"/>
  <c r="T183" i="1"/>
  <c r="Q183" i="1"/>
  <c r="R183" i="1" s="1"/>
  <c r="P183" i="1"/>
  <c r="U183" i="1"/>
  <c r="W182" i="1"/>
  <c r="V182" i="1" s="1"/>
  <c r="T182" i="1"/>
  <c r="Q182" i="1"/>
  <c r="R182" i="1" s="1"/>
  <c r="P182" i="1"/>
  <c r="U182" i="1"/>
  <c r="W181" i="1"/>
  <c r="V181" i="1" s="1"/>
  <c r="T181" i="1"/>
  <c r="Q181" i="1"/>
  <c r="R181" i="1" s="1"/>
  <c r="P181" i="1"/>
  <c r="U181" i="1"/>
  <c r="W180" i="1"/>
  <c r="V180" i="1" s="1"/>
  <c r="T180" i="1"/>
  <c r="Q180" i="1"/>
  <c r="R180" i="1" s="1"/>
  <c r="P180" i="1"/>
  <c r="U180" i="1"/>
  <c r="W179" i="1"/>
  <c r="V179" i="1" s="1"/>
  <c r="T179" i="1"/>
  <c r="Q179" i="1"/>
  <c r="R179" i="1" s="1"/>
  <c r="P179" i="1"/>
  <c r="U179" i="1"/>
  <c r="W178" i="1"/>
  <c r="V178" i="1" s="1"/>
  <c r="T178" i="1"/>
  <c r="Q178" i="1"/>
  <c r="R178" i="1" s="1"/>
  <c r="P178" i="1"/>
  <c r="U178" i="1"/>
  <c r="W177" i="1"/>
  <c r="V177" i="1" s="1"/>
  <c r="T177" i="1"/>
  <c r="Q177" i="1"/>
  <c r="R177" i="1" s="1"/>
  <c r="P177" i="1"/>
  <c r="U177" i="1"/>
  <c r="T176" i="1"/>
  <c r="Q176" i="1"/>
  <c r="R176" i="1" s="1"/>
  <c r="P176" i="1"/>
  <c r="U176" i="1"/>
  <c r="W175" i="1"/>
  <c r="B175" i="1" s="1"/>
  <c r="T175" i="1"/>
  <c r="Q175" i="1"/>
  <c r="R175" i="1" s="1"/>
  <c r="P175" i="1"/>
  <c r="U175" i="1"/>
  <c r="W174" i="1"/>
  <c r="V174" i="1" s="1"/>
  <c r="T174" i="1"/>
  <c r="Q174" i="1"/>
  <c r="R174" i="1" s="1"/>
  <c r="P174" i="1"/>
  <c r="U174" i="1"/>
  <c r="W173" i="1"/>
  <c r="B173" i="1" s="1"/>
  <c r="T173" i="1"/>
  <c r="Q173" i="1"/>
  <c r="R173" i="1" s="1"/>
  <c r="P173" i="1"/>
  <c r="U173" i="1"/>
  <c r="W172" i="1"/>
  <c r="V172" i="1" s="1"/>
  <c r="T172" i="1"/>
  <c r="Q172" i="1"/>
  <c r="R172" i="1" s="1"/>
  <c r="P172" i="1"/>
  <c r="U172" i="1"/>
  <c r="W171" i="1"/>
  <c r="V171" i="1" s="1"/>
  <c r="T171" i="1"/>
  <c r="Q171" i="1"/>
  <c r="R171" i="1" s="1"/>
  <c r="P171" i="1"/>
  <c r="U171" i="1"/>
  <c r="W170" i="1"/>
  <c r="V170" i="1" s="1"/>
  <c r="T170" i="1"/>
  <c r="Q170" i="1"/>
  <c r="R170" i="1" s="1"/>
  <c r="P170" i="1"/>
  <c r="U170" i="1"/>
  <c r="W169" i="1"/>
  <c r="V169" i="1" s="1"/>
  <c r="T169" i="1"/>
  <c r="Q169" i="1"/>
  <c r="R169" i="1" s="1"/>
  <c r="P169" i="1"/>
  <c r="U169" i="1"/>
  <c r="W168" i="1"/>
  <c r="V168" i="1" s="1"/>
  <c r="T168" i="1"/>
  <c r="Q168" i="1"/>
  <c r="R168" i="1" s="1"/>
  <c r="P168" i="1"/>
  <c r="U168" i="1"/>
  <c r="W167" i="1"/>
  <c r="V167" i="1" s="1"/>
  <c r="T167" i="1"/>
  <c r="Q167" i="1"/>
  <c r="R167" i="1" s="1"/>
  <c r="P167" i="1"/>
  <c r="U167" i="1"/>
  <c r="W166" i="1"/>
  <c r="V166" i="1" s="1"/>
  <c r="T166" i="1"/>
  <c r="Q166" i="1"/>
  <c r="R166" i="1" s="1"/>
  <c r="P166" i="1"/>
  <c r="U166" i="1"/>
  <c r="W165" i="1"/>
  <c r="V165" i="1" s="1"/>
  <c r="T165" i="1"/>
  <c r="Q165" i="1"/>
  <c r="R165" i="1" s="1"/>
  <c r="P165" i="1"/>
  <c r="U165" i="1"/>
  <c r="W164" i="1"/>
  <c r="V164" i="1" s="1"/>
  <c r="T164" i="1"/>
  <c r="Q164" i="1"/>
  <c r="R164" i="1" s="1"/>
  <c r="P164" i="1"/>
  <c r="U164" i="1"/>
  <c r="W163" i="1"/>
  <c r="V163" i="1" s="1"/>
  <c r="T163" i="1"/>
  <c r="Q163" i="1"/>
  <c r="R163" i="1" s="1"/>
  <c r="P163" i="1"/>
  <c r="U163" i="1"/>
  <c r="W162" i="1"/>
  <c r="V162" i="1" s="1"/>
  <c r="T162" i="1"/>
  <c r="Q162" i="1"/>
  <c r="R162" i="1" s="1"/>
  <c r="P162" i="1"/>
  <c r="U162" i="1"/>
  <c r="W161" i="1"/>
  <c r="V161" i="1" s="1"/>
  <c r="T161" i="1"/>
  <c r="Q161" i="1"/>
  <c r="R161" i="1" s="1"/>
  <c r="P161" i="1"/>
  <c r="U161" i="1"/>
  <c r="W160" i="1"/>
  <c r="V160" i="1" s="1"/>
  <c r="T160" i="1"/>
  <c r="Q160" i="1"/>
  <c r="R160" i="1" s="1"/>
  <c r="P160" i="1"/>
  <c r="U160" i="1"/>
  <c r="W159" i="1"/>
  <c r="V159" i="1" s="1"/>
  <c r="T159" i="1"/>
  <c r="Q159" i="1"/>
  <c r="R159" i="1" s="1"/>
  <c r="P159" i="1"/>
  <c r="U159" i="1"/>
  <c r="W158" i="1"/>
  <c r="V158" i="1" s="1"/>
  <c r="T158" i="1"/>
  <c r="Q158" i="1"/>
  <c r="R158" i="1" s="1"/>
  <c r="P158" i="1"/>
  <c r="U158" i="1"/>
  <c r="W157" i="1"/>
  <c r="V157" i="1" s="1"/>
  <c r="T157" i="1"/>
  <c r="Q157" i="1"/>
  <c r="R157" i="1" s="1"/>
  <c r="P157" i="1"/>
  <c r="U157" i="1"/>
  <c r="W156" i="1"/>
  <c r="V156" i="1" s="1"/>
  <c r="T156" i="1"/>
  <c r="Q156" i="1"/>
  <c r="R156" i="1" s="1"/>
  <c r="P156" i="1"/>
  <c r="U156" i="1"/>
  <c r="W155" i="1"/>
  <c r="V155" i="1" s="1"/>
  <c r="T155" i="1"/>
  <c r="Q155" i="1"/>
  <c r="R155" i="1" s="1"/>
  <c r="P155" i="1"/>
  <c r="U155" i="1"/>
  <c r="W154" i="1"/>
  <c r="V154" i="1" s="1"/>
  <c r="T154" i="1"/>
  <c r="Q154" i="1"/>
  <c r="R154" i="1" s="1"/>
  <c r="P154" i="1"/>
  <c r="U154" i="1"/>
  <c r="W153" i="1"/>
  <c r="V153" i="1" s="1"/>
  <c r="T153" i="1"/>
  <c r="Q153" i="1"/>
  <c r="R153" i="1" s="1"/>
  <c r="P153" i="1"/>
  <c r="U153" i="1"/>
  <c r="T152" i="1"/>
  <c r="Q152" i="1"/>
  <c r="R152" i="1" s="1"/>
  <c r="P152" i="1"/>
  <c r="U152" i="1"/>
  <c r="W151" i="1"/>
  <c r="V151" i="1" s="1"/>
  <c r="T151" i="1"/>
  <c r="Q151" i="1"/>
  <c r="R151" i="1" s="1"/>
  <c r="P151" i="1"/>
  <c r="U151" i="1"/>
  <c r="W150" i="1"/>
  <c r="A150" i="1" s="1"/>
  <c r="T150" i="1"/>
  <c r="Q150" i="1"/>
  <c r="R150" i="1" s="1"/>
  <c r="P150" i="1"/>
  <c r="U150" i="1"/>
  <c r="W149" i="1"/>
  <c r="V149" i="1" s="1"/>
  <c r="T149" i="1"/>
  <c r="Q149" i="1"/>
  <c r="R149" i="1" s="1"/>
  <c r="P149" i="1"/>
  <c r="U149" i="1"/>
  <c r="W147" i="1"/>
  <c r="V147" i="1" s="1"/>
  <c r="T147" i="1"/>
  <c r="Q147" i="1"/>
  <c r="R147" i="1" s="1"/>
  <c r="P147" i="1"/>
  <c r="U147" i="1"/>
  <c r="W146" i="1"/>
  <c r="V146" i="1" s="1"/>
  <c r="T146" i="1"/>
  <c r="Q146" i="1"/>
  <c r="R146" i="1" s="1"/>
  <c r="P146" i="1"/>
  <c r="U146" i="1"/>
  <c r="W145" i="1"/>
  <c r="V145" i="1" s="1"/>
  <c r="T145" i="1"/>
  <c r="Q145" i="1"/>
  <c r="R145" i="1" s="1"/>
  <c r="P145" i="1"/>
  <c r="U145" i="1"/>
  <c r="W144" i="1"/>
  <c r="V144" i="1" s="1"/>
  <c r="T144" i="1"/>
  <c r="Q144" i="1"/>
  <c r="R144" i="1" s="1"/>
  <c r="P144" i="1"/>
  <c r="U144" i="1"/>
  <c r="W143" i="1"/>
  <c r="V143" i="1" s="1"/>
  <c r="T143" i="1"/>
  <c r="Q143" i="1"/>
  <c r="R143" i="1" s="1"/>
  <c r="P143" i="1"/>
  <c r="U143" i="1"/>
  <c r="W142" i="1"/>
  <c r="V142" i="1" s="1"/>
  <c r="T142" i="1"/>
  <c r="Q142" i="1"/>
  <c r="R142" i="1" s="1"/>
  <c r="P142" i="1"/>
  <c r="U142" i="1"/>
  <c r="W199" i="1"/>
  <c r="V199" i="1" s="1"/>
  <c r="T199" i="1"/>
  <c r="Q199" i="1"/>
  <c r="R199" i="1" s="1"/>
  <c r="P199" i="1"/>
  <c r="U199" i="1"/>
  <c r="T198" i="1"/>
  <c r="Q198" i="1"/>
  <c r="R198" i="1" s="1"/>
  <c r="P198" i="1"/>
  <c r="U198" i="1"/>
  <c r="W197" i="1"/>
  <c r="V197" i="1" s="1"/>
  <c r="T197" i="1"/>
  <c r="Q197" i="1"/>
  <c r="R197" i="1" s="1"/>
  <c r="P197" i="1"/>
  <c r="U197" i="1"/>
  <c r="W196" i="1"/>
  <c r="V196" i="1" s="1"/>
  <c r="T196" i="1"/>
  <c r="Q196" i="1"/>
  <c r="R196" i="1" s="1"/>
  <c r="P196" i="1"/>
  <c r="U196" i="1"/>
  <c r="W195" i="1"/>
  <c r="V195" i="1" s="1"/>
  <c r="T195" i="1"/>
  <c r="Q195" i="1"/>
  <c r="R195" i="1" s="1"/>
  <c r="P195" i="1"/>
  <c r="U195" i="1"/>
  <c r="W194" i="1"/>
  <c r="A194" i="1" s="1"/>
  <c r="T194" i="1"/>
  <c r="Q194" i="1"/>
  <c r="R194" i="1" s="1"/>
  <c r="P194" i="1"/>
  <c r="U194" i="1"/>
  <c r="U13" i="1"/>
  <c r="T14" i="1"/>
  <c r="T15" i="1"/>
  <c r="T16" i="1"/>
  <c r="T17" i="1"/>
  <c r="T18" i="1"/>
  <c r="T19" i="1"/>
  <c r="T20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13" i="1"/>
  <c r="U14" i="1"/>
  <c r="U15" i="1"/>
  <c r="U16" i="1"/>
  <c r="U17" i="1"/>
  <c r="U18" i="1"/>
  <c r="U19" i="1"/>
  <c r="U20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T1405" i="9"/>
  <c r="T1406" i="9"/>
  <c r="T1407" i="9"/>
  <c r="T1408" i="9"/>
  <c r="T1409" i="9"/>
  <c r="T1410" i="9"/>
  <c r="T1411" i="9"/>
  <c r="W75" i="1" l="1"/>
  <c r="B75" i="1" s="1"/>
  <c r="W80" i="1"/>
  <c r="V80" i="1" s="1"/>
  <c r="A148" i="1"/>
  <c r="B148" i="1"/>
  <c r="V78" i="1"/>
  <c r="A102" i="1"/>
  <c r="A131" i="1"/>
  <c r="V97" i="1"/>
  <c r="B44" i="1"/>
  <c r="A56" i="1"/>
  <c r="V131" i="1"/>
  <c r="B82" i="1"/>
  <c r="B88" i="1"/>
  <c r="A145" i="1"/>
  <c r="V173" i="1"/>
  <c r="B139" i="1"/>
  <c r="B67" i="1"/>
  <c r="A84" i="1"/>
  <c r="A170" i="1"/>
  <c r="A40" i="1"/>
  <c r="B70" i="1"/>
  <c r="A85" i="1"/>
  <c r="A173" i="1"/>
  <c r="B174" i="1"/>
  <c r="B54" i="1"/>
  <c r="B76" i="1"/>
  <c r="V82" i="1"/>
  <c r="B159" i="1"/>
  <c r="B43" i="1"/>
  <c r="B68" i="1"/>
  <c r="A88" i="1"/>
  <c r="A94" i="1"/>
  <c r="B133" i="1"/>
  <c r="A123" i="1"/>
  <c r="B59" i="1"/>
  <c r="B83" i="1"/>
  <c r="V84" i="1"/>
  <c r="B135" i="1"/>
  <c r="V189" i="1"/>
  <c r="B126" i="1"/>
  <c r="B52" i="1"/>
  <c r="V54" i="1"/>
  <c r="A91" i="1"/>
  <c r="B119" i="1"/>
  <c r="A107" i="1"/>
  <c r="A135" i="1"/>
  <c r="A43" i="1"/>
  <c r="A67" i="1"/>
  <c r="A69" i="1"/>
  <c r="B74" i="1"/>
  <c r="B78" i="1"/>
  <c r="B183" i="1"/>
  <c r="B111" i="1"/>
  <c r="V62" i="1"/>
  <c r="A174" i="1"/>
  <c r="A186" i="1"/>
  <c r="A126" i="1"/>
  <c r="A72" i="1"/>
  <c r="A138" i="1"/>
  <c r="A52" i="1"/>
  <c r="B62" i="1"/>
  <c r="A68" i="1"/>
  <c r="B72" i="1"/>
  <c r="A193" i="1"/>
  <c r="V129" i="1"/>
  <c r="A59" i="1"/>
  <c r="A83" i="1"/>
  <c r="B150" i="1"/>
  <c r="A48" i="1"/>
  <c r="A64" i="1"/>
  <c r="V150" i="1"/>
  <c r="B158" i="1"/>
  <c r="V175" i="1"/>
  <c r="A183" i="1"/>
  <c r="B95" i="1"/>
  <c r="B105" i="1"/>
  <c r="B112" i="1"/>
  <c r="B134" i="1"/>
  <c r="B138" i="1"/>
  <c r="B48" i="1"/>
  <c r="B64" i="1"/>
  <c r="V86" i="1"/>
  <c r="A115" i="1"/>
  <c r="B86" i="1"/>
  <c r="A45" i="1"/>
  <c r="A61" i="1"/>
  <c r="A77" i="1"/>
  <c r="A99" i="1"/>
  <c r="A175" i="1"/>
  <c r="B151" i="1"/>
  <c r="A166" i="1"/>
  <c r="B189" i="1"/>
  <c r="B94" i="1"/>
  <c r="V104" i="1"/>
  <c r="A111" i="1"/>
  <c r="V133" i="1"/>
  <c r="B40" i="1"/>
  <c r="B56" i="1"/>
  <c r="B166" i="1"/>
  <c r="A51" i="1"/>
  <c r="A154" i="1"/>
  <c r="A180" i="1"/>
  <c r="B190" i="1"/>
  <c r="B127" i="1"/>
  <c r="B137" i="1"/>
  <c r="A44" i="1"/>
  <c r="B51" i="1"/>
  <c r="A53" i="1"/>
  <c r="V70" i="1"/>
  <c r="V74" i="1"/>
  <c r="A76" i="1"/>
  <c r="B194" i="1"/>
  <c r="A149" i="1"/>
  <c r="A164" i="1"/>
  <c r="B96" i="1"/>
  <c r="B128" i="1"/>
  <c r="A188" i="1"/>
  <c r="B193" i="1"/>
  <c r="B196" i="1"/>
  <c r="A156" i="1"/>
  <c r="A178" i="1"/>
  <c r="B182" i="1"/>
  <c r="B97" i="1"/>
  <c r="B102" i="1"/>
  <c r="B104" i="1"/>
  <c r="V105" i="1"/>
  <c r="V112" i="1"/>
  <c r="A119" i="1"/>
  <c r="B129" i="1"/>
  <c r="A42" i="1"/>
  <c r="B45" i="1"/>
  <c r="A50" i="1"/>
  <c r="B53" i="1"/>
  <c r="A58" i="1"/>
  <c r="B61" i="1"/>
  <c r="A66" i="1"/>
  <c r="B69" i="1"/>
  <c r="B77" i="1"/>
  <c r="B85" i="1"/>
  <c r="A172" i="1"/>
  <c r="A110" i="1"/>
  <c r="V137" i="1"/>
  <c r="A139" i="1"/>
  <c r="B42" i="1"/>
  <c r="A47" i="1"/>
  <c r="B50" i="1"/>
  <c r="A55" i="1"/>
  <c r="B58" i="1"/>
  <c r="A63" i="1"/>
  <c r="B66" i="1"/>
  <c r="A71" i="1"/>
  <c r="A79" i="1"/>
  <c r="A87" i="1"/>
  <c r="V191" i="1"/>
  <c r="A95" i="1"/>
  <c r="B110" i="1"/>
  <c r="V113" i="1"/>
  <c r="V120" i="1"/>
  <c r="A127" i="1"/>
  <c r="A134" i="1"/>
  <c r="B47" i="1"/>
  <c r="B55" i="1"/>
  <c r="B63" i="1"/>
  <c r="B71" i="1"/>
  <c r="B79" i="1"/>
  <c r="B87" i="1"/>
  <c r="B142" i="1"/>
  <c r="A118" i="1"/>
  <c r="A41" i="1"/>
  <c r="A49" i="1"/>
  <c r="A57" i="1"/>
  <c r="A65" i="1"/>
  <c r="A81" i="1"/>
  <c r="A89" i="1"/>
  <c r="B181" i="1"/>
  <c r="V194" i="1"/>
  <c r="A142" i="1"/>
  <c r="A147" i="1"/>
  <c r="A162" i="1"/>
  <c r="B167" i="1"/>
  <c r="A181" i="1"/>
  <c r="B191" i="1"/>
  <c r="V96" i="1"/>
  <c r="B113" i="1"/>
  <c r="B118" i="1"/>
  <c r="B120" i="1"/>
  <c r="V128" i="1"/>
  <c r="B41" i="1"/>
  <c r="B49" i="1"/>
  <c r="B57" i="1"/>
  <c r="B65" i="1"/>
  <c r="B81" i="1"/>
  <c r="B89" i="1"/>
  <c r="A196" i="1"/>
  <c r="B149" i="1"/>
  <c r="A151" i="1"/>
  <c r="A182" i="1"/>
  <c r="B91" i="1"/>
  <c r="B99" i="1"/>
  <c r="B107" i="1"/>
  <c r="B115" i="1"/>
  <c r="B123" i="1"/>
  <c r="A136" i="1"/>
  <c r="A158" i="1"/>
  <c r="A165" i="1"/>
  <c r="A93" i="1"/>
  <c r="A101" i="1"/>
  <c r="A109" i="1"/>
  <c r="A117" i="1"/>
  <c r="A125" i="1"/>
  <c r="B136" i="1"/>
  <c r="B165" i="1"/>
  <c r="A167" i="1"/>
  <c r="B93" i="1"/>
  <c r="A98" i="1"/>
  <c r="B101" i="1"/>
  <c r="A106" i="1"/>
  <c r="B109" i="1"/>
  <c r="A114" i="1"/>
  <c r="B117" i="1"/>
  <c r="A122" i="1"/>
  <c r="B125" i="1"/>
  <c r="A130" i="1"/>
  <c r="B98" i="1"/>
  <c r="B106" i="1"/>
  <c r="B114" i="1"/>
  <c r="B122" i="1"/>
  <c r="B130" i="1"/>
  <c r="A199" i="1"/>
  <c r="A157" i="1"/>
  <c r="A92" i="1"/>
  <c r="A100" i="1"/>
  <c r="A108" i="1"/>
  <c r="A116" i="1"/>
  <c r="A124" i="1"/>
  <c r="A132" i="1"/>
  <c r="A140" i="1"/>
  <c r="B199" i="1"/>
  <c r="B157" i="1"/>
  <c r="A159" i="1"/>
  <c r="A190" i="1"/>
  <c r="B92" i="1"/>
  <c r="B100" i="1"/>
  <c r="B108" i="1"/>
  <c r="B116" i="1"/>
  <c r="B124" i="1"/>
  <c r="B132" i="1"/>
  <c r="B140" i="1"/>
  <c r="B145" i="1"/>
  <c r="B154" i="1"/>
  <c r="B162" i="1"/>
  <c r="B170" i="1"/>
  <c r="B178" i="1"/>
  <c r="B186" i="1"/>
  <c r="A144" i="1"/>
  <c r="B147" i="1"/>
  <c r="A153" i="1"/>
  <c r="B156" i="1"/>
  <c r="A161" i="1"/>
  <c r="B164" i="1"/>
  <c r="A169" i="1"/>
  <c r="B172" i="1"/>
  <c r="A177" i="1"/>
  <c r="B180" i="1"/>
  <c r="B188" i="1"/>
  <c r="B144" i="1"/>
  <c r="B153" i="1"/>
  <c r="B161" i="1"/>
  <c r="B169" i="1"/>
  <c r="B177" i="1"/>
  <c r="A146" i="1"/>
  <c r="A155" i="1"/>
  <c r="A163" i="1"/>
  <c r="A171" i="1"/>
  <c r="A179" i="1"/>
  <c r="A187" i="1"/>
  <c r="A143" i="1"/>
  <c r="B146" i="1"/>
  <c r="B155" i="1"/>
  <c r="A160" i="1"/>
  <c r="B163" i="1"/>
  <c r="A168" i="1"/>
  <c r="B171" i="1"/>
  <c r="B179" i="1"/>
  <c r="A184" i="1"/>
  <c r="B187" i="1"/>
  <c r="A192" i="1"/>
  <c r="B143" i="1"/>
  <c r="B160" i="1"/>
  <c r="B168" i="1"/>
  <c r="B184" i="1"/>
  <c r="B192" i="1"/>
  <c r="A197" i="1"/>
  <c r="B197" i="1"/>
  <c r="A195" i="1"/>
  <c r="B195" i="1"/>
  <c r="A75" i="1" l="1"/>
  <c r="V75" i="1"/>
  <c r="B80" i="1"/>
  <c r="A80" i="1"/>
  <c r="K34" i="23"/>
  <c r="K29" i="23"/>
  <c r="O27" i="23"/>
  <c r="O26" i="23"/>
  <c r="N26" i="23" s="1"/>
  <c r="M26" i="23"/>
  <c r="O25" i="23"/>
  <c r="N25" i="23" s="1"/>
  <c r="M25" i="23"/>
  <c r="O24" i="23"/>
  <c r="N24" i="23" s="1"/>
  <c r="M24" i="23"/>
  <c r="O23" i="23"/>
  <c r="N23" i="23" s="1"/>
  <c r="M23" i="23"/>
  <c r="O22" i="23"/>
  <c r="N22" i="23" s="1"/>
  <c r="M22" i="23"/>
  <c r="O21" i="23"/>
  <c r="N21" i="23" s="1"/>
  <c r="M21" i="23"/>
  <c r="O20" i="23"/>
  <c r="N20" i="23" s="1"/>
  <c r="M20" i="23"/>
  <c r="O19" i="23"/>
  <c r="N19" i="23" s="1"/>
  <c r="M19" i="23"/>
  <c r="O18" i="23"/>
  <c r="O17" i="23"/>
  <c r="O16" i="23"/>
  <c r="O15" i="23"/>
  <c r="O14" i="23"/>
  <c r="O13" i="23"/>
  <c r="E9" i="23"/>
  <c r="K8" i="23"/>
  <c r="E8" i="23"/>
  <c r="E7" i="23"/>
  <c r="E5" i="23"/>
  <c r="K4" i="23"/>
  <c r="E4" i="23"/>
  <c r="Q3" i="23"/>
  <c r="K41" i="22"/>
  <c r="K36" i="22"/>
  <c r="O34" i="22"/>
  <c r="O33" i="22"/>
  <c r="B33" i="22" s="1"/>
  <c r="M33" i="22"/>
  <c r="O32" i="22"/>
  <c r="B32" i="22" s="1"/>
  <c r="M32" i="22"/>
  <c r="O31" i="22"/>
  <c r="M31" i="22"/>
  <c r="O30" i="22"/>
  <c r="B30" i="22" s="1"/>
  <c r="M30" i="22"/>
  <c r="O29" i="22"/>
  <c r="B29" i="22" s="1"/>
  <c r="M29" i="22"/>
  <c r="O28" i="22"/>
  <c r="B28" i="22" s="1"/>
  <c r="M28" i="22"/>
  <c r="O27" i="22"/>
  <c r="M27" i="22"/>
  <c r="O26" i="22"/>
  <c r="B26" i="22" s="1"/>
  <c r="M26" i="22"/>
  <c r="O25" i="22"/>
  <c r="O24" i="22"/>
  <c r="O23" i="22"/>
  <c r="O22" i="22"/>
  <c r="O21" i="22"/>
  <c r="O20" i="22"/>
  <c r="O19" i="22"/>
  <c r="O18" i="22"/>
  <c r="O17" i="22"/>
  <c r="O16" i="22"/>
  <c r="O15" i="22"/>
  <c r="O14" i="22"/>
  <c r="O13" i="22"/>
  <c r="E9" i="22"/>
  <c r="K8" i="22"/>
  <c r="E8" i="22"/>
  <c r="E7" i="22"/>
  <c r="E5" i="22"/>
  <c r="K4" i="22"/>
  <c r="E4" i="22"/>
  <c r="Q3" i="22"/>
  <c r="K41" i="21"/>
  <c r="K36" i="21"/>
  <c r="O34" i="21"/>
  <c r="O33" i="21"/>
  <c r="B33" i="21" s="1"/>
  <c r="M33" i="21"/>
  <c r="O32" i="21"/>
  <c r="B32" i="21" s="1"/>
  <c r="M32" i="21"/>
  <c r="O31" i="21"/>
  <c r="B31" i="21" s="1"/>
  <c r="M31" i="21"/>
  <c r="A31" i="21"/>
  <c r="O30" i="21"/>
  <c r="B30" i="21" s="1"/>
  <c r="M30" i="21"/>
  <c r="O29" i="21"/>
  <c r="B29" i="21" s="1"/>
  <c r="M29" i="21"/>
  <c r="O28" i="21"/>
  <c r="B28" i="21" s="1"/>
  <c r="M28" i="21"/>
  <c r="O27" i="21"/>
  <c r="B27" i="21" s="1"/>
  <c r="M27" i="21"/>
  <c r="A27" i="21"/>
  <c r="O26" i="21"/>
  <c r="B26" i="21" s="1"/>
  <c r="M26" i="21"/>
  <c r="O25" i="21"/>
  <c r="O24" i="21"/>
  <c r="O23" i="21"/>
  <c r="O22" i="21"/>
  <c r="O21" i="21"/>
  <c r="O20" i="21"/>
  <c r="O19" i="21"/>
  <c r="O18" i="21"/>
  <c r="O17" i="21"/>
  <c r="O16" i="21"/>
  <c r="O15" i="21"/>
  <c r="O14" i="21"/>
  <c r="O13" i="21"/>
  <c r="E9" i="21"/>
  <c r="K8" i="21"/>
  <c r="E8" i="21"/>
  <c r="E7" i="21"/>
  <c r="E5" i="21"/>
  <c r="K4" i="21"/>
  <c r="E4" i="21"/>
  <c r="Q3" i="21"/>
  <c r="K39" i="20"/>
  <c r="K34" i="20"/>
  <c r="O32" i="20"/>
  <c r="O31" i="20"/>
  <c r="A31" i="20" s="1"/>
  <c r="M31" i="20"/>
  <c r="O30" i="20"/>
  <c r="M30" i="20"/>
  <c r="O29" i="20"/>
  <c r="M29" i="20"/>
  <c r="O28" i="20"/>
  <c r="A28" i="20" s="1"/>
  <c r="M28" i="20"/>
  <c r="O27" i="20"/>
  <c r="A27" i="20" s="1"/>
  <c r="M27" i="20"/>
  <c r="O26" i="20"/>
  <c r="M26" i="20"/>
  <c r="O25" i="20"/>
  <c r="M25" i="20"/>
  <c r="O24" i="20"/>
  <c r="A24" i="20" s="1"/>
  <c r="M24" i="20"/>
  <c r="O23" i="20"/>
  <c r="O22" i="20"/>
  <c r="O21" i="20"/>
  <c r="O20" i="20"/>
  <c r="O19" i="20"/>
  <c r="O18" i="20"/>
  <c r="O17" i="20"/>
  <c r="O16" i="20"/>
  <c r="O15" i="20"/>
  <c r="O14" i="20"/>
  <c r="O13" i="20"/>
  <c r="E9" i="20"/>
  <c r="K8" i="20"/>
  <c r="E8" i="20"/>
  <c r="E7" i="20"/>
  <c r="A21" i="20" s="1"/>
  <c r="E5" i="20"/>
  <c r="K4" i="20"/>
  <c r="E4" i="20"/>
  <c r="Q3" i="20"/>
  <c r="N32" i="20" s="1"/>
  <c r="K49" i="19"/>
  <c r="K44" i="19"/>
  <c r="O42" i="19"/>
  <c r="O41" i="19"/>
  <c r="N41" i="19" s="1"/>
  <c r="M41" i="19"/>
  <c r="O40" i="19"/>
  <c r="N40" i="19" s="1"/>
  <c r="M40" i="19"/>
  <c r="O39" i="19"/>
  <c r="N39" i="19" s="1"/>
  <c r="M39" i="19"/>
  <c r="O38" i="19"/>
  <c r="N38" i="19" s="1"/>
  <c r="M38" i="19"/>
  <c r="O37" i="19"/>
  <c r="N37" i="19" s="1"/>
  <c r="M37" i="19"/>
  <c r="O36" i="19"/>
  <c r="N36" i="19" s="1"/>
  <c r="M36" i="19"/>
  <c r="O35" i="19"/>
  <c r="N35" i="19" s="1"/>
  <c r="M35" i="19"/>
  <c r="O34" i="19"/>
  <c r="N34" i="19" s="1"/>
  <c r="M34" i="19"/>
  <c r="O33" i="19"/>
  <c r="O32" i="19"/>
  <c r="O31" i="19"/>
  <c r="O30" i="19"/>
  <c r="O29" i="19"/>
  <c r="O28" i="19"/>
  <c r="F28" i="19"/>
  <c r="O27" i="19"/>
  <c r="O26" i="19"/>
  <c r="O25" i="19"/>
  <c r="O24" i="19"/>
  <c r="F24" i="19"/>
  <c r="F25" i="19" s="1"/>
  <c r="O23" i="19"/>
  <c r="O22" i="19"/>
  <c r="F22" i="19"/>
  <c r="O21" i="19"/>
  <c r="O20" i="19"/>
  <c r="O19" i="19"/>
  <c r="G19" i="19"/>
  <c r="F19" i="19"/>
  <c r="O18" i="19"/>
  <c r="O17" i="19"/>
  <c r="O16" i="19"/>
  <c r="O15" i="19"/>
  <c r="O14" i="19"/>
  <c r="O13" i="19"/>
  <c r="E9" i="19"/>
  <c r="K8" i="19"/>
  <c r="E8" i="19"/>
  <c r="E7" i="19"/>
  <c r="E5" i="19"/>
  <c r="K4" i="19"/>
  <c r="E4" i="19"/>
  <c r="Q3" i="19"/>
  <c r="N26" i="19" s="1"/>
  <c r="K34" i="18"/>
  <c r="K29" i="18"/>
  <c r="O27" i="18"/>
  <c r="O26" i="18"/>
  <c r="A26" i="18" s="1"/>
  <c r="N26" i="18"/>
  <c r="M26" i="18"/>
  <c r="O25" i="18"/>
  <c r="A25" i="18" s="1"/>
  <c r="M25" i="18"/>
  <c r="O24" i="18"/>
  <c r="N24" i="18" s="1"/>
  <c r="M24" i="18"/>
  <c r="O23" i="18"/>
  <c r="N23" i="18" s="1"/>
  <c r="M23" i="18"/>
  <c r="B23" i="18"/>
  <c r="A23" i="18"/>
  <c r="O22" i="18"/>
  <c r="N22" i="18" s="1"/>
  <c r="M22" i="18"/>
  <c r="O21" i="18"/>
  <c r="N21" i="18" s="1"/>
  <c r="M21" i="18"/>
  <c r="O20" i="18"/>
  <c r="N20" i="18" s="1"/>
  <c r="M20" i="18"/>
  <c r="A20" i="18"/>
  <c r="O19" i="18"/>
  <c r="N19" i="18" s="1"/>
  <c r="M19" i="18"/>
  <c r="O18" i="18"/>
  <c r="O17" i="18"/>
  <c r="O16" i="18"/>
  <c r="O15" i="18"/>
  <c r="O14" i="18"/>
  <c r="O13" i="18"/>
  <c r="E9" i="18"/>
  <c r="K8" i="18"/>
  <c r="E8" i="18"/>
  <c r="E7" i="18"/>
  <c r="A14" i="18" s="1"/>
  <c r="E5" i="18"/>
  <c r="K4" i="18"/>
  <c r="E4" i="18"/>
  <c r="Q3" i="18"/>
  <c r="K34" i="17"/>
  <c r="K29" i="17"/>
  <c r="O27" i="17"/>
  <c r="O26" i="17"/>
  <c r="A26" i="17" s="1"/>
  <c r="N26" i="17"/>
  <c r="M26" i="17"/>
  <c r="O25" i="17"/>
  <c r="A25" i="17" s="1"/>
  <c r="N25" i="17"/>
  <c r="M25" i="17"/>
  <c r="O24" i="17"/>
  <c r="A24" i="17" s="1"/>
  <c r="N24" i="17"/>
  <c r="M24" i="17"/>
  <c r="O23" i="17"/>
  <c r="A23" i="17" s="1"/>
  <c r="M23" i="17"/>
  <c r="O22" i="17"/>
  <c r="B22" i="17" s="1"/>
  <c r="N22" i="17"/>
  <c r="M22" i="17"/>
  <c r="O21" i="17"/>
  <c r="A21" i="17" s="1"/>
  <c r="N21" i="17"/>
  <c r="M21" i="17"/>
  <c r="O20" i="17"/>
  <c r="A20" i="17" s="1"/>
  <c r="N20" i="17"/>
  <c r="M20" i="17"/>
  <c r="O19" i="17"/>
  <c r="A19" i="17" s="1"/>
  <c r="M19" i="17"/>
  <c r="O18" i="17"/>
  <c r="O17" i="17"/>
  <c r="O16" i="17"/>
  <c r="O15" i="17"/>
  <c r="O14" i="17"/>
  <c r="O13" i="17"/>
  <c r="E9" i="17"/>
  <c r="K8" i="17"/>
  <c r="E8" i="17"/>
  <c r="B14" i="17" s="1"/>
  <c r="E7" i="17"/>
  <c r="A13" i="17" s="1"/>
  <c r="E5" i="17"/>
  <c r="K4" i="17"/>
  <c r="E4" i="17"/>
  <c r="Q3" i="17"/>
  <c r="P14" i="1"/>
  <c r="P15" i="1"/>
  <c r="P16" i="1"/>
  <c r="P17" i="1"/>
  <c r="P18" i="1"/>
  <c r="P19" i="1"/>
  <c r="P20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13" i="1"/>
  <c r="A26" i="19" l="1"/>
  <c r="B15" i="19"/>
  <c r="B23" i="23"/>
  <c r="B15" i="23"/>
  <c r="A25" i="23"/>
  <c r="A21" i="23"/>
  <c r="A27" i="23"/>
  <c r="B22" i="23"/>
  <c r="A18" i="22"/>
  <c r="N25" i="21"/>
  <c r="N32" i="21"/>
  <c r="N28" i="21"/>
  <c r="B15" i="18"/>
  <c r="B20" i="18"/>
  <c r="A21" i="18"/>
  <c r="B25" i="18"/>
  <c r="B21" i="18"/>
  <c r="N19" i="17"/>
  <c r="N23" i="17"/>
  <c r="B22" i="18"/>
  <c r="A26" i="21"/>
  <c r="A24" i="18"/>
  <c r="N14" i="23"/>
  <c r="A19" i="18"/>
  <c r="B24" i="18"/>
  <c r="B26" i="18"/>
  <c r="A22" i="18"/>
  <c r="N15" i="17"/>
  <c r="N14" i="18"/>
  <c r="B19" i="18"/>
  <c r="A26" i="23"/>
  <c r="N21" i="19"/>
  <c r="N13" i="22"/>
  <c r="N21" i="22"/>
  <c r="N27" i="17"/>
  <c r="N15" i="23"/>
  <c r="N17" i="17"/>
  <c r="N33" i="19"/>
  <c r="N13" i="18"/>
  <c r="N27" i="19"/>
  <c r="N14" i="22"/>
  <c r="N16" i="17"/>
  <c r="N23" i="19"/>
  <c r="N13" i="21"/>
  <c r="N21" i="21"/>
  <c r="N18" i="17"/>
  <c r="N14" i="19"/>
  <c r="N24" i="19"/>
  <c r="N17" i="22"/>
  <c r="N19" i="22"/>
  <c r="N34" i="22"/>
  <c r="N14" i="21"/>
  <c r="B13" i="23"/>
  <c r="N13" i="17"/>
  <c r="N16" i="18"/>
  <c r="N18" i="18"/>
  <c r="N27" i="18"/>
  <c r="N15" i="19"/>
  <c r="N19" i="19"/>
  <c r="N31" i="19"/>
  <c r="N18" i="20"/>
  <c r="N16" i="22"/>
  <c r="N14" i="17"/>
  <c r="N16" i="19"/>
  <c r="N13" i="20"/>
  <c r="N19" i="20"/>
  <c r="N18" i="22"/>
  <c r="N14" i="20"/>
  <c r="N20" i="20"/>
  <c r="N18" i="21"/>
  <c r="N15" i="18"/>
  <c r="N17" i="18"/>
  <c r="N25" i="19"/>
  <c r="N15" i="20"/>
  <c r="N20" i="22"/>
  <c r="N18" i="23"/>
  <c r="A16" i="19"/>
  <c r="B16" i="18"/>
  <c r="A13" i="18"/>
  <c r="B18" i="17"/>
  <c r="B13" i="18"/>
  <c r="B20" i="21"/>
  <c r="B18" i="18"/>
  <c r="A14" i="19"/>
  <c r="A25" i="19"/>
  <c r="A14" i="23"/>
  <c r="A22" i="19"/>
  <c r="A32" i="19"/>
  <c r="B13" i="17"/>
  <c r="B23" i="22"/>
  <c r="B17" i="18"/>
  <c r="B22" i="21"/>
  <c r="B24" i="21"/>
  <c r="B17" i="23"/>
  <c r="B17" i="19"/>
  <c r="B20" i="19"/>
  <c r="B15" i="21"/>
  <c r="B18" i="19"/>
  <c r="B34" i="21"/>
  <c r="B24" i="22"/>
  <c r="B27" i="23"/>
  <c r="B30" i="19"/>
  <c r="B21" i="19"/>
  <c r="B24" i="19"/>
  <c r="B17" i="21"/>
  <c r="B25" i="22"/>
  <c r="B15" i="17"/>
  <c r="B19" i="19"/>
  <c r="B16" i="20"/>
  <c r="B23" i="21"/>
  <c r="B25" i="21"/>
  <c r="B16" i="23"/>
  <c r="A14" i="17"/>
  <c r="A17" i="17"/>
  <c r="A18" i="18"/>
  <c r="A27" i="19"/>
  <c r="A30" i="19"/>
  <c r="A15" i="22"/>
  <c r="A31" i="19"/>
  <c r="A17" i="18"/>
  <c r="A15" i="19"/>
  <c r="A19" i="19"/>
  <c r="A21" i="19"/>
  <c r="A15" i="17"/>
  <c r="A16" i="17"/>
  <c r="A13" i="20"/>
  <c r="A18" i="20"/>
  <c r="A22" i="22"/>
  <c r="A15" i="20"/>
  <c r="A16" i="18"/>
  <c r="A28" i="19"/>
  <c r="A13" i="19"/>
  <c r="A29" i="19"/>
  <c r="A32" i="20"/>
  <c r="A17" i="23"/>
  <c r="B24" i="23"/>
  <c r="A16" i="23"/>
  <c r="A22" i="23"/>
  <c r="A18" i="23"/>
  <c r="B21" i="23"/>
  <c r="B26" i="23"/>
  <c r="A21" i="22"/>
  <c r="A19" i="22"/>
  <c r="A17" i="21"/>
  <c r="N17" i="21"/>
  <c r="A32" i="21"/>
  <c r="B18" i="21"/>
  <c r="N26" i="21"/>
  <c r="N17" i="20"/>
  <c r="A17" i="20"/>
  <c r="A14" i="20"/>
  <c r="N16" i="20"/>
  <c r="A19" i="20"/>
  <c r="N30" i="21"/>
  <c r="A33" i="21"/>
  <c r="N29" i="21"/>
  <c r="N27" i="21"/>
  <c r="A30" i="21"/>
  <c r="B13" i="21"/>
  <c r="A29" i="21"/>
  <c r="B21" i="21"/>
  <c r="A28" i="21"/>
  <c r="N33" i="21"/>
  <c r="B14" i="21"/>
  <c r="N31" i="21"/>
  <c r="N15" i="22"/>
  <c r="A14" i="22"/>
  <c r="A23" i="23"/>
  <c r="A20" i="23"/>
  <c r="A19" i="23"/>
  <c r="B20" i="23"/>
  <c r="B19" i="23"/>
  <c r="B18" i="23"/>
  <c r="A24" i="23"/>
  <c r="B25" i="23"/>
  <c r="B23" i="20"/>
  <c r="N23" i="20"/>
  <c r="B38" i="19"/>
  <c r="A38" i="19"/>
  <c r="N16" i="21"/>
  <c r="A16" i="21"/>
  <c r="A18" i="17"/>
  <c r="A22" i="17"/>
  <c r="N27" i="22"/>
  <c r="A27" i="22"/>
  <c r="B20" i="17"/>
  <c r="B23" i="17"/>
  <c r="B25" i="17"/>
  <c r="B26" i="17"/>
  <c r="N13" i="19"/>
  <c r="B13" i="19"/>
  <c r="A17" i="19"/>
  <c r="N22" i="19"/>
  <c r="A24" i="19"/>
  <c r="B25" i="19"/>
  <c r="N32" i="19"/>
  <c r="B33" i="19"/>
  <c r="B37" i="19"/>
  <c r="A37" i="19"/>
  <c r="B41" i="19"/>
  <c r="A41" i="19"/>
  <c r="B22" i="20"/>
  <c r="N22" i="20"/>
  <c r="B27" i="20"/>
  <c r="N27" i="20"/>
  <c r="N19" i="21"/>
  <c r="A19" i="21"/>
  <c r="A13" i="23"/>
  <c r="N13" i="23"/>
  <c r="A27" i="18"/>
  <c r="B26" i="20"/>
  <c r="N26" i="20"/>
  <c r="N31" i="22"/>
  <c r="A31" i="22"/>
  <c r="B16" i="17"/>
  <c r="B27" i="17"/>
  <c r="B16" i="19"/>
  <c r="B32" i="19"/>
  <c r="A23" i="20"/>
  <c r="B25" i="20"/>
  <c r="N25" i="20"/>
  <c r="B29" i="20"/>
  <c r="N29" i="20"/>
  <c r="A13" i="21"/>
  <c r="N20" i="21"/>
  <c r="A20" i="21"/>
  <c r="N23" i="22"/>
  <c r="A23" i="22"/>
  <c r="N26" i="22"/>
  <c r="A26" i="22"/>
  <c r="N30" i="22"/>
  <c r="A30" i="22"/>
  <c r="N17" i="23"/>
  <c r="B18" i="20"/>
  <c r="B14" i="20"/>
  <c r="B17" i="20"/>
  <c r="B32" i="20"/>
  <c r="B19" i="20"/>
  <c r="B15" i="20"/>
  <c r="B30" i="20"/>
  <c r="N30" i="20"/>
  <c r="B17" i="17"/>
  <c r="B19" i="17"/>
  <c r="B21" i="17"/>
  <c r="B24" i="17"/>
  <c r="B14" i="18"/>
  <c r="N25" i="18"/>
  <c r="B14" i="19"/>
  <c r="N18" i="19"/>
  <c r="N30" i="19"/>
  <c r="B31" i="19"/>
  <c r="A33" i="19"/>
  <c r="B36" i="19"/>
  <c r="A36" i="19"/>
  <c r="B40" i="19"/>
  <c r="A40" i="19"/>
  <c r="A20" i="20"/>
  <c r="A26" i="20"/>
  <c r="A30" i="20"/>
  <c r="A34" i="21"/>
  <c r="A25" i="21"/>
  <c r="A24" i="21"/>
  <c r="A23" i="21"/>
  <c r="A22" i="21"/>
  <c r="N15" i="21"/>
  <c r="A15" i="21"/>
  <c r="B19" i="21"/>
  <c r="A21" i="21"/>
  <c r="B21" i="22"/>
  <c r="B17" i="22"/>
  <c r="B20" i="22"/>
  <c r="B16" i="22"/>
  <c r="B13" i="22"/>
  <c r="B19" i="22"/>
  <c r="B15" i="22"/>
  <c r="B18" i="22"/>
  <c r="B14" i="22"/>
  <c r="B27" i="22"/>
  <c r="B31" i="22"/>
  <c r="N27" i="23"/>
  <c r="B31" i="20"/>
  <c r="N31" i="20"/>
  <c r="N32" i="22"/>
  <c r="A32" i="22"/>
  <c r="B34" i="19"/>
  <c r="A34" i="19"/>
  <c r="A27" i="17"/>
  <c r="A15" i="18"/>
  <c r="B27" i="18"/>
  <c r="B27" i="19"/>
  <c r="B26" i="19"/>
  <c r="B23" i="19"/>
  <c r="B29" i="19"/>
  <c r="N20" i="19"/>
  <c r="A20" i="19"/>
  <c r="B22" i="19"/>
  <c r="B42" i="19"/>
  <c r="A42" i="19"/>
  <c r="N42" i="19"/>
  <c r="A16" i="20"/>
  <c r="B20" i="20"/>
  <c r="B21" i="20"/>
  <c r="N21" i="20"/>
  <c r="B24" i="20"/>
  <c r="N24" i="20"/>
  <c r="B28" i="20"/>
  <c r="N28" i="20"/>
  <c r="B16" i="21"/>
  <c r="N25" i="22"/>
  <c r="A25" i="22"/>
  <c r="N29" i="22"/>
  <c r="A29" i="22"/>
  <c r="N33" i="22"/>
  <c r="A33" i="22"/>
  <c r="N16" i="23"/>
  <c r="N28" i="22"/>
  <c r="A28" i="22"/>
  <c r="N24" i="22"/>
  <c r="A24" i="22"/>
  <c r="N28" i="19"/>
  <c r="B28" i="19"/>
  <c r="N17" i="19"/>
  <c r="N29" i="19"/>
  <c r="B35" i="19"/>
  <c r="A35" i="19"/>
  <c r="B39" i="19"/>
  <c r="A39" i="19"/>
  <c r="B13" i="20"/>
  <c r="A22" i="20"/>
  <c r="A25" i="20"/>
  <c r="A29" i="20"/>
  <c r="N22" i="22"/>
  <c r="B22" i="22"/>
  <c r="B34" i="22"/>
  <c r="A18" i="19"/>
  <c r="A34" i="22"/>
  <c r="N34" i="21"/>
  <c r="A23" i="19"/>
  <c r="N22" i="21"/>
  <c r="N23" i="21"/>
  <c r="N24" i="21"/>
  <c r="A13" i="22"/>
  <c r="A16" i="22"/>
  <c r="A20" i="22"/>
  <c r="B14" i="23"/>
  <c r="A14" i="21"/>
  <c r="A18" i="21"/>
  <c r="A15" i="23"/>
  <c r="A17" i="22"/>
  <c r="K9" i="21" l="1"/>
  <c r="K9" i="22"/>
  <c r="K9" i="19"/>
  <c r="K9" i="20"/>
  <c r="K9" i="18"/>
  <c r="K9" i="17"/>
  <c r="K9" i="23"/>
  <c r="W39" i="1" l="1"/>
  <c r="B39" i="1" s="1"/>
  <c r="Q39" i="1"/>
  <c r="R39" i="1" s="1"/>
  <c r="W38" i="1"/>
  <c r="V38" i="1" s="1"/>
  <c r="Q38" i="1"/>
  <c r="R38" i="1" s="1"/>
  <c r="W37" i="1"/>
  <c r="V37" i="1" s="1"/>
  <c r="Q37" i="1"/>
  <c r="R37" i="1" s="1"/>
  <c r="W36" i="1"/>
  <c r="V36" i="1" s="1"/>
  <c r="Q36" i="1"/>
  <c r="R36" i="1" s="1"/>
  <c r="W35" i="1"/>
  <c r="B35" i="1" s="1"/>
  <c r="Q35" i="1"/>
  <c r="R35" i="1" s="1"/>
  <c r="W34" i="1"/>
  <c r="V34" i="1" s="1"/>
  <c r="Q34" i="1"/>
  <c r="R34" i="1" s="1"/>
  <c r="W33" i="1"/>
  <c r="B33" i="1" s="1"/>
  <c r="Q33" i="1"/>
  <c r="R33" i="1" s="1"/>
  <c r="Q32" i="1"/>
  <c r="R32" i="1" s="1"/>
  <c r="W31" i="1"/>
  <c r="V31" i="1" s="1"/>
  <c r="Q31" i="1"/>
  <c r="R31" i="1" s="1"/>
  <c r="W30" i="1"/>
  <c r="V30" i="1" s="1"/>
  <c r="Q30" i="1"/>
  <c r="R30" i="1" s="1"/>
  <c r="W29" i="1"/>
  <c r="B29" i="1" s="1"/>
  <c r="Q29" i="1"/>
  <c r="R29" i="1" s="1"/>
  <c r="W28" i="1"/>
  <c r="V28" i="1" s="1"/>
  <c r="Q28" i="1"/>
  <c r="R28" i="1" s="1"/>
  <c r="W27" i="1"/>
  <c r="B27" i="1" s="1"/>
  <c r="Q27" i="1"/>
  <c r="R27" i="1" s="1"/>
  <c r="Q26" i="1"/>
  <c r="R26" i="1" s="1"/>
  <c r="B25" i="1"/>
  <c r="B23" i="1"/>
  <c r="B21" i="1"/>
  <c r="W20" i="1"/>
  <c r="V20" i="1" s="1"/>
  <c r="Q20" i="1"/>
  <c r="R20" i="1" s="1"/>
  <c r="W19" i="1"/>
  <c r="V19" i="1" s="1"/>
  <c r="Q19" i="1"/>
  <c r="R19" i="1" s="1"/>
  <c r="W18" i="1"/>
  <c r="V18" i="1" s="1"/>
  <c r="Q18" i="1"/>
  <c r="R18" i="1" s="1"/>
  <c r="W17" i="1"/>
  <c r="V17" i="1" s="1"/>
  <c r="Q17" i="1"/>
  <c r="R17" i="1" s="1"/>
  <c r="W16" i="1"/>
  <c r="V16" i="1" s="1"/>
  <c r="Q16" i="1"/>
  <c r="R16" i="1" s="1"/>
  <c r="A35" i="1" l="1"/>
  <c r="B37" i="1"/>
  <c r="A25" i="1"/>
  <c r="V29" i="1"/>
  <c r="A27" i="1"/>
  <c r="V33" i="1"/>
  <c r="A29" i="1"/>
  <c r="B30" i="1"/>
  <c r="A31" i="1"/>
  <c r="B31" i="1"/>
  <c r="A33" i="1"/>
  <c r="V39" i="1"/>
  <c r="A23" i="1"/>
  <c r="B36" i="1"/>
  <c r="A37" i="1"/>
  <c r="A39" i="1"/>
  <c r="B28" i="1"/>
  <c r="V35" i="1"/>
  <c r="B34" i="1"/>
  <c r="B24" i="1"/>
  <c r="V27" i="1"/>
  <c r="B38" i="1"/>
  <c r="B22" i="1"/>
  <c r="A19" i="1"/>
  <c r="B19" i="1"/>
  <c r="A21" i="1"/>
  <c r="B20" i="1"/>
  <c r="A18" i="1"/>
  <c r="B16" i="1"/>
  <c r="B17" i="1"/>
  <c r="B18" i="1"/>
  <c r="A17" i="1"/>
  <c r="A20" i="1"/>
  <c r="A22" i="1"/>
  <c r="A24" i="1"/>
  <c r="A28" i="1"/>
  <c r="A30" i="1"/>
  <c r="A34" i="1"/>
  <c r="A36" i="1"/>
  <c r="A38" i="1"/>
  <c r="A16" i="1"/>
  <c r="Y236" i="1"/>
  <c r="Y237" i="1"/>
  <c r="Y238" i="1"/>
  <c r="Y239" i="1"/>
  <c r="Y240" i="1"/>
  <c r="Y241" i="1"/>
  <c r="Y242" i="1"/>
  <c r="Y200" i="1"/>
  <c r="Y201" i="1"/>
  <c r="Y202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S12" i="9"/>
  <c r="R12" i="9" s="1"/>
  <c r="E6" i="9"/>
  <c r="E7" i="9"/>
  <c r="R13" i="1"/>
  <c r="Q14" i="1"/>
  <c r="R14" i="1" s="1"/>
  <c r="Q15" i="1"/>
  <c r="R15" i="1" s="1"/>
  <c r="J18" i="7"/>
  <c r="O1411" i="9"/>
  <c r="O1407" i="9"/>
  <c r="P236" i="1"/>
  <c r="O1406" i="9" s="1"/>
  <c r="D1411" i="9"/>
  <c r="W1411" i="9" s="1"/>
  <c r="D1407" i="9"/>
  <c r="W1407" i="9" s="1"/>
  <c r="K8" i="9"/>
  <c r="E8" i="9"/>
  <c r="C8" i="9"/>
  <c r="L7" i="9"/>
  <c r="K7" i="9"/>
  <c r="C7" i="9"/>
  <c r="L6" i="9"/>
  <c r="K6" i="9"/>
  <c r="C6" i="9"/>
  <c r="L5" i="9"/>
  <c r="K5" i="9"/>
  <c r="E5" i="9"/>
  <c r="C5" i="9"/>
  <c r="L4" i="9"/>
  <c r="K4" i="9"/>
  <c r="E4" i="9"/>
  <c r="C4" i="9"/>
  <c r="L3" i="9"/>
  <c r="L2" i="9"/>
  <c r="L1" i="9"/>
  <c r="J14" i="7"/>
  <c r="P15" i="7"/>
  <c r="J16" i="7"/>
  <c r="P17" i="7"/>
  <c r="J19" i="7"/>
  <c r="E20" i="7"/>
  <c r="F20" i="7" s="1"/>
  <c r="E21" i="7"/>
  <c r="P21" i="7" s="1"/>
  <c r="E22" i="7"/>
  <c r="P22" i="7" s="1"/>
  <c r="A22" i="7" s="1"/>
  <c r="E13" i="7"/>
  <c r="J13" i="7" s="1"/>
  <c r="L8" i="9"/>
  <c r="P44" i="7"/>
  <c r="P43" i="7"/>
  <c r="P42" i="7"/>
  <c r="P41" i="7"/>
  <c r="P40" i="7"/>
  <c r="P59" i="7"/>
  <c r="P58" i="7"/>
  <c r="P57" i="7"/>
  <c r="P56" i="7"/>
  <c r="P55" i="7"/>
  <c r="P54" i="7"/>
  <c r="W216" i="1"/>
  <c r="V216" i="1" s="1"/>
  <c r="T216" i="1"/>
  <c r="S216" i="1"/>
  <c r="U216" i="1"/>
  <c r="U211" i="1"/>
  <c r="S211" i="1"/>
  <c r="T211" i="1"/>
  <c r="S212" i="1"/>
  <c r="T212" i="1"/>
  <c r="U212" i="1"/>
  <c r="U213" i="1"/>
  <c r="S213" i="1"/>
  <c r="T213" i="1"/>
  <c r="U214" i="1"/>
  <c r="S214" i="1"/>
  <c r="T214" i="1"/>
  <c r="U215" i="1"/>
  <c r="S215" i="1"/>
  <c r="T215" i="1"/>
  <c r="U217" i="1"/>
  <c r="S217" i="1"/>
  <c r="T217" i="1"/>
  <c r="N218" i="1"/>
  <c r="U218" i="1" s="1"/>
  <c r="S218" i="1"/>
  <c r="T218" i="1"/>
  <c r="N219" i="1"/>
  <c r="U219" i="1" s="1"/>
  <c r="S219" i="1"/>
  <c r="T219" i="1"/>
  <c r="N220" i="1"/>
  <c r="U220" i="1" s="1"/>
  <c r="S220" i="1"/>
  <c r="T220" i="1"/>
  <c r="N221" i="1"/>
  <c r="U221" i="1" s="1"/>
  <c r="S221" i="1"/>
  <c r="T221" i="1"/>
  <c r="N222" i="1"/>
  <c r="U222" i="1" s="1"/>
  <c r="S222" i="1"/>
  <c r="T222" i="1"/>
  <c r="N223" i="1"/>
  <c r="U223" i="1" s="1"/>
  <c r="S223" i="1"/>
  <c r="T223" i="1"/>
  <c r="N224" i="1"/>
  <c r="U224" i="1" s="1"/>
  <c r="S224" i="1"/>
  <c r="T224" i="1"/>
  <c r="N225" i="1"/>
  <c r="U225" i="1" s="1"/>
  <c r="S225" i="1"/>
  <c r="T225" i="1"/>
  <c r="N226" i="1"/>
  <c r="U226" i="1" s="1"/>
  <c r="S226" i="1"/>
  <c r="T226" i="1"/>
  <c r="N227" i="1"/>
  <c r="U227" i="1" s="1"/>
  <c r="S227" i="1"/>
  <c r="T227" i="1"/>
  <c r="N228" i="1"/>
  <c r="U228" i="1" s="1"/>
  <c r="S228" i="1"/>
  <c r="T228" i="1"/>
  <c r="N229" i="1"/>
  <c r="U229" i="1" s="1"/>
  <c r="S229" i="1"/>
  <c r="T229" i="1"/>
  <c r="N230" i="1"/>
  <c r="U230" i="1" s="1"/>
  <c r="S230" i="1"/>
  <c r="T230" i="1"/>
  <c r="N231" i="1"/>
  <c r="U231" i="1" s="1"/>
  <c r="S231" i="1"/>
  <c r="T231" i="1"/>
  <c r="N232" i="1"/>
  <c r="U232" i="1" s="1"/>
  <c r="S232" i="1"/>
  <c r="T232" i="1"/>
  <c r="N233" i="1"/>
  <c r="U233" i="1" s="1"/>
  <c r="S233" i="1"/>
  <c r="T233" i="1"/>
  <c r="P46" i="7"/>
  <c r="C46" i="7" s="1"/>
  <c r="P45" i="7"/>
  <c r="C45" i="7" s="1"/>
  <c r="P39" i="7"/>
  <c r="P38" i="7"/>
  <c r="P62" i="7"/>
  <c r="P61" i="7"/>
  <c r="P60" i="7"/>
  <c r="P53" i="7"/>
  <c r="P47" i="7"/>
  <c r="P37" i="7"/>
  <c r="P36" i="7"/>
  <c r="P35" i="7"/>
  <c r="N201" i="1"/>
  <c r="U201" i="1" s="1"/>
  <c r="N202" i="1"/>
  <c r="U202" i="1" s="1"/>
  <c r="N207" i="1"/>
  <c r="U207" i="1" s="1"/>
  <c r="N208" i="1"/>
  <c r="U208" i="1" s="1"/>
  <c r="N210" i="1"/>
  <c r="U210" i="1" s="1"/>
  <c r="W218" i="1"/>
  <c r="A218" i="1" s="1"/>
  <c r="W217" i="1"/>
  <c r="V217" i="1" s="1"/>
  <c r="W215" i="1"/>
  <c r="V215" i="1" s="1"/>
  <c r="W214" i="1"/>
  <c r="V214" i="1" s="1"/>
  <c r="W213" i="1"/>
  <c r="A213" i="1" s="1"/>
  <c r="W212" i="1"/>
  <c r="A212" i="1" s="1"/>
  <c r="W211" i="1"/>
  <c r="A211" i="1" s="1"/>
  <c r="W225" i="1"/>
  <c r="A225" i="1" s="1"/>
  <c r="W224" i="1"/>
  <c r="V224" i="1" s="1"/>
  <c r="W223" i="1"/>
  <c r="A223" i="1" s="1"/>
  <c r="W222" i="1"/>
  <c r="V222" i="1" s="1"/>
  <c r="W221" i="1"/>
  <c r="V221" i="1" s="1"/>
  <c r="W220" i="1"/>
  <c r="V220" i="1" s="1"/>
  <c r="W219" i="1"/>
  <c r="V219" i="1" s="1"/>
  <c r="W15" i="1"/>
  <c r="V15" i="1" s="1"/>
  <c r="W14" i="1"/>
  <c r="V14" i="1" s="1"/>
  <c r="W229" i="1"/>
  <c r="V229" i="1" s="1"/>
  <c r="W228" i="1"/>
  <c r="V228" i="1" s="1"/>
  <c r="W227" i="1"/>
  <c r="V227" i="1" s="1"/>
  <c r="W226" i="1"/>
  <c r="V226" i="1" s="1"/>
  <c r="R201" i="1"/>
  <c r="R202" i="1"/>
  <c r="R207" i="1"/>
  <c r="P97" i="7"/>
  <c r="C97" i="7" s="1"/>
  <c r="P96" i="7"/>
  <c r="C96" i="7" s="1"/>
  <c r="P94" i="7"/>
  <c r="C94" i="7" s="1"/>
  <c r="P66" i="7"/>
  <c r="P65" i="7"/>
  <c r="P64" i="7"/>
  <c r="C64" i="7" s="1"/>
  <c r="P49" i="7"/>
  <c r="P50" i="7"/>
  <c r="C50" i="7" s="1"/>
  <c r="P51" i="7"/>
  <c r="P33" i="7"/>
  <c r="C33" i="7" s="1"/>
  <c r="P32" i="7"/>
  <c r="B32" i="7" s="1"/>
  <c r="P31" i="7"/>
  <c r="O31" i="7" s="1"/>
  <c r="P28" i="7"/>
  <c r="C28" i="7" s="1"/>
  <c r="P27" i="7"/>
  <c r="C27" i="7" s="1"/>
  <c r="P26" i="7"/>
  <c r="A26" i="7" s="1"/>
  <c r="W234" i="1"/>
  <c r="V234" i="1" s="1"/>
  <c r="W233" i="1"/>
  <c r="A233" i="1" s="1"/>
  <c r="W232" i="1"/>
  <c r="B232" i="1" s="1"/>
  <c r="W231" i="1"/>
  <c r="B231" i="1" s="1"/>
  <c r="W230" i="1"/>
  <c r="V230" i="1" s="1"/>
  <c r="W210" i="1"/>
  <c r="V210" i="1" s="1"/>
  <c r="W208" i="1"/>
  <c r="V208" i="1" s="1"/>
  <c r="W207" i="1"/>
  <c r="V207" i="1" s="1"/>
  <c r="W202" i="1"/>
  <c r="B202" i="1" s="1"/>
  <c r="W201" i="1"/>
  <c r="V201" i="1" s="1"/>
  <c r="T210" i="1"/>
  <c r="S210" i="1"/>
  <c r="T208" i="1"/>
  <c r="S208" i="1"/>
  <c r="R208" i="1"/>
  <c r="T207" i="1"/>
  <c r="S207" i="1"/>
  <c r="T202" i="1"/>
  <c r="S202" i="1"/>
  <c r="T201" i="1"/>
  <c r="S201" i="1"/>
  <c r="K3" i="7"/>
  <c r="K2" i="7"/>
  <c r="K1" i="7"/>
  <c r="P67" i="7"/>
  <c r="O67" i="7" s="1"/>
  <c r="P52" i="7"/>
  <c r="O52" i="7" s="1"/>
  <c r="P34" i="7"/>
  <c r="O34" i="7" s="1"/>
  <c r="P30" i="7"/>
  <c r="A30" i="7" s="1"/>
  <c r="P29" i="7"/>
  <c r="O29" i="7" s="1"/>
  <c r="P24" i="7"/>
  <c r="O24" i="7" s="1"/>
  <c r="P23" i="7"/>
  <c r="O23" i="7" s="1"/>
  <c r="W12" i="1"/>
  <c r="V12" i="1" s="1"/>
  <c r="P63" i="7"/>
  <c r="P48" i="7"/>
  <c r="C48" i="7" s="1"/>
  <c r="P25" i="7"/>
  <c r="B25" i="7" s="1"/>
  <c r="K6" i="7"/>
  <c r="K7" i="7"/>
  <c r="K5" i="7"/>
  <c r="K4" i="7"/>
  <c r="P12" i="7"/>
  <c r="O12" i="7" s="1"/>
  <c r="G24" i="8"/>
  <c r="G20" i="8"/>
  <c r="D20" i="8"/>
  <c r="D100" i="7"/>
  <c r="E8" i="7"/>
  <c r="E7" i="7"/>
  <c r="B73" i="7" s="1"/>
  <c r="E6" i="7"/>
  <c r="A73" i="7" s="1"/>
  <c r="E5" i="7"/>
  <c r="E4" i="7"/>
  <c r="F8" i="8"/>
  <c r="F7" i="8"/>
  <c r="F6" i="8"/>
  <c r="F5" i="8"/>
  <c r="F4" i="8"/>
  <c r="D8" i="8"/>
  <c r="D7" i="8"/>
  <c r="D6" i="8"/>
  <c r="D5" i="8"/>
  <c r="D4" i="8"/>
  <c r="J104" i="7"/>
  <c r="D104" i="7"/>
  <c r="D24" i="8" s="1"/>
  <c r="J100" i="7"/>
  <c r="G3" i="8"/>
  <c r="G2" i="8"/>
  <c r="G1" i="8"/>
  <c r="E8" i="8"/>
  <c r="E7" i="8"/>
  <c r="E6" i="8"/>
  <c r="E5" i="8"/>
  <c r="E4" i="8"/>
  <c r="C8" i="8"/>
  <c r="C7" i="8"/>
  <c r="C6" i="8"/>
  <c r="C5" i="8"/>
  <c r="C4" i="8"/>
  <c r="J8" i="7"/>
  <c r="J7" i="7"/>
  <c r="J6" i="7"/>
  <c r="J5" i="7"/>
  <c r="J4" i="7"/>
  <c r="C8" i="7"/>
  <c r="C7" i="7"/>
  <c r="C6" i="7"/>
  <c r="C5" i="7"/>
  <c r="C4" i="7"/>
  <c r="O49" i="7" l="1"/>
  <c r="C49" i="7"/>
  <c r="O65" i="7"/>
  <c r="C65" i="7"/>
  <c r="A66" i="7"/>
  <c r="C66" i="7"/>
  <c r="O47" i="7"/>
  <c r="C47" i="7"/>
  <c r="O63" i="7"/>
  <c r="C63" i="7"/>
  <c r="J22" i="7"/>
  <c r="O62" i="7"/>
  <c r="C62" i="7"/>
  <c r="O51" i="7"/>
  <c r="C51" i="7"/>
  <c r="O56" i="7"/>
  <c r="O59" i="7"/>
  <c r="O41" i="7"/>
  <c r="O42" i="7"/>
  <c r="O43" i="7"/>
  <c r="B72" i="7"/>
  <c r="B71" i="7"/>
  <c r="B70" i="7"/>
  <c r="A72" i="7"/>
  <c r="A71" i="7"/>
  <c r="A70" i="7"/>
  <c r="A69" i="7"/>
  <c r="A68" i="7"/>
  <c r="B68" i="7"/>
  <c r="B69" i="7"/>
  <c r="A1397" i="9"/>
  <c r="A1396" i="9"/>
  <c r="A1395" i="9"/>
  <c r="B1395" i="9"/>
  <c r="B1397" i="9"/>
  <c r="B1396" i="9"/>
  <c r="B1386" i="9"/>
  <c r="B1380" i="9"/>
  <c r="B1387" i="9"/>
  <c r="B1382" i="9"/>
  <c r="B1381" i="9"/>
  <c r="B1385" i="9"/>
  <c r="B1383" i="9"/>
  <c r="B1388" i="9"/>
  <c r="B1384" i="9"/>
  <c r="A1388" i="9"/>
  <c r="A1384" i="9"/>
  <c r="A1382" i="9"/>
  <c r="A1385" i="9"/>
  <c r="A1386" i="9"/>
  <c r="A1380" i="9"/>
  <c r="A1387" i="9"/>
  <c r="A1381" i="9"/>
  <c r="A1383" i="9"/>
  <c r="B89" i="7"/>
  <c r="B88" i="7"/>
  <c r="A89" i="7"/>
  <c r="A88" i="7"/>
  <c r="B92" i="7"/>
  <c r="B91" i="7"/>
  <c r="A91" i="7"/>
  <c r="A92" i="7"/>
  <c r="O97" i="7"/>
  <c r="B96" i="7"/>
  <c r="A44" i="7"/>
  <c r="A45" i="7"/>
  <c r="O95" i="7"/>
  <c r="F22" i="7"/>
  <c r="B59" i="7"/>
  <c r="F14" i="7"/>
  <c r="B40" i="7"/>
  <c r="B61" i="7"/>
  <c r="B38" i="7"/>
  <c r="A39" i="7"/>
  <c r="A60" i="7"/>
  <c r="A35" i="7"/>
  <c r="A36" i="7"/>
  <c r="B57" i="7"/>
  <c r="A58" i="7"/>
  <c r="A53" i="7"/>
  <c r="J20" i="7"/>
  <c r="O96" i="7"/>
  <c r="A62" i="7"/>
  <c r="A95" i="7"/>
  <c r="A33" i="7"/>
  <c r="A56" i="7"/>
  <c r="F18" i="7"/>
  <c r="P18" i="7"/>
  <c r="C18" i="7" s="1"/>
  <c r="B225" i="1"/>
  <c r="A48" i="7"/>
  <c r="B56" i="7"/>
  <c r="B52" i="7"/>
  <c r="A40" i="7"/>
  <c r="P13" i="7"/>
  <c r="C13" i="7" s="1"/>
  <c r="O48" i="7"/>
  <c r="O32" i="7"/>
  <c r="A54" i="7"/>
  <c r="B41" i="7"/>
  <c r="O44" i="7"/>
  <c r="F16" i="7"/>
  <c r="P16" i="7"/>
  <c r="O16" i="7" s="1"/>
  <c r="B44" i="7"/>
  <c r="A59" i="7"/>
  <c r="A94" i="7"/>
  <c r="A34" i="7"/>
  <c r="B95" i="7"/>
  <c r="O54" i="7"/>
  <c r="O94" i="7"/>
  <c r="O61" i="7"/>
  <c r="B94" i="7"/>
  <c r="A28" i="7"/>
  <c r="B30" i="7"/>
  <c r="B65" i="7"/>
  <c r="B34" i="7"/>
  <c r="O33" i="7"/>
  <c r="A41" i="7"/>
  <c r="A42" i="7"/>
  <c r="A65" i="7"/>
  <c r="O57" i="7"/>
  <c r="B28" i="7"/>
  <c r="B46" i="7"/>
  <c r="F15" i="7"/>
  <c r="B43" i="7"/>
  <c r="F19" i="7"/>
  <c r="A43" i="7"/>
  <c r="B36" i="7"/>
  <c r="B50" i="7"/>
  <c r="B39" i="7"/>
  <c r="P19" i="7"/>
  <c r="O19" i="7" s="1"/>
  <c r="A57" i="7"/>
  <c r="O39" i="7"/>
  <c r="A51" i="7"/>
  <c r="C30" i="7"/>
  <c r="C53" i="7"/>
  <c r="C54" i="7" s="1"/>
  <c r="B54" i="7"/>
  <c r="O40" i="7"/>
  <c r="O36" i="7"/>
  <c r="B12" i="7"/>
  <c r="B48" i="7"/>
  <c r="O30" i="7"/>
  <c r="P20" i="7"/>
  <c r="B20" i="7" s="1"/>
  <c r="A49" i="7"/>
  <c r="O60" i="7"/>
  <c r="B22" i="7"/>
  <c r="P14" i="7"/>
  <c r="C22" i="7"/>
  <c r="A63" i="7"/>
  <c r="B51" i="7"/>
  <c r="O22" i="7"/>
  <c r="B58" i="7"/>
  <c r="B60" i="7"/>
  <c r="A31" i="7"/>
  <c r="C31" i="7"/>
  <c r="B45" i="7"/>
  <c r="B49" i="7"/>
  <c r="O28" i="7"/>
  <c r="B62" i="7"/>
  <c r="O45" i="7"/>
  <c r="O58" i="7"/>
  <c r="O17" i="7"/>
  <c r="B17" i="7"/>
  <c r="A17" i="7"/>
  <c r="A15" i="7"/>
  <c r="B15" i="7"/>
  <c r="O15" i="7"/>
  <c r="B47" i="7"/>
  <c r="A37" i="7"/>
  <c r="O55" i="7"/>
  <c r="B31" i="7"/>
  <c r="O37" i="7"/>
  <c r="O38" i="7"/>
  <c r="F17" i="7"/>
  <c r="B55" i="7"/>
  <c r="A64" i="7"/>
  <c r="B37" i="7"/>
  <c r="O53" i="7"/>
  <c r="J17" i="7"/>
  <c r="A55" i="7"/>
  <c r="B27" i="7"/>
  <c r="B63" i="7"/>
  <c r="A27" i="7"/>
  <c r="B66" i="7"/>
  <c r="O27" i="7"/>
  <c r="O66" i="7"/>
  <c r="B53" i="7"/>
  <c r="A61" i="7"/>
  <c r="B42" i="7"/>
  <c r="B64" i="7"/>
  <c r="O64" i="7"/>
  <c r="F13" i="7"/>
  <c r="B212" i="1"/>
  <c r="A219" i="1"/>
  <c r="A216" i="1"/>
  <c r="A214" i="1"/>
  <c r="B67" i="7"/>
  <c r="C21" i="7"/>
  <c r="O21" i="7"/>
  <c r="B21" i="7"/>
  <c r="A21" i="7"/>
  <c r="C32" i="7"/>
  <c r="O35" i="7"/>
  <c r="A38" i="7"/>
  <c r="B29" i="7"/>
  <c r="A32" i="7"/>
  <c r="A96" i="7"/>
  <c r="C26" i="7"/>
  <c r="A47" i="7"/>
  <c r="A46" i="7"/>
  <c r="F21" i="7"/>
  <c r="A50" i="7"/>
  <c r="B26" i="7"/>
  <c r="O26" i="7"/>
  <c r="O46" i="7"/>
  <c r="J21" i="7"/>
  <c r="O50" i="7"/>
  <c r="C25" i="7"/>
  <c r="O25" i="7"/>
  <c r="B33" i="7"/>
  <c r="B97" i="7"/>
  <c r="B35" i="7"/>
  <c r="A25" i="7"/>
  <c r="A97" i="7"/>
  <c r="C35" i="7"/>
  <c r="V225" i="1"/>
  <c r="V232" i="1"/>
  <c r="A215" i="1"/>
  <c r="B210" i="1"/>
  <c r="A201" i="1"/>
  <c r="B224" i="1"/>
  <c r="B219" i="1"/>
  <c r="A224" i="1"/>
  <c r="B233" i="1"/>
  <c r="V233" i="1"/>
  <c r="B12" i="9"/>
  <c r="A12" i="9"/>
  <c r="B214" i="1"/>
  <c r="B220" i="1"/>
  <c r="K8" i="7"/>
  <c r="A220" i="1"/>
  <c r="B216" i="1"/>
  <c r="A231" i="1"/>
  <c r="B208" i="1"/>
  <c r="B218" i="1"/>
  <c r="A232" i="1"/>
  <c r="A230" i="1"/>
  <c r="A208" i="1"/>
  <c r="B230" i="1"/>
  <c r="B201" i="1"/>
  <c r="V202" i="1"/>
  <c r="A227" i="1"/>
  <c r="B217" i="1"/>
  <c r="A222" i="1"/>
  <c r="A217" i="1"/>
  <c r="B213" i="1"/>
  <c r="B222" i="1"/>
  <c r="A202" i="1"/>
  <c r="B215" i="1"/>
  <c r="B234" i="1"/>
  <c r="B227" i="1"/>
  <c r="B23" i="7"/>
  <c r="A29" i="7"/>
  <c r="V231" i="1"/>
  <c r="A228" i="1"/>
  <c r="A14" i="1"/>
  <c r="A221" i="1"/>
  <c r="V212" i="1"/>
  <c r="B24" i="7"/>
  <c r="B226" i="1"/>
  <c r="B221" i="1"/>
  <c r="V223" i="1"/>
  <c r="V218" i="1"/>
  <c r="V213" i="1"/>
  <c r="A234" i="1"/>
  <c r="A210" i="1"/>
  <c r="B228" i="1"/>
  <c r="A12" i="7"/>
  <c r="A226" i="1"/>
  <c r="A23" i="7"/>
  <c r="A24" i="7"/>
  <c r="A67" i="7"/>
  <c r="A207" i="1"/>
  <c r="B207" i="1"/>
  <c r="B229" i="1"/>
  <c r="A12" i="1"/>
  <c r="A52" i="7"/>
  <c r="B12" i="1"/>
  <c r="V211" i="1"/>
  <c r="B211" i="1"/>
  <c r="A229" i="1"/>
  <c r="B223" i="1"/>
  <c r="U234" i="1"/>
  <c r="S234" i="1"/>
  <c r="B15" i="1"/>
  <c r="A15" i="1"/>
  <c r="B14" i="1"/>
  <c r="T234" i="1"/>
  <c r="J99" i="7"/>
  <c r="G19" i="8"/>
  <c r="C55" i="7" l="1"/>
  <c r="C56" i="7" s="1"/>
  <c r="C36" i="7"/>
  <c r="A13" i="7"/>
  <c r="O18" i="7"/>
  <c r="B18" i="7"/>
  <c r="A18" i="7"/>
  <c r="B16" i="7"/>
  <c r="B13" i="7"/>
  <c r="O13" i="7"/>
  <c r="A16" i="7"/>
  <c r="B19" i="7"/>
  <c r="A19" i="7"/>
  <c r="C14" i="7"/>
  <c r="O14" i="7"/>
  <c r="B14" i="7"/>
  <c r="A14" i="7"/>
  <c r="O20" i="7"/>
  <c r="A20" i="7"/>
  <c r="C57" i="7" l="1"/>
  <c r="C37" i="7"/>
  <c r="C38" i="7"/>
  <c r="C15" i="7"/>
  <c r="C16" i="7" s="1"/>
  <c r="C58" i="7" l="1"/>
  <c r="C59" i="7" s="1"/>
  <c r="C60" i="7" s="1"/>
  <c r="C61" i="7" s="1"/>
  <c r="C39" i="7"/>
  <c r="C17" i="7"/>
  <c r="C19" i="7" s="1"/>
  <c r="C20" i="7" s="1"/>
  <c r="C40" i="7" l="1"/>
  <c r="L6" i="18"/>
  <c r="C41" i="7" l="1"/>
  <c r="C42" i="7" s="1"/>
  <c r="C43" i="7" s="1"/>
  <c r="C44" i="7" s="1"/>
  <c r="M6" i="20"/>
  <c r="G16" i="20" s="1"/>
  <c r="M6" i="18"/>
  <c r="G15" i="18" s="1"/>
  <c r="L6" i="22"/>
  <c r="K6" i="22"/>
  <c r="M6" i="22"/>
  <c r="L6" i="20"/>
  <c r="G19" i="20" s="1"/>
  <c r="K6" i="18"/>
  <c r="K6" i="20"/>
  <c r="G15" i="20" l="1"/>
  <c r="G20" i="22"/>
  <c r="K7" i="22"/>
  <c r="G14" i="22"/>
  <c r="G19" i="22"/>
  <c r="G17" i="22"/>
  <c r="G18" i="22"/>
  <c r="G21" i="22"/>
  <c r="K7" i="18"/>
  <c r="M18" i="18" s="1"/>
  <c r="G14" i="18"/>
  <c r="G18" i="20"/>
  <c r="G14" i="20"/>
  <c r="G17" i="20"/>
  <c r="K7" i="20"/>
  <c r="M21" i="20" s="1"/>
  <c r="G16" i="22"/>
  <c r="G15" i="22"/>
  <c r="M22" i="20" l="1"/>
  <c r="H14" i="22"/>
  <c r="H17" i="22"/>
  <c r="H15" i="22"/>
  <c r="H20" i="22"/>
  <c r="H16" i="22"/>
  <c r="M16" i="22" s="1"/>
  <c r="H22" i="22"/>
  <c r="H21" i="22"/>
  <c r="H18" i="22"/>
  <c r="H19" i="22"/>
  <c r="H16" i="20"/>
  <c r="H14" i="20"/>
  <c r="M14" i="20" s="1"/>
  <c r="H15" i="20"/>
  <c r="H20" i="20"/>
  <c r="H17" i="20"/>
  <c r="H19" i="20"/>
  <c r="H18" i="20"/>
  <c r="H14" i="18"/>
  <c r="H15" i="18"/>
  <c r="M24" i="22"/>
  <c r="M16" i="18"/>
  <c r="M23" i="20"/>
  <c r="M17" i="18"/>
  <c r="M23" i="22"/>
  <c r="M25" i="22"/>
  <c r="M15" i="22" l="1"/>
  <c r="M19" i="22"/>
  <c r="M18" i="20"/>
  <c r="M14" i="22"/>
  <c r="M17" i="22"/>
  <c r="M14" i="18"/>
  <c r="M20" i="22"/>
  <c r="M18" i="22"/>
  <c r="M17" i="20"/>
  <c r="M15" i="20"/>
  <c r="M20" i="20"/>
  <c r="M21" i="22"/>
  <c r="M15" i="18"/>
  <c r="M16" i="20"/>
  <c r="M22" i="22"/>
  <c r="M19" i="20"/>
  <c r="S723" i="9" l="1"/>
  <c r="S715" i="9"/>
  <c r="S629" i="9"/>
  <c r="S621" i="9"/>
  <c r="S612" i="9"/>
  <c r="S603" i="9"/>
  <c r="S579" i="9"/>
  <c r="S559" i="9"/>
  <c r="S545" i="9"/>
  <c r="S945" i="9"/>
  <c r="S916" i="9"/>
  <c r="S897" i="9"/>
  <c r="S783" i="9"/>
  <c r="S1153" i="9"/>
  <c r="S512" i="9"/>
  <c r="S542" i="9"/>
  <c r="S831" i="9"/>
  <c r="S583" i="9"/>
  <c r="S919" i="9"/>
  <c r="S958" i="9"/>
  <c r="S935" i="9"/>
  <c r="S956" i="9"/>
  <c r="S514" i="9"/>
  <c r="S508" i="9"/>
  <c r="S501" i="9"/>
  <c r="S696" i="9"/>
  <c r="S668" i="9"/>
  <c r="S586" i="9"/>
  <c r="S954" i="9"/>
  <c r="S863" i="9"/>
  <c r="S750" i="9"/>
  <c r="S1063" i="9"/>
  <c r="S1054" i="9"/>
  <c r="S974" i="9"/>
  <c r="S728" i="9"/>
  <c r="S700" i="9"/>
  <c r="S497" i="9"/>
  <c r="S548" i="9"/>
  <c r="S521" i="9"/>
  <c r="S835" i="9"/>
  <c r="S1075" i="9"/>
  <c r="S520" i="9"/>
  <c r="S722" i="9"/>
  <c r="S686" i="9"/>
  <c r="S636" i="9"/>
  <c r="S628" i="9"/>
  <c r="S611" i="9"/>
  <c r="S602" i="9"/>
  <c r="S567" i="9"/>
  <c r="S558" i="9"/>
  <c r="S551" i="9"/>
  <c r="S544" i="9"/>
  <c r="S526" i="9"/>
  <c r="S740" i="9"/>
  <c r="S1128" i="9"/>
  <c r="S990" i="9"/>
  <c r="S962" i="9"/>
  <c r="S498" i="9"/>
  <c r="S532" i="9"/>
  <c r="S988" i="9"/>
  <c r="S719" i="9"/>
  <c r="S616" i="9"/>
  <c r="S746" i="9"/>
  <c r="S511" i="9"/>
  <c r="S563" i="9"/>
  <c r="S929" i="9"/>
  <c r="S978" i="9"/>
  <c r="S1046" i="9"/>
  <c r="S513" i="9"/>
  <c r="S729" i="9"/>
  <c r="S713" i="9"/>
  <c r="S676" i="9"/>
  <c r="S592" i="9"/>
  <c r="S585" i="9"/>
  <c r="S932" i="9"/>
  <c r="S922" i="9"/>
  <c r="S851" i="9"/>
  <c r="S832" i="9"/>
  <c r="S812" i="9"/>
  <c r="S1072" i="9"/>
  <c r="S1062" i="9"/>
  <c r="S981" i="9"/>
  <c r="S591" i="9"/>
  <c r="S549" i="9"/>
  <c r="S1040" i="9"/>
  <c r="S505" i="9"/>
  <c r="S608" i="9"/>
  <c r="S892" i="9"/>
  <c r="S1018" i="9"/>
  <c r="S692" i="9"/>
  <c r="S573" i="9"/>
  <c r="S523" i="9"/>
  <c r="S900" i="9"/>
  <c r="S502" i="9"/>
  <c r="S537" i="9"/>
  <c r="S519" i="9"/>
  <c r="S506" i="9"/>
  <c r="S694" i="9"/>
  <c r="S685" i="9"/>
  <c r="S635" i="9"/>
  <c r="S627" i="9"/>
  <c r="S902" i="9"/>
  <c r="S840" i="9"/>
  <c r="S790" i="9"/>
  <c r="S780" i="9"/>
  <c r="S758" i="9"/>
  <c r="S1081" i="9"/>
  <c r="S998" i="9"/>
  <c r="S556" i="9"/>
  <c r="S524" i="9"/>
  <c r="S518" i="9"/>
  <c r="S664" i="9"/>
  <c r="S590" i="9"/>
  <c r="S555" i="9"/>
  <c r="S509" i="9"/>
  <c r="S553" i="9"/>
  <c r="S984" i="9"/>
  <c r="S517" i="9"/>
  <c r="S734" i="9"/>
  <c r="S699" i="9"/>
  <c r="S640" i="9"/>
  <c r="S615" i="9"/>
  <c r="S597" i="9"/>
  <c r="S530" i="9"/>
  <c r="S909" i="9"/>
  <c r="S891" i="9"/>
  <c r="S847" i="9"/>
  <c r="S818" i="9"/>
  <c r="S808" i="9"/>
  <c r="S1123" i="9"/>
  <c r="S1112" i="9"/>
  <c r="S1005" i="9"/>
  <c r="S510" i="9"/>
  <c r="S503" i="9"/>
  <c r="S725" i="9"/>
  <c r="S708" i="9"/>
  <c r="S650" i="9"/>
  <c r="S631" i="9"/>
  <c r="S589" i="9"/>
  <c r="S581" i="9"/>
  <c r="S554" i="9"/>
  <c r="S522" i="9"/>
  <c r="S947" i="9"/>
  <c r="S918" i="9"/>
  <c r="S856" i="9"/>
  <c r="S836" i="9"/>
  <c r="S1057" i="9"/>
  <c r="S1025" i="9"/>
  <c r="S994" i="9"/>
  <c r="S985" i="9"/>
  <c r="S977" i="9"/>
  <c r="S957" i="9"/>
  <c r="S516" i="9"/>
  <c r="S495" i="9"/>
  <c r="S733" i="9"/>
  <c r="S716" i="9"/>
  <c r="S680" i="9"/>
  <c r="S670" i="9"/>
  <c r="S622" i="9"/>
  <c r="S596" i="9"/>
  <c r="S546" i="9"/>
  <c r="S529" i="9"/>
  <c r="S898" i="9"/>
  <c r="S827" i="9"/>
  <c r="S807" i="9"/>
  <c r="S775" i="9"/>
  <c r="S743" i="9"/>
  <c r="S697" i="9"/>
  <c r="S638" i="9"/>
  <c r="S1024" i="9"/>
  <c r="S865" i="9"/>
  <c r="S961" i="9"/>
  <c r="S698" i="9"/>
  <c r="S538" i="9"/>
  <c r="S824" i="9"/>
  <c r="S613" i="9"/>
  <c r="S577" i="9"/>
  <c r="S761" i="9"/>
  <c r="S844" i="9"/>
  <c r="S727" i="9"/>
  <c r="S574" i="9"/>
  <c r="S943" i="9"/>
  <c r="S641" i="9"/>
  <c r="S576" i="9"/>
  <c r="S737" i="9"/>
  <c r="S504" i="9"/>
  <c r="S515" i="9"/>
  <c r="S771" i="9"/>
  <c r="S749" i="9"/>
  <c r="S1066" i="9"/>
  <c r="S995" i="9"/>
  <c r="S632" i="9"/>
  <c r="S777" i="9"/>
  <c r="S610" i="9"/>
  <c r="S1071" i="9"/>
  <c r="S1012" i="9"/>
  <c r="S619" i="9"/>
  <c r="S821" i="9"/>
  <c r="S866" i="9"/>
  <c r="S849" i="9"/>
  <c r="S718" i="9"/>
  <c r="S687" i="9"/>
  <c r="S766" i="9"/>
  <c r="S826" i="9"/>
  <c r="S886" i="9"/>
  <c r="S1134" i="9"/>
  <c r="S748" i="9"/>
  <c r="S983" i="9"/>
  <c r="S1008" i="9"/>
  <c r="S1055" i="9"/>
  <c r="S880" i="9"/>
  <c r="S982" i="9"/>
  <c r="S1133" i="9"/>
  <c r="S913" i="9"/>
  <c r="S887" i="9"/>
  <c r="S1039" i="9"/>
  <c r="S1257" i="9"/>
  <c r="S1250" i="9"/>
  <c r="S869" i="9"/>
  <c r="S658" i="9"/>
  <c r="S732" i="9"/>
  <c r="S630" i="9"/>
  <c r="S920" i="9"/>
  <c r="S646" i="9"/>
  <c r="S582" i="9"/>
  <c r="S809" i="9"/>
  <c r="S924" i="9"/>
  <c r="S940" i="9"/>
  <c r="S533" i="9"/>
  <c r="S588" i="9"/>
  <c r="S730" i="9"/>
  <c r="S496" i="9"/>
  <c r="S823" i="9"/>
  <c r="S1059" i="9"/>
  <c r="S1141" i="9"/>
  <c r="S639" i="9"/>
  <c r="S792" i="9"/>
  <c r="S779" i="9"/>
  <c r="S1094" i="9"/>
  <c r="S1028" i="9"/>
  <c r="S789" i="9"/>
  <c r="S855" i="9"/>
  <c r="S936" i="9"/>
  <c r="S876" i="9"/>
  <c r="S655" i="9"/>
  <c r="S666" i="9"/>
  <c r="S693" i="9"/>
  <c r="S1011" i="9"/>
  <c r="S989" i="9"/>
  <c r="S1003" i="9"/>
  <c r="S1139" i="9"/>
  <c r="S760" i="9"/>
  <c r="S1023" i="9"/>
  <c r="S1078" i="9"/>
  <c r="S996" i="9"/>
  <c r="S830" i="9"/>
  <c r="S901" i="9"/>
  <c r="S993" i="9"/>
  <c r="S854" i="9"/>
  <c r="S1167" i="9"/>
  <c r="S951" i="9"/>
  <c r="S890" i="9"/>
  <c r="S1242" i="9"/>
  <c r="S539" i="9"/>
  <c r="S1021" i="9"/>
  <c r="S1166" i="9"/>
  <c r="S593" i="9"/>
  <c r="S709" i="9"/>
  <c r="S527" i="9"/>
  <c r="S667" i="9"/>
  <c r="S682" i="9"/>
  <c r="S925" i="9"/>
  <c r="S536" i="9"/>
  <c r="S644" i="9"/>
  <c r="S543" i="9"/>
  <c r="S605" i="9"/>
  <c r="S678" i="9"/>
  <c r="S633" i="9"/>
  <c r="S739" i="9"/>
  <c r="S1165" i="9"/>
  <c r="S930" i="9"/>
  <c r="S787" i="9"/>
  <c r="S1095" i="9"/>
  <c r="S1045" i="9"/>
  <c r="S917" i="9"/>
  <c r="S915" i="9"/>
  <c r="S938" i="9"/>
  <c r="S926" i="9"/>
  <c r="S684" i="9"/>
  <c r="S1036" i="9"/>
  <c r="S745" i="9"/>
  <c r="S1098" i="9"/>
  <c r="S1004" i="9"/>
  <c r="S1013" i="9"/>
  <c r="S1152" i="9"/>
  <c r="S1026" i="9"/>
  <c r="S1044" i="9"/>
  <c r="S964" i="9"/>
  <c r="S999" i="9"/>
  <c r="S1253" i="9"/>
  <c r="S877" i="9"/>
  <c r="S1014" i="9"/>
  <c r="S1120" i="9"/>
  <c r="S848" i="9"/>
  <c r="S868" i="9"/>
  <c r="S893" i="9"/>
  <c r="S1050" i="9"/>
  <c r="S1244" i="9"/>
  <c r="S1073" i="9"/>
  <c r="S614" i="9"/>
  <c r="S973" i="9"/>
  <c r="S731" i="9"/>
  <c r="S941" i="9"/>
  <c r="S580" i="9"/>
  <c r="S688" i="9"/>
  <c r="S717" i="9"/>
  <c r="S566" i="9"/>
  <c r="S726" i="9"/>
  <c r="S624" i="9"/>
  <c r="S701" i="9"/>
  <c r="S873" i="9"/>
  <c r="S1022" i="9"/>
  <c r="S756" i="9"/>
  <c r="S838" i="9"/>
  <c r="S800" i="9"/>
  <c r="S796" i="9"/>
  <c r="S595" i="9"/>
  <c r="S1116" i="9"/>
  <c r="S1148" i="9"/>
  <c r="S1135" i="9"/>
  <c r="S594" i="9"/>
  <c r="S944" i="9"/>
  <c r="S942" i="9"/>
  <c r="S660" i="9"/>
  <c r="S955" i="9"/>
  <c r="S1037" i="9"/>
  <c r="S785" i="9"/>
  <c r="S885" i="9"/>
  <c r="S991" i="9"/>
  <c r="S1000" i="9"/>
  <c r="S1144" i="9"/>
  <c r="S1051" i="9"/>
  <c r="S1048" i="9"/>
  <c r="S997" i="9"/>
  <c r="S1002" i="9"/>
  <c r="S1065" i="9"/>
  <c r="S960" i="9"/>
  <c r="S1083" i="9"/>
  <c r="S1161" i="9"/>
  <c r="S1107" i="9"/>
  <c r="S931" i="9"/>
  <c r="S896" i="9"/>
  <c r="S1164" i="9"/>
  <c r="S1126" i="9"/>
  <c r="S1256" i="9"/>
  <c r="S764" i="9"/>
  <c r="S819" i="9"/>
  <c r="S1111" i="9"/>
  <c r="S879" i="9"/>
  <c r="S1031" i="9"/>
  <c r="S1109" i="9"/>
  <c r="S903" i="9"/>
  <c r="S690" i="9"/>
  <c r="S571" i="9"/>
  <c r="S736" i="9"/>
  <c r="S653" i="9"/>
  <c r="S703" i="9"/>
  <c r="S634" i="9"/>
  <c r="S845" i="9"/>
  <c r="S883" i="9"/>
  <c r="S791" i="9"/>
  <c r="S908" i="9"/>
  <c r="S769" i="9"/>
  <c r="S811" i="9"/>
  <c r="S1155" i="9"/>
  <c r="S1162" i="9"/>
  <c r="S914" i="9"/>
  <c r="S895" i="9"/>
  <c r="S642" i="9"/>
  <c r="S689" i="9"/>
  <c r="S648" i="9"/>
  <c r="S967" i="9"/>
  <c r="S1038" i="9"/>
  <c r="S1020" i="9"/>
  <c r="S1102" i="9"/>
  <c r="S1096" i="9"/>
  <c r="S1169" i="9"/>
  <c r="S1006" i="9"/>
  <c r="S1074" i="9"/>
  <c r="S1029" i="9"/>
  <c r="S963" i="9"/>
  <c r="S1110" i="9"/>
  <c r="S1168" i="9"/>
  <c r="S825" i="9"/>
  <c r="S937" i="9"/>
  <c r="S899" i="9"/>
  <c r="S1138" i="9"/>
  <c r="S1113" i="9"/>
  <c r="S1125" i="9"/>
  <c r="S1248" i="9"/>
  <c r="S778" i="9"/>
  <c r="S965" i="9"/>
  <c r="S773" i="9"/>
  <c r="S609" i="9"/>
  <c r="S767" i="9"/>
  <c r="S905" i="9"/>
  <c r="S853" i="9"/>
  <c r="S1145" i="9"/>
  <c r="S578" i="9"/>
  <c r="S850" i="9"/>
  <c r="S572" i="9"/>
  <c r="S557" i="9"/>
  <c r="S540" i="9"/>
  <c r="S607" i="9"/>
  <c r="S525" i="9"/>
  <c r="S661" i="9"/>
  <c r="S814" i="9"/>
  <c r="S820" i="9"/>
  <c r="S788" i="9"/>
  <c r="S786" i="9"/>
  <c r="S662" i="9"/>
  <c r="S738" i="9"/>
  <c r="S871" i="9"/>
  <c r="S1117" i="9"/>
  <c r="S1118" i="9"/>
  <c r="S839" i="9"/>
  <c r="S911" i="9"/>
  <c r="S768" i="9"/>
  <c r="S626" i="9"/>
  <c r="S654" i="9"/>
  <c r="S649" i="9"/>
  <c r="S679" i="9"/>
  <c r="S663" i="9"/>
  <c r="S968" i="9"/>
  <c r="S742" i="9"/>
  <c r="S992" i="9"/>
  <c r="S1082" i="9"/>
  <c r="S1027" i="9"/>
  <c r="S757" i="9"/>
  <c r="S1070" i="9"/>
  <c r="S1053" i="9"/>
  <c r="S861" i="9"/>
  <c r="S1089" i="9"/>
  <c r="S1245" i="9"/>
  <c r="S1076" i="9"/>
  <c r="S1137" i="9"/>
  <c r="S1129" i="9"/>
  <c r="S972" i="9"/>
  <c r="S834" i="9"/>
  <c r="S860" i="9"/>
  <c r="S907" i="9"/>
  <c r="S875" i="9"/>
  <c r="S1084" i="9"/>
  <c r="S1156" i="9"/>
  <c r="S1251" i="9"/>
  <c r="S752" i="9"/>
  <c r="S933" i="9"/>
  <c r="S565" i="9"/>
  <c r="S1085" i="9"/>
  <c r="S564" i="9"/>
  <c r="S561" i="9"/>
  <c r="S1086" i="9"/>
  <c r="S751" i="9"/>
  <c r="S949" i="9"/>
  <c r="S706" i="9"/>
  <c r="S683" i="9"/>
  <c r="S675" i="9"/>
  <c r="S1097" i="9"/>
  <c r="S1150" i="9"/>
  <c r="S1056" i="9"/>
  <c r="S822" i="9"/>
  <c r="S782" i="9"/>
  <c r="S870" i="9"/>
  <c r="S1122" i="9"/>
  <c r="S1258" i="9"/>
  <c r="S966" i="9"/>
  <c r="S1160" i="9"/>
  <c r="S888" i="9"/>
  <c r="S673" i="9"/>
  <c r="S975" i="9"/>
  <c r="S1090" i="9"/>
  <c r="S707" i="9"/>
  <c r="S1034" i="9"/>
  <c r="S816" i="9"/>
  <c r="S1255" i="9"/>
  <c r="S606" i="9"/>
  <c r="S724" i="9"/>
  <c r="S1058" i="9"/>
  <c r="S923" i="9"/>
  <c r="S852" i="9"/>
  <c r="S980" i="9"/>
  <c r="S801" i="9"/>
  <c r="S570" i="9"/>
  <c r="S1163" i="9"/>
  <c r="S1158" i="9"/>
  <c r="S569" i="9"/>
  <c r="S882" i="9"/>
  <c r="S568" i="9"/>
  <c r="S507" i="9"/>
  <c r="S741" i="9"/>
  <c r="S759" i="9"/>
  <c r="S712" i="9"/>
  <c r="S705" i="9"/>
  <c r="S681" i="9"/>
  <c r="S1143" i="9"/>
  <c r="S1088" i="9"/>
  <c r="S843" i="9"/>
  <c r="S1030" i="9"/>
  <c r="S1247" i="9"/>
  <c r="S813" i="9"/>
  <c r="S1015" i="9"/>
  <c r="S656" i="9"/>
  <c r="S859" i="9"/>
  <c r="S1080" i="9"/>
  <c r="S797" i="9"/>
  <c r="S677" i="9"/>
  <c r="S1001" i="9"/>
  <c r="S1092" i="9"/>
  <c r="S1147" i="9"/>
  <c r="S1033" i="9"/>
  <c r="S674" i="9"/>
  <c r="S987" i="9"/>
  <c r="S906" i="9"/>
  <c r="S881" i="9"/>
  <c r="S702" i="9"/>
  <c r="S1130" i="9"/>
  <c r="S625" i="9"/>
  <c r="S1091" i="9"/>
  <c r="S1114" i="9"/>
  <c r="S946" i="9"/>
  <c r="S720" i="9"/>
  <c r="S600" i="9"/>
  <c r="S735" i="9"/>
  <c r="S665" i="9"/>
  <c r="S755" i="9"/>
  <c r="S846" i="9"/>
  <c r="S799" i="9"/>
  <c r="S1009" i="9"/>
  <c r="S878" i="9"/>
  <c r="S695" i="9"/>
  <c r="S1041" i="9"/>
  <c r="S976" i="9"/>
  <c r="S810" i="9"/>
  <c r="S711" i="9"/>
  <c r="S637" i="9"/>
  <c r="S829" i="9"/>
  <c r="S817" i="9"/>
  <c r="S1119" i="9"/>
  <c r="S762" i="9"/>
  <c r="S948" i="9"/>
  <c r="S721" i="9"/>
  <c r="S601" i="9"/>
  <c r="S617" i="9"/>
  <c r="S500" i="9"/>
  <c r="S1043" i="9"/>
  <c r="S842" i="9"/>
  <c r="S1157" i="9"/>
  <c r="S1019" i="9"/>
  <c r="S599" i="9"/>
  <c r="S659" i="9"/>
  <c r="S1016" i="9"/>
  <c r="S1035" i="9"/>
  <c r="S894" i="9"/>
  <c r="S1132" i="9"/>
  <c r="S970" i="9"/>
  <c r="S833" i="9"/>
  <c r="S1105" i="9"/>
  <c r="S754" i="9"/>
  <c r="S939" i="9"/>
  <c r="S795" i="9"/>
  <c r="S620" i="9"/>
  <c r="S772" i="9"/>
  <c r="S763" i="9"/>
  <c r="S1099" i="9"/>
  <c r="S803" i="9"/>
  <c r="S1140" i="9"/>
  <c r="S784" i="9"/>
  <c r="S562" i="9"/>
  <c r="S552" i="9"/>
  <c r="S604" i="9"/>
  <c r="S652" i="9"/>
  <c r="S858" i="9"/>
  <c r="S1106" i="9"/>
  <c r="S753" i="9"/>
  <c r="S598" i="9"/>
  <c r="S691" i="9"/>
  <c r="S828" i="9"/>
  <c r="S1115" i="9"/>
  <c r="S1069" i="9"/>
  <c r="S1017" i="9"/>
  <c r="S1042" i="9"/>
  <c r="S1136" i="9"/>
  <c r="S971" i="9"/>
  <c r="S872" i="9"/>
  <c r="S1142" i="9"/>
  <c r="S802" i="9"/>
  <c r="S864" i="9"/>
  <c r="S575" i="9"/>
  <c r="S781" i="9"/>
  <c r="S950" i="9"/>
  <c r="S643" i="9"/>
  <c r="S584" i="9"/>
  <c r="S618" i="9"/>
  <c r="S671" i="9"/>
  <c r="S1108" i="9"/>
  <c r="S806" i="9"/>
  <c r="S928" i="9"/>
  <c r="S1100" i="9"/>
  <c r="S841" i="9"/>
  <c r="S798" i="9"/>
  <c r="S910" i="9"/>
  <c r="S867" i="9"/>
  <c r="S704" i="9"/>
  <c r="S499" i="9"/>
  <c r="S1103" i="9"/>
  <c r="S776" i="9"/>
  <c r="S747" i="9"/>
  <c r="S765" i="9"/>
  <c r="S921" i="9"/>
  <c r="S645" i="9"/>
  <c r="S1149" i="9"/>
  <c r="S770" i="9"/>
  <c r="S1010" i="9"/>
  <c r="S1032" i="9"/>
  <c r="S1154" i="9"/>
  <c r="S862" i="9"/>
  <c r="S1049" i="9"/>
  <c r="S1252" i="9"/>
  <c r="S1061" i="9"/>
  <c r="S528" i="9"/>
  <c r="S1093" i="9"/>
  <c r="S815" i="9"/>
  <c r="S550" i="9"/>
  <c r="S541" i="9"/>
  <c r="S535" i="9"/>
  <c r="S952" i="9"/>
  <c r="S710" i="9"/>
  <c r="S1131" i="9"/>
  <c r="S1101" i="9"/>
  <c r="S804" i="9"/>
  <c r="S793" i="9"/>
  <c r="S934" i="9"/>
  <c r="S647" i="9"/>
  <c r="S651" i="9"/>
  <c r="S986" i="9"/>
  <c r="S1246" i="9"/>
  <c r="S1170" i="9"/>
  <c r="S1047" i="9"/>
  <c r="S1067" i="9"/>
  <c r="S1171" i="9"/>
  <c r="S874" i="9"/>
  <c r="S1052" i="9"/>
  <c r="S1249" i="9"/>
  <c r="S531" i="9"/>
  <c r="S714" i="9"/>
  <c r="S857" i="9"/>
  <c r="S927" i="9"/>
  <c r="S534" i="9"/>
  <c r="S884" i="9"/>
  <c r="S1121" i="9"/>
  <c r="S547" i="9"/>
  <c r="S969" i="9"/>
  <c r="S1254" i="9"/>
  <c r="S669" i="9"/>
  <c r="S587" i="9"/>
  <c r="S1077" i="9"/>
  <c r="S1127" i="9"/>
  <c r="S1104" i="9"/>
  <c r="S672" i="9"/>
  <c r="S1064" i="9"/>
  <c r="S794" i="9"/>
  <c r="S1060" i="9"/>
  <c r="S560" i="9"/>
  <c r="S744" i="9"/>
  <c r="S1146" i="9"/>
  <c r="S1087" i="9"/>
  <c r="S774" i="9"/>
  <c r="S805" i="9"/>
  <c r="S959" i="9"/>
  <c r="S1151" i="9"/>
  <c r="S1068" i="9"/>
  <c r="S1007" i="9"/>
  <c r="S979" i="9"/>
  <c r="S1243" i="9"/>
  <c r="S1079" i="9"/>
  <c r="S1259" i="9"/>
  <c r="S657" i="9"/>
  <c r="S1124" i="9"/>
  <c r="S889" i="9"/>
  <c r="S912" i="9"/>
  <c r="S1159" i="9"/>
  <c r="S904" i="9"/>
  <c r="S953" i="9"/>
  <c r="S837" i="9"/>
  <c r="S623" i="9"/>
  <c r="S1310" i="9"/>
  <c r="S1308" i="9"/>
  <c r="S1301" i="9"/>
  <c r="S1230" i="9"/>
  <c r="S1206" i="9"/>
  <c r="S1299" i="9"/>
  <c r="S1326" i="9"/>
  <c r="S1270" i="9"/>
  <c r="S1302" i="9"/>
  <c r="S1229" i="9"/>
  <c r="S1224" i="9"/>
  <c r="S1322" i="9"/>
  <c r="S1312" i="9"/>
  <c r="S1293" i="9"/>
  <c r="S1241" i="9"/>
  <c r="S1297" i="9"/>
  <c r="S1306" i="9"/>
  <c r="S1321" i="9"/>
  <c r="S1316" i="9"/>
  <c r="S1294" i="9"/>
  <c r="S1307" i="9"/>
  <c r="S1260" i="9"/>
  <c r="S1207" i="9"/>
  <c r="S1172" i="9"/>
  <c r="S1204" i="9"/>
  <c r="S1210" i="9"/>
  <c r="S1200" i="9"/>
  <c r="S1195" i="9"/>
  <c r="S1190" i="9"/>
  <c r="S1305" i="9"/>
  <c r="S1182" i="9"/>
  <c r="S1227" i="9"/>
  <c r="S1189" i="9"/>
  <c r="S1320" i="9"/>
  <c r="S1240" i="9"/>
  <c r="S1238" i="9"/>
  <c r="S1324" i="9"/>
  <c r="S1313" i="9"/>
  <c r="S1265" i="9"/>
  <c r="S1267" i="9"/>
  <c r="S1179" i="9"/>
  <c r="S1199" i="9"/>
  <c r="S1203" i="9"/>
  <c r="S1194" i="9"/>
  <c r="S1264" i="9"/>
  <c r="S1266" i="9"/>
  <c r="S1174" i="9"/>
  <c r="S1213" i="9"/>
  <c r="S1269" i="9"/>
  <c r="S1209" i="9"/>
  <c r="S1319" i="9"/>
  <c r="S1176" i="9"/>
  <c r="S1268" i="9"/>
  <c r="S1295" i="9"/>
  <c r="S1272" i="9"/>
  <c r="S1231" i="9"/>
  <c r="S1205" i="9"/>
  <c r="S1188" i="9"/>
  <c r="S1181" i="9"/>
  <c r="S1180" i="9"/>
  <c r="S1273" i="9"/>
  <c r="S1197" i="9"/>
  <c r="S1183" i="9"/>
  <c r="S1177" i="9"/>
  <c r="S1235" i="9"/>
  <c r="S1198" i="9"/>
  <c r="S1193" i="9"/>
  <c r="S1325" i="9"/>
  <c r="S1309" i="9"/>
  <c r="S1236" i="9"/>
  <c r="S1323" i="9"/>
  <c r="S1202" i="9"/>
  <c r="S1208" i="9"/>
  <c r="S1211" i="9"/>
  <c r="S1303" i="9"/>
  <c r="S1232" i="9"/>
  <c r="S1178" i="9"/>
  <c r="S1184" i="9"/>
  <c r="S1300" i="9"/>
  <c r="S1192" i="9"/>
  <c r="S1185" i="9"/>
  <c r="S1298" i="9"/>
  <c r="S1228" i="9"/>
  <c r="S1175" i="9"/>
  <c r="S1187" i="9"/>
  <c r="S1315" i="9"/>
  <c r="S1225" i="9"/>
  <c r="S1317" i="9"/>
  <c r="S1296" i="9"/>
  <c r="S1261" i="9"/>
  <c r="S1196" i="9"/>
  <c r="S1233" i="9"/>
  <c r="S1186" i="9"/>
  <c r="S1271" i="9"/>
  <c r="S1327" i="9"/>
  <c r="S1311" i="9"/>
  <c r="S1328" i="9"/>
  <c r="S1318" i="9"/>
  <c r="S1314" i="9"/>
  <c r="S1226" i="9"/>
  <c r="S1201" i="9"/>
  <c r="S1304" i="9"/>
  <c r="S1239" i="9"/>
  <c r="S1173" i="9"/>
  <c r="S1212" i="9"/>
  <c r="S1262" i="9"/>
  <c r="S1234" i="9"/>
  <c r="S1237" i="9"/>
  <c r="S1263" i="9"/>
  <c r="S1191" i="9"/>
  <c r="S1337" i="9"/>
  <c r="S1349" i="9"/>
  <c r="S1348" i="9"/>
  <c r="S1344" i="9"/>
  <c r="S1342" i="9"/>
  <c r="S1329" i="9"/>
  <c r="S1331" i="9"/>
  <c r="S1338" i="9"/>
  <c r="S1345" i="9"/>
  <c r="S1356" i="9"/>
  <c r="S1292" i="9"/>
  <c r="S1285" i="9"/>
  <c r="S1365" i="9"/>
  <c r="S1399" i="9"/>
  <c r="S1359" i="9"/>
  <c r="S1333" i="9"/>
  <c r="S1372" i="9"/>
  <c r="S1355" i="9"/>
  <c r="S1283" i="9"/>
  <c r="S1221" i="9"/>
  <c r="S1284" i="9"/>
  <c r="S1275" i="9"/>
  <c r="S1377" i="9"/>
  <c r="S1346" i="9"/>
  <c r="S1341" i="9"/>
  <c r="S1288" i="9"/>
  <c r="S1218" i="9"/>
  <c r="S1220" i="9"/>
  <c r="S1286" i="9"/>
  <c r="S1280" i="9"/>
  <c r="S1369" i="9"/>
  <c r="S1398" i="9"/>
  <c r="S1335" i="9"/>
  <c r="S1370" i="9"/>
  <c r="S1390" i="9"/>
  <c r="S1353" i="9"/>
  <c r="S1274" i="9"/>
  <c r="S1366" i="9"/>
  <c r="S1332" i="9"/>
  <c r="S1351" i="9"/>
  <c r="S1223" i="9"/>
  <c r="S1291" i="9"/>
  <c r="S1371" i="9"/>
  <c r="S1357" i="9"/>
  <c r="S1216" i="9"/>
  <c r="S1336" i="9"/>
  <c r="S1343" i="9"/>
  <c r="S1375" i="9"/>
  <c r="S1330" i="9"/>
  <c r="S1334" i="9"/>
  <c r="S1376" i="9"/>
  <c r="S1279" i="9"/>
  <c r="S1290" i="9"/>
  <c r="S1368" i="9"/>
  <c r="S1364" i="9"/>
  <c r="S1287" i="9"/>
  <c r="S1378" i="9"/>
  <c r="S1392" i="9"/>
  <c r="S1350" i="9"/>
  <c r="S1400" i="9"/>
  <c r="S1289" i="9"/>
  <c r="S1219" i="9"/>
  <c r="S1389" i="9"/>
  <c r="S1358" i="9"/>
  <c r="S1394" i="9"/>
  <c r="S1277" i="9"/>
  <c r="S1340" i="9"/>
  <c r="S1339" i="9"/>
  <c r="S1373" i="9"/>
  <c r="S1214" i="9"/>
  <c r="S1278" i="9"/>
  <c r="S1276" i="9"/>
  <c r="S1222" i="9"/>
  <c r="S1363" i="9"/>
  <c r="S1362" i="9"/>
  <c r="S1281" i="9"/>
  <c r="S1361" i="9"/>
  <c r="S1215" i="9"/>
  <c r="S1347" i="9"/>
  <c r="S1379" i="9"/>
  <c r="S1367" i="9"/>
  <c r="S1282" i="9"/>
  <c r="S1391" i="9"/>
  <c r="S1360" i="9"/>
  <c r="S1217" i="9"/>
  <c r="S1352" i="9"/>
  <c r="S1354" i="9"/>
  <c r="S1374" i="9"/>
  <c r="S1393" i="9"/>
  <c r="M6" i="21"/>
  <c r="K6" i="21"/>
  <c r="L6" i="21"/>
  <c r="B1217" i="9" l="1"/>
  <c r="R1217" i="9"/>
  <c r="A1217" i="9"/>
  <c r="A1365" i="9"/>
  <c r="R1365" i="9"/>
  <c r="B1365" i="9"/>
  <c r="R1319" i="9"/>
  <c r="A1319" i="9"/>
  <c r="B1319" i="9"/>
  <c r="B744" i="9"/>
  <c r="A744" i="9"/>
  <c r="R744" i="9"/>
  <c r="R1017" i="9"/>
  <c r="B1017" i="9"/>
  <c r="A1017" i="9"/>
  <c r="A1092" i="9"/>
  <c r="B1092" i="9"/>
  <c r="R1092" i="9"/>
  <c r="B1137" i="9"/>
  <c r="R1137" i="9"/>
  <c r="A1137" i="9"/>
  <c r="A690" i="9"/>
  <c r="R690" i="9"/>
  <c r="B690" i="9"/>
  <c r="B1098" i="9"/>
  <c r="R1098" i="9"/>
  <c r="A1098" i="9"/>
  <c r="R732" i="9"/>
  <c r="B732" i="9"/>
  <c r="A732" i="9"/>
  <c r="R985" i="9"/>
  <c r="B985" i="9"/>
  <c r="A985" i="9"/>
  <c r="R544" i="9"/>
  <c r="B544" i="9"/>
  <c r="A544" i="9"/>
  <c r="B1400" i="9"/>
  <c r="A1400" i="9"/>
  <c r="R1400" i="9"/>
  <c r="A1318" i="9"/>
  <c r="R1318" i="9"/>
  <c r="B1318" i="9"/>
  <c r="R1293" i="9"/>
  <c r="B1293" i="9"/>
  <c r="A1293" i="9"/>
  <c r="R704" i="9"/>
  <c r="A704" i="9"/>
  <c r="B704" i="9"/>
  <c r="R1041" i="9"/>
  <c r="A1041" i="9"/>
  <c r="B1041" i="9"/>
  <c r="A1150" i="9"/>
  <c r="R1150" i="9"/>
  <c r="B1150" i="9"/>
  <c r="A1113" i="9"/>
  <c r="R1113" i="9"/>
  <c r="B1113" i="9"/>
  <c r="A688" i="9"/>
  <c r="R688" i="9"/>
  <c r="B688" i="9"/>
  <c r="B593" i="9"/>
  <c r="A593" i="9"/>
  <c r="R593" i="9"/>
  <c r="A983" i="9"/>
  <c r="B983" i="9"/>
  <c r="R983" i="9"/>
  <c r="R650" i="9"/>
  <c r="A650" i="9"/>
  <c r="B650" i="9"/>
  <c r="R592" i="9"/>
  <c r="B592" i="9"/>
  <c r="A592" i="9"/>
  <c r="R545" i="9"/>
  <c r="A545" i="9"/>
  <c r="B545" i="9"/>
  <c r="B1377" i="9"/>
  <c r="A1377" i="9"/>
  <c r="R1377" i="9"/>
  <c r="B1269" i="9"/>
  <c r="R1269" i="9"/>
  <c r="A1269" i="9"/>
  <c r="B1121" i="9"/>
  <c r="R1121" i="9"/>
  <c r="A1121" i="9"/>
  <c r="A1115" i="9"/>
  <c r="B1115" i="9"/>
  <c r="R1115" i="9"/>
  <c r="R677" i="9"/>
  <c r="B677" i="9"/>
  <c r="A677" i="9"/>
  <c r="B1245" i="9"/>
  <c r="R1245" i="9"/>
  <c r="A1245" i="9"/>
  <c r="A769" i="9"/>
  <c r="R769" i="9"/>
  <c r="B769" i="9"/>
  <c r="R1036" i="9"/>
  <c r="B1036" i="9"/>
  <c r="A1036" i="9"/>
  <c r="A869" i="9"/>
  <c r="R869" i="9"/>
  <c r="B869" i="9"/>
  <c r="R1025" i="9"/>
  <c r="B1025" i="9"/>
  <c r="A1025" i="9"/>
  <c r="R549" i="9"/>
  <c r="B549" i="9"/>
  <c r="A549" i="9"/>
  <c r="B676" i="9"/>
  <c r="R676" i="9"/>
  <c r="A676" i="9"/>
  <c r="A521" i="9"/>
  <c r="B521" i="9"/>
  <c r="R521" i="9"/>
  <c r="B1336" i="9"/>
  <c r="A1336" i="9"/>
  <c r="R1336" i="9"/>
  <c r="B1180" i="9"/>
  <c r="R1180" i="9"/>
  <c r="A1180" i="9"/>
  <c r="R884" i="9"/>
  <c r="A884" i="9"/>
  <c r="B884" i="9"/>
  <c r="A828" i="9"/>
  <c r="R828" i="9"/>
  <c r="B828" i="9"/>
  <c r="B705" i="9"/>
  <c r="A705" i="9"/>
  <c r="R705" i="9"/>
  <c r="R649" i="9"/>
  <c r="A649" i="9"/>
  <c r="B649" i="9"/>
  <c r="A1031" i="9"/>
  <c r="R1031" i="9"/>
  <c r="B1031" i="9"/>
  <c r="A678" i="9"/>
  <c r="B678" i="9"/>
  <c r="R678" i="9"/>
  <c r="R1134" i="9"/>
  <c r="A1134" i="9"/>
  <c r="B1134" i="9"/>
  <c r="A725" i="9"/>
  <c r="B725" i="9"/>
  <c r="R725" i="9"/>
  <c r="R583" i="9"/>
  <c r="B583" i="9"/>
  <c r="A583" i="9"/>
  <c r="B1284" i="9"/>
  <c r="R1284" i="9"/>
  <c r="A1284" i="9"/>
  <c r="A1181" i="9"/>
  <c r="R1181" i="9"/>
  <c r="B1181" i="9"/>
  <c r="A837" i="9"/>
  <c r="B837" i="9"/>
  <c r="R837" i="9"/>
  <c r="R541" i="9"/>
  <c r="A541" i="9"/>
  <c r="B541" i="9"/>
  <c r="A1035" i="9"/>
  <c r="B1035" i="9"/>
  <c r="R1035" i="9"/>
  <c r="B852" i="9"/>
  <c r="R852" i="9"/>
  <c r="A852" i="9"/>
  <c r="A820" i="9"/>
  <c r="R820" i="9"/>
  <c r="B820" i="9"/>
  <c r="R960" i="9"/>
  <c r="B960" i="9"/>
  <c r="A960" i="9"/>
  <c r="B605" i="9"/>
  <c r="A605" i="9"/>
  <c r="R605" i="9"/>
  <c r="R886" i="9"/>
  <c r="B886" i="9"/>
  <c r="A886" i="9"/>
  <c r="R988" i="9"/>
  <c r="A988" i="9"/>
  <c r="B988" i="9"/>
  <c r="A1339" i="9"/>
  <c r="R1339" i="9"/>
  <c r="B1339" i="9"/>
  <c r="B1262" i="9"/>
  <c r="R1262" i="9"/>
  <c r="A1262" i="9"/>
  <c r="B1320" i="9"/>
  <c r="A1320" i="9"/>
  <c r="R1320" i="9"/>
  <c r="R986" i="9"/>
  <c r="B986" i="9"/>
  <c r="A986" i="9"/>
  <c r="R1016" i="9"/>
  <c r="A1016" i="9"/>
  <c r="B1016" i="9"/>
  <c r="B1160" i="9"/>
  <c r="A1160" i="9"/>
  <c r="R1160" i="9"/>
  <c r="B905" i="9"/>
  <c r="A905" i="9"/>
  <c r="R905" i="9"/>
  <c r="R1111" i="9"/>
  <c r="B1111" i="9"/>
  <c r="A1111" i="9"/>
  <c r="A999" i="9"/>
  <c r="R999" i="9"/>
  <c r="B999" i="9"/>
  <c r="R543" i="9"/>
  <c r="B543" i="9"/>
  <c r="A543" i="9"/>
  <c r="R940" i="9"/>
  <c r="B940" i="9"/>
  <c r="A940" i="9"/>
  <c r="B826" i="9"/>
  <c r="A826" i="9"/>
  <c r="R826" i="9"/>
  <c r="A727" i="9"/>
  <c r="B727" i="9"/>
  <c r="R727" i="9"/>
  <c r="R680" i="9"/>
  <c r="B680" i="9"/>
  <c r="A680" i="9"/>
  <c r="B900" i="9"/>
  <c r="A900" i="9"/>
  <c r="R900" i="9"/>
  <c r="R1062" i="9"/>
  <c r="B1062" i="9"/>
  <c r="A1062" i="9"/>
  <c r="B611" i="9"/>
  <c r="A611" i="9"/>
  <c r="R611" i="9"/>
  <c r="B1364" i="9"/>
  <c r="A1364" i="9"/>
  <c r="R1364" i="9"/>
  <c r="A1283" i="9"/>
  <c r="B1283" i="9"/>
  <c r="R1283" i="9"/>
  <c r="A1331" i="9"/>
  <c r="R1331" i="9"/>
  <c r="B1331" i="9"/>
  <c r="B1186" i="9"/>
  <c r="R1186" i="9"/>
  <c r="A1186" i="9"/>
  <c r="B1185" i="9"/>
  <c r="R1185" i="9"/>
  <c r="A1185" i="9"/>
  <c r="A1309" i="9"/>
  <c r="B1309" i="9"/>
  <c r="R1309" i="9"/>
  <c r="R1205" i="9"/>
  <c r="A1205" i="9"/>
  <c r="B1205" i="9"/>
  <c r="A1264" i="9"/>
  <c r="B1264" i="9"/>
  <c r="R1264" i="9"/>
  <c r="R1189" i="9"/>
  <c r="B1189" i="9"/>
  <c r="A1189" i="9"/>
  <c r="B1307" i="9"/>
  <c r="A1307" i="9"/>
  <c r="R1307" i="9"/>
  <c r="B1302" i="9"/>
  <c r="A1302" i="9"/>
  <c r="R1302" i="9"/>
  <c r="A904" i="9"/>
  <c r="R904" i="9"/>
  <c r="B904" i="9"/>
  <c r="R1151" i="9"/>
  <c r="B1151" i="9"/>
  <c r="A1151" i="9"/>
  <c r="B1104" i="9"/>
  <c r="A1104" i="9"/>
  <c r="R1104" i="9"/>
  <c r="A857" i="9"/>
  <c r="R857" i="9"/>
  <c r="B857" i="9"/>
  <c r="A651" i="9"/>
  <c r="B651" i="9"/>
  <c r="R651" i="9"/>
  <c r="R815" i="9"/>
  <c r="A815" i="9"/>
  <c r="B815" i="9"/>
  <c r="R645" i="9"/>
  <c r="A645" i="9"/>
  <c r="B645" i="9"/>
  <c r="B1100" i="9"/>
  <c r="A1100" i="9"/>
  <c r="R1100" i="9"/>
  <c r="A802" i="9"/>
  <c r="R802" i="9"/>
  <c r="B802" i="9"/>
  <c r="B753" i="9"/>
  <c r="A753" i="9"/>
  <c r="R753" i="9"/>
  <c r="B772" i="9"/>
  <c r="R772" i="9"/>
  <c r="A772" i="9"/>
  <c r="A659" i="9"/>
  <c r="B659" i="9"/>
  <c r="R659" i="9"/>
  <c r="B1119" i="9"/>
  <c r="R1119" i="9"/>
  <c r="A1119" i="9"/>
  <c r="R846" i="9"/>
  <c r="B846" i="9"/>
  <c r="A846" i="9"/>
  <c r="R881" i="9"/>
  <c r="A881" i="9"/>
  <c r="B881" i="9"/>
  <c r="R656" i="9"/>
  <c r="B656" i="9"/>
  <c r="A656" i="9"/>
  <c r="B741" i="9"/>
  <c r="A741" i="9"/>
  <c r="R741" i="9"/>
  <c r="R1058" i="9"/>
  <c r="A1058" i="9"/>
  <c r="B1058" i="9"/>
  <c r="R966" i="9"/>
  <c r="B966" i="9"/>
  <c r="A966" i="9"/>
  <c r="A949" i="9"/>
  <c r="B949" i="9"/>
  <c r="R949" i="9"/>
  <c r="R875" i="9"/>
  <c r="B875" i="9"/>
  <c r="A875" i="9"/>
  <c r="R1070" i="9"/>
  <c r="A1070" i="9"/>
  <c r="B1070" i="9"/>
  <c r="B768" i="9"/>
  <c r="R768" i="9"/>
  <c r="A768" i="9"/>
  <c r="R767" i="9"/>
  <c r="A767" i="9"/>
  <c r="B767" i="9"/>
  <c r="B1168" i="9"/>
  <c r="A1168" i="9"/>
  <c r="R1168" i="9"/>
  <c r="B648" i="9"/>
  <c r="A648" i="9"/>
  <c r="R648" i="9"/>
  <c r="B845" i="9"/>
  <c r="R845" i="9"/>
  <c r="A845" i="9"/>
  <c r="A819" i="9"/>
  <c r="R819" i="9"/>
  <c r="B819" i="9"/>
  <c r="A1002" i="9"/>
  <c r="B1002" i="9"/>
  <c r="R1002" i="9"/>
  <c r="A942" i="9"/>
  <c r="R942" i="9"/>
  <c r="B942" i="9"/>
  <c r="B873" i="9"/>
  <c r="A873" i="9"/>
  <c r="R873" i="9"/>
  <c r="B614" i="9"/>
  <c r="R614" i="9"/>
  <c r="A614" i="9"/>
  <c r="R964" i="9"/>
  <c r="B964" i="9"/>
  <c r="A964" i="9"/>
  <c r="R915" i="9"/>
  <c r="A915" i="9"/>
  <c r="B915" i="9"/>
  <c r="A644" i="9"/>
  <c r="R644" i="9"/>
  <c r="B644" i="9"/>
  <c r="A890" i="9"/>
  <c r="B890" i="9"/>
  <c r="R890" i="9"/>
  <c r="R1003" i="9"/>
  <c r="A1003" i="9"/>
  <c r="B1003" i="9"/>
  <c r="R779" i="9"/>
  <c r="B779" i="9"/>
  <c r="A779" i="9"/>
  <c r="A924" i="9"/>
  <c r="B924" i="9"/>
  <c r="R924" i="9"/>
  <c r="A887" i="9"/>
  <c r="B887" i="9"/>
  <c r="R887" i="9"/>
  <c r="A766" i="9"/>
  <c r="R766" i="9"/>
  <c r="B766" i="9"/>
  <c r="A995" i="9"/>
  <c r="B995" i="9"/>
  <c r="R995" i="9"/>
  <c r="B844" i="9"/>
  <c r="A844" i="9"/>
  <c r="R844" i="9"/>
  <c r="A716" i="9"/>
  <c r="R716" i="9"/>
  <c r="B716" i="9"/>
  <c r="R918" i="9"/>
  <c r="B918" i="9"/>
  <c r="A918" i="9"/>
  <c r="B503" i="9"/>
  <c r="R503" i="9"/>
  <c r="A503" i="9"/>
  <c r="R615" i="9"/>
  <c r="B615" i="9"/>
  <c r="A615" i="9"/>
  <c r="R664" i="9"/>
  <c r="B664" i="9"/>
  <c r="A664" i="9"/>
  <c r="B902" i="9"/>
  <c r="R902" i="9"/>
  <c r="A902" i="9"/>
  <c r="R523" i="9"/>
  <c r="A523" i="9"/>
  <c r="B523" i="9"/>
  <c r="B1072" i="9"/>
  <c r="R1072" i="9"/>
  <c r="A1072" i="9"/>
  <c r="R513" i="9"/>
  <c r="B513" i="9"/>
  <c r="A513" i="9"/>
  <c r="R498" i="9"/>
  <c r="B498" i="9"/>
  <c r="A498" i="9"/>
  <c r="B628" i="9"/>
  <c r="R628" i="9"/>
  <c r="A628" i="9"/>
  <c r="A728" i="9"/>
  <c r="R728" i="9"/>
  <c r="B728" i="9"/>
  <c r="R542" i="9"/>
  <c r="B542" i="9"/>
  <c r="A542" i="9"/>
  <c r="R621" i="9"/>
  <c r="A621" i="9"/>
  <c r="B621" i="9"/>
  <c r="B1222" i="9"/>
  <c r="A1222" i="9"/>
  <c r="R1222" i="9"/>
  <c r="R1337" i="9"/>
  <c r="A1337" i="9"/>
  <c r="B1337" i="9"/>
  <c r="B1241" i="9"/>
  <c r="R1241" i="9"/>
  <c r="A1241" i="9"/>
  <c r="R1131" i="9"/>
  <c r="B1131" i="9"/>
  <c r="A1131" i="9"/>
  <c r="B500" i="9"/>
  <c r="A500" i="9"/>
  <c r="R500" i="9"/>
  <c r="B565" i="9"/>
  <c r="A565" i="9"/>
  <c r="R565" i="9"/>
  <c r="A1169" i="9"/>
  <c r="B1169" i="9"/>
  <c r="R1169" i="9"/>
  <c r="R717" i="9"/>
  <c r="B717" i="9"/>
  <c r="A717" i="9"/>
  <c r="R496" i="9"/>
  <c r="B496" i="9"/>
  <c r="A496" i="9"/>
  <c r="R698" i="9"/>
  <c r="B698" i="9"/>
  <c r="A698" i="9"/>
  <c r="B984" i="9"/>
  <c r="A984" i="9"/>
  <c r="R984" i="9"/>
  <c r="B585" i="9"/>
  <c r="A585" i="9"/>
  <c r="R585" i="9"/>
  <c r="R945" i="9"/>
  <c r="B945" i="9"/>
  <c r="A945" i="9"/>
  <c r="A1353" i="9"/>
  <c r="R1353" i="9"/>
  <c r="B1353" i="9"/>
  <c r="A1211" i="9"/>
  <c r="B1211" i="9"/>
  <c r="R1211" i="9"/>
  <c r="R1079" i="9"/>
  <c r="B1079" i="9"/>
  <c r="A1079" i="9"/>
  <c r="A1154" i="9"/>
  <c r="B1154" i="9"/>
  <c r="R1154" i="9"/>
  <c r="B617" i="9"/>
  <c r="R617" i="9"/>
  <c r="A617" i="9"/>
  <c r="A1090" i="9"/>
  <c r="R1090" i="9"/>
  <c r="B1090" i="9"/>
  <c r="A662" i="9"/>
  <c r="B662" i="9"/>
  <c r="R662" i="9"/>
  <c r="A1107" i="9"/>
  <c r="B1107" i="9"/>
  <c r="R1107" i="9"/>
  <c r="A996" i="9"/>
  <c r="R996" i="9"/>
  <c r="B996" i="9"/>
  <c r="R576" i="9"/>
  <c r="B576" i="9"/>
  <c r="A576" i="9"/>
  <c r="A553" i="9"/>
  <c r="R553" i="9"/>
  <c r="B553" i="9"/>
  <c r="A586" i="9"/>
  <c r="R586" i="9"/>
  <c r="B586" i="9"/>
  <c r="A1350" i="9"/>
  <c r="R1350" i="9"/>
  <c r="B1350" i="9"/>
  <c r="B1328" i="9"/>
  <c r="A1328" i="9"/>
  <c r="R1328" i="9"/>
  <c r="A1324" i="9"/>
  <c r="B1324" i="9"/>
  <c r="R1324" i="9"/>
  <c r="B1060" i="9"/>
  <c r="R1060" i="9"/>
  <c r="A1060" i="9"/>
  <c r="R867" i="9"/>
  <c r="B867" i="9"/>
  <c r="A867" i="9"/>
  <c r="R695" i="9"/>
  <c r="B695" i="9"/>
  <c r="A695" i="9"/>
  <c r="B975" i="9"/>
  <c r="A975" i="9"/>
  <c r="R975" i="9"/>
  <c r="R786" i="9"/>
  <c r="B786" i="9"/>
  <c r="A786" i="9"/>
  <c r="R1109" i="9"/>
  <c r="B1109" i="9"/>
  <c r="A1109" i="9"/>
  <c r="B1014" i="9"/>
  <c r="A1014" i="9"/>
  <c r="R1014" i="9"/>
  <c r="A730" i="9"/>
  <c r="R730" i="9"/>
  <c r="B730" i="9"/>
  <c r="R596" i="9"/>
  <c r="B596" i="9"/>
  <c r="A596" i="9"/>
  <c r="A758" i="9"/>
  <c r="R758" i="9"/>
  <c r="B758" i="9"/>
  <c r="B616" i="9"/>
  <c r="A616" i="9"/>
  <c r="R616" i="9"/>
  <c r="B1214" i="9"/>
  <c r="R1214" i="9"/>
  <c r="A1214" i="9"/>
  <c r="A1311" i="9"/>
  <c r="B1311" i="9"/>
  <c r="R1311" i="9"/>
  <c r="R1172" i="9"/>
  <c r="A1172" i="9"/>
  <c r="B1172" i="9"/>
  <c r="A1170" i="9"/>
  <c r="B1170" i="9"/>
  <c r="R1170" i="9"/>
  <c r="R803" i="9"/>
  <c r="A803" i="9"/>
  <c r="B803" i="9"/>
  <c r="B797" i="9"/>
  <c r="R797" i="9"/>
  <c r="A797" i="9"/>
  <c r="R1089" i="9"/>
  <c r="A1089" i="9"/>
  <c r="B1089" i="9"/>
  <c r="B908" i="9"/>
  <c r="A908" i="9"/>
  <c r="R908" i="9"/>
  <c r="A941" i="9"/>
  <c r="R941" i="9"/>
  <c r="B941" i="9"/>
  <c r="R1023" i="9"/>
  <c r="B1023" i="9"/>
  <c r="A1023" i="9"/>
  <c r="R610" i="9"/>
  <c r="B610" i="9"/>
  <c r="A610" i="9"/>
  <c r="R909" i="9"/>
  <c r="B909" i="9"/>
  <c r="A909" i="9"/>
  <c r="B713" i="9"/>
  <c r="A713" i="9"/>
  <c r="R713" i="9"/>
  <c r="R579" i="9"/>
  <c r="A579" i="9"/>
  <c r="B579" i="9"/>
  <c r="A1216" i="9"/>
  <c r="R1216" i="9"/>
  <c r="B1216" i="9"/>
  <c r="A1228" i="9"/>
  <c r="R1228" i="9"/>
  <c r="B1228" i="9"/>
  <c r="B1224" i="9"/>
  <c r="A1224" i="9"/>
  <c r="R1224" i="9"/>
  <c r="A798" i="9"/>
  <c r="R798" i="9"/>
  <c r="B798" i="9"/>
  <c r="R1009" i="9"/>
  <c r="B1009" i="9"/>
  <c r="A1009" i="9"/>
  <c r="R683" i="9"/>
  <c r="B683" i="9"/>
  <c r="A683" i="9"/>
  <c r="B937" i="9"/>
  <c r="A937" i="9"/>
  <c r="R937" i="9"/>
  <c r="B731" i="9"/>
  <c r="A731" i="9"/>
  <c r="R731" i="9"/>
  <c r="R1028" i="9"/>
  <c r="B1028" i="9"/>
  <c r="A1028" i="9"/>
  <c r="B638" i="9"/>
  <c r="R638" i="9"/>
  <c r="A638" i="9"/>
  <c r="A590" i="9"/>
  <c r="B590" i="9"/>
  <c r="R590" i="9"/>
  <c r="B497" i="9"/>
  <c r="A497" i="9"/>
  <c r="R497" i="9"/>
  <c r="R1379" i="9"/>
  <c r="B1379" i="9"/>
  <c r="A1379" i="9"/>
  <c r="A1338" i="9"/>
  <c r="B1338" i="9"/>
  <c r="R1338" i="9"/>
  <c r="B1266" i="9"/>
  <c r="R1266" i="9"/>
  <c r="A1266" i="9"/>
  <c r="R672" i="9"/>
  <c r="B672" i="9"/>
  <c r="A672" i="9"/>
  <c r="R864" i="9"/>
  <c r="A864" i="9"/>
  <c r="B864" i="9"/>
  <c r="R702" i="9"/>
  <c r="A702" i="9"/>
  <c r="B702" i="9"/>
  <c r="B626" i="9"/>
  <c r="A626" i="9"/>
  <c r="R626" i="9"/>
  <c r="A1022" i="9"/>
  <c r="B1022" i="9"/>
  <c r="R1022" i="9"/>
  <c r="B700" i="9"/>
  <c r="A700" i="9"/>
  <c r="R700" i="9"/>
  <c r="A1347" i="9"/>
  <c r="R1347" i="9"/>
  <c r="B1347" i="9"/>
  <c r="R1340" i="9"/>
  <c r="A1340" i="9"/>
  <c r="B1340" i="9"/>
  <c r="B1371" i="9"/>
  <c r="A1371" i="9"/>
  <c r="R1371" i="9"/>
  <c r="B1369" i="9"/>
  <c r="R1369" i="9"/>
  <c r="A1369" i="9"/>
  <c r="R1212" i="9"/>
  <c r="A1212" i="9"/>
  <c r="B1212" i="9"/>
  <c r="B1215" i="9"/>
  <c r="R1215" i="9"/>
  <c r="A1215" i="9"/>
  <c r="B1277" i="9"/>
  <c r="A1277" i="9"/>
  <c r="R1277" i="9"/>
  <c r="R1368" i="9"/>
  <c r="A1368" i="9"/>
  <c r="B1368" i="9"/>
  <c r="B1291" i="9"/>
  <c r="R1291" i="9"/>
  <c r="A1291" i="9"/>
  <c r="A1280" i="9"/>
  <c r="B1280" i="9"/>
  <c r="R1280" i="9"/>
  <c r="A1355" i="9"/>
  <c r="R1355" i="9"/>
  <c r="B1355" i="9"/>
  <c r="B1329" i="9"/>
  <c r="A1329" i="9"/>
  <c r="R1329" i="9"/>
  <c r="A1173" i="9"/>
  <c r="R1173" i="9"/>
  <c r="B1173" i="9"/>
  <c r="A1233" i="9"/>
  <c r="R1233" i="9"/>
  <c r="B1233" i="9"/>
  <c r="B1192" i="9"/>
  <c r="R1192" i="9"/>
  <c r="A1192" i="9"/>
  <c r="R1325" i="9"/>
  <c r="B1325" i="9"/>
  <c r="A1325" i="9"/>
  <c r="A1231" i="9"/>
  <c r="R1231" i="9"/>
  <c r="B1231" i="9"/>
  <c r="A1194" i="9"/>
  <c r="R1194" i="9"/>
  <c r="B1194" i="9"/>
  <c r="A1227" i="9"/>
  <c r="R1227" i="9"/>
  <c r="B1227" i="9"/>
  <c r="R1294" i="9"/>
  <c r="B1294" i="9"/>
  <c r="A1294" i="9"/>
  <c r="A1270" i="9"/>
  <c r="B1270" i="9"/>
  <c r="R1270" i="9"/>
  <c r="B1159" i="9"/>
  <c r="R1159" i="9"/>
  <c r="A1159" i="9"/>
  <c r="R959" i="9"/>
  <c r="A959" i="9"/>
  <c r="B959" i="9"/>
  <c r="A1127" i="9"/>
  <c r="B1127" i="9"/>
  <c r="R1127" i="9"/>
  <c r="A714" i="9"/>
  <c r="R714" i="9"/>
  <c r="B714" i="9"/>
  <c r="R647" i="9"/>
  <c r="B647" i="9"/>
  <c r="A647" i="9"/>
  <c r="R1093" i="9"/>
  <c r="B1093" i="9"/>
  <c r="A1093" i="9"/>
  <c r="B921" i="9"/>
  <c r="A921" i="9"/>
  <c r="R921" i="9"/>
  <c r="R928" i="9"/>
  <c r="A928" i="9"/>
  <c r="B928" i="9"/>
  <c r="B1142" i="9"/>
  <c r="A1142" i="9"/>
  <c r="R1142" i="9"/>
  <c r="B1106" i="9"/>
  <c r="A1106" i="9"/>
  <c r="R1106" i="9"/>
  <c r="R620" i="9"/>
  <c r="B620" i="9"/>
  <c r="A620" i="9"/>
  <c r="R599" i="9"/>
  <c r="B599" i="9"/>
  <c r="A599" i="9"/>
  <c r="B817" i="9"/>
  <c r="A817" i="9"/>
  <c r="R817" i="9"/>
  <c r="B755" i="9"/>
  <c r="A755" i="9"/>
  <c r="R755" i="9"/>
  <c r="B906" i="9"/>
  <c r="A906" i="9"/>
  <c r="R906" i="9"/>
  <c r="B1015" i="9"/>
  <c r="A1015" i="9"/>
  <c r="R1015" i="9"/>
  <c r="A507" i="9"/>
  <c r="R507" i="9"/>
  <c r="B507" i="9"/>
  <c r="B724" i="9"/>
  <c r="A724" i="9"/>
  <c r="R724" i="9"/>
  <c r="A1258" i="9"/>
  <c r="R1258" i="9"/>
  <c r="B1258" i="9"/>
  <c r="R751" i="9"/>
  <c r="A751" i="9"/>
  <c r="B751" i="9"/>
  <c r="B907" i="9"/>
  <c r="R907" i="9"/>
  <c r="A907" i="9"/>
  <c r="B757" i="9"/>
  <c r="A757" i="9"/>
  <c r="R757" i="9"/>
  <c r="B911" i="9"/>
  <c r="R911" i="9"/>
  <c r="A911" i="9"/>
  <c r="B661" i="9"/>
  <c r="A661" i="9"/>
  <c r="R661" i="9"/>
  <c r="R609" i="9"/>
  <c r="B609" i="9"/>
  <c r="A609" i="9"/>
  <c r="A1110" i="9"/>
  <c r="R1110" i="9"/>
  <c r="B1110" i="9"/>
  <c r="B689" i="9"/>
  <c r="A689" i="9"/>
  <c r="R689" i="9"/>
  <c r="B634" i="9"/>
  <c r="A634" i="9"/>
  <c r="R634" i="9"/>
  <c r="A764" i="9"/>
  <c r="R764" i="9"/>
  <c r="B764" i="9"/>
  <c r="R997" i="9"/>
  <c r="A997" i="9"/>
  <c r="B997" i="9"/>
  <c r="B944" i="9"/>
  <c r="A944" i="9"/>
  <c r="R944" i="9"/>
  <c r="A1073" i="9"/>
  <c r="R1073" i="9"/>
  <c r="B1073" i="9"/>
  <c r="R1044" i="9"/>
  <c r="A1044" i="9"/>
  <c r="B1044" i="9"/>
  <c r="B917" i="9"/>
  <c r="A917" i="9"/>
  <c r="R917" i="9"/>
  <c r="R536" i="9"/>
  <c r="A536" i="9"/>
  <c r="B536" i="9"/>
  <c r="B951" i="9"/>
  <c r="R951" i="9"/>
  <c r="A951" i="9"/>
  <c r="R989" i="9"/>
  <c r="B989" i="9"/>
  <c r="A989" i="9"/>
  <c r="B792" i="9"/>
  <c r="A792" i="9"/>
  <c r="R792" i="9"/>
  <c r="A809" i="9"/>
  <c r="R809" i="9"/>
  <c r="B809" i="9"/>
  <c r="A913" i="9"/>
  <c r="R913" i="9"/>
  <c r="B913" i="9"/>
  <c r="B687" i="9"/>
  <c r="A687" i="9"/>
  <c r="R687" i="9"/>
  <c r="R1066" i="9"/>
  <c r="A1066" i="9"/>
  <c r="B1066" i="9"/>
  <c r="A761" i="9"/>
  <c r="R761" i="9"/>
  <c r="B761" i="9"/>
  <c r="B743" i="9"/>
  <c r="A743" i="9"/>
  <c r="R743" i="9"/>
  <c r="B733" i="9"/>
  <c r="A733" i="9"/>
  <c r="R733" i="9"/>
  <c r="A947" i="9"/>
  <c r="B947" i="9"/>
  <c r="R947" i="9"/>
  <c r="A510" i="9"/>
  <c r="R510" i="9"/>
  <c r="B510" i="9"/>
  <c r="B640" i="9"/>
  <c r="R640" i="9"/>
  <c r="A640" i="9"/>
  <c r="A627" i="9"/>
  <c r="B627" i="9"/>
  <c r="R627" i="9"/>
  <c r="R573" i="9"/>
  <c r="A573" i="9"/>
  <c r="B573" i="9"/>
  <c r="B812" i="9"/>
  <c r="A812" i="9"/>
  <c r="R812" i="9"/>
  <c r="R962" i="9"/>
  <c r="B962" i="9"/>
  <c r="A962" i="9"/>
  <c r="R636" i="9"/>
  <c r="B636" i="9"/>
  <c r="A636" i="9"/>
  <c r="R974" i="9"/>
  <c r="B974" i="9"/>
  <c r="A974" i="9"/>
  <c r="R501" i="9"/>
  <c r="B501" i="9"/>
  <c r="A501" i="9"/>
  <c r="A512" i="9"/>
  <c r="R512" i="9"/>
  <c r="B512" i="9"/>
  <c r="R629" i="9"/>
  <c r="A629" i="9"/>
  <c r="B629" i="9"/>
  <c r="B1330" i="9"/>
  <c r="R1330" i="9"/>
  <c r="A1330" i="9"/>
  <c r="B1225" i="9"/>
  <c r="R1225" i="9"/>
  <c r="A1225" i="9"/>
  <c r="A1265" i="9"/>
  <c r="R1265" i="9"/>
  <c r="B1265" i="9"/>
  <c r="R969" i="9"/>
  <c r="B969" i="9"/>
  <c r="A969" i="9"/>
  <c r="R584" i="9"/>
  <c r="B584" i="9"/>
  <c r="A584" i="9"/>
  <c r="R976" i="9"/>
  <c r="B976" i="9"/>
  <c r="A976" i="9"/>
  <c r="R1163" i="9"/>
  <c r="B1163" i="9"/>
  <c r="A1163" i="9"/>
  <c r="R738" i="9"/>
  <c r="B738" i="9"/>
  <c r="A738" i="9"/>
  <c r="A931" i="9"/>
  <c r="R931" i="9"/>
  <c r="B931" i="9"/>
  <c r="B1165" i="9"/>
  <c r="R1165" i="9"/>
  <c r="A1165" i="9"/>
  <c r="R1008" i="9"/>
  <c r="B1008" i="9"/>
  <c r="A1008" i="9"/>
  <c r="B631" i="9"/>
  <c r="A631" i="9"/>
  <c r="R631" i="9"/>
  <c r="B954" i="9"/>
  <c r="A954" i="9"/>
  <c r="R954" i="9"/>
  <c r="A1375" i="9"/>
  <c r="R1375" i="9"/>
  <c r="B1375" i="9"/>
  <c r="A1315" i="9"/>
  <c r="R1315" i="9"/>
  <c r="B1315" i="9"/>
  <c r="B1210" i="9"/>
  <c r="R1210" i="9"/>
  <c r="A1210" i="9"/>
  <c r="R1067" i="9"/>
  <c r="A1067" i="9"/>
  <c r="B1067" i="9"/>
  <c r="A1069" i="9"/>
  <c r="R1069" i="9"/>
  <c r="B1069" i="9"/>
  <c r="R1114" i="9"/>
  <c r="B1114" i="9"/>
  <c r="A1114" i="9"/>
  <c r="B933" i="9"/>
  <c r="A933" i="9"/>
  <c r="R933" i="9"/>
  <c r="R811" i="9"/>
  <c r="B811" i="9"/>
  <c r="A811" i="9"/>
  <c r="A1120" i="9"/>
  <c r="R1120" i="9"/>
  <c r="B1120" i="9"/>
  <c r="B546" i="9"/>
  <c r="A546" i="9"/>
  <c r="R546" i="9"/>
  <c r="B506" i="9"/>
  <c r="A506" i="9"/>
  <c r="R506" i="9"/>
  <c r="A746" i="9"/>
  <c r="R746" i="9"/>
  <c r="B746" i="9"/>
  <c r="R1391" i="9"/>
  <c r="B1391" i="9"/>
  <c r="A1391" i="9"/>
  <c r="B1263" i="9"/>
  <c r="A1263" i="9"/>
  <c r="R1263" i="9"/>
  <c r="B1204" i="9"/>
  <c r="A1204" i="9"/>
  <c r="R1204" i="9"/>
  <c r="A1047" i="9"/>
  <c r="B1047" i="9"/>
  <c r="R1047" i="9"/>
  <c r="R1140" i="9"/>
  <c r="B1140" i="9"/>
  <c r="A1140" i="9"/>
  <c r="R681" i="9"/>
  <c r="B681" i="9"/>
  <c r="A681" i="9"/>
  <c r="R679" i="9"/>
  <c r="A679" i="9"/>
  <c r="B679" i="9"/>
  <c r="R1161" i="9"/>
  <c r="A1161" i="9"/>
  <c r="B1161" i="9"/>
  <c r="R633" i="9"/>
  <c r="B633" i="9"/>
  <c r="A633" i="9"/>
  <c r="A748" i="9"/>
  <c r="R748" i="9"/>
  <c r="B748" i="9"/>
  <c r="R708" i="9"/>
  <c r="A708" i="9"/>
  <c r="B708" i="9"/>
  <c r="R919" i="9"/>
  <c r="B919" i="9"/>
  <c r="A919" i="9"/>
  <c r="A1370" i="9"/>
  <c r="B1370" i="9"/>
  <c r="R1370" i="9"/>
  <c r="B1175" i="9"/>
  <c r="A1175" i="9"/>
  <c r="R1175" i="9"/>
  <c r="A1322" i="9"/>
  <c r="B1322" i="9"/>
  <c r="R1322" i="9"/>
  <c r="B535" i="9"/>
  <c r="A535" i="9"/>
  <c r="R535" i="9"/>
  <c r="B894" i="9"/>
  <c r="R894" i="9"/>
  <c r="A894" i="9"/>
  <c r="R980" i="9"/>
  <c r="B980" i="9"/>
  <c r="A980" i="9"/>
  <c r="R788" i="9"/>
  <c r="A788" i="9"/>
  <c r="B788" i="9"/>
  <c r="B1083" i="9"/>
  <c r="R1083" i="9"/>
  <c r="A1083" i="9"/>
  <c r="R684" i="9"/>
  <c r="B684" i="9"/>
  <c r="A684" i="9"/>
  <c r="R1250" i="9"/>
  <c r="B1250" i="9"/>
  <c r="A1250" i="9"/>
  <c r="R1057" i="9"/>
  <c r="A1057" i="9"/>
  <c r="B1057" i="9"/>
  <c r="R537" i="9"/>
  <c r="A537" i="9"/>
  <c r="B537" i="9"/>
  <c r="R567" i="9"/>
  <c r="A567" i="9"/>
  <c r="B567" i="9"/>
  <c r="B1373" i="9"/>
  <c r="A1373" i="9"/>
  <c r="R1373" i="9"/>
  <c r="R1234" i="9"/>
  <c r="B1234" i="9"/>
  <c r="A1234" i="9"/>
  <c r="A1240" i="9"/>
  <c r="B1240" i="9"/>
  <c r="R1240" i="9"/>
  <c r="B534" i="9"/>
  <c r="A534" i="9"/>
  <c r="R534" i="9"/>
  <c r="B1099" i="9"/>
  <c r="R1099" i="9"/>
  <c r="A1099" i="9"/>
  <c r="R712" i="9"/>
  <c r="B712" i="9"/>
  <c r="A712" i="9"/>
  <c r="B654" i="9"/>
  <c r="A654" i="9"/>
  <c r="R654" i="9"/>
  <c r="R879" i="9"/>
  <c r="A879" i="9"/>
  <c r="B879" i="9"/>
  <c r="B926" i="9"/>
  <c r="R926" i="9"/>
  <c r="A926" i="9"/>
  <c r="A1257" i="9"/>
  <c r="B1257" i="9"/>
  <c r="R1257" i="9"/>
  <c r="B836" i="9"/>
  <c r="R836" i="9"/>
  <c r="A836" i="9"/>
  <c r="A602" i="9"/>
  <c r="B602" i="9"/>
  <c r="R602" i="9"/>
  <c r="A1287" i="9"/>
  <c r="R1287" i="9"/>
  <c r="B1287" i="9"/>
  <c r="R1271" i="9"/>
  <c r="B1271" i="9"/>
  <c r="A1271" i="9"/>
  <c r="B1260" i="9"/>
  <c r="R1260" i="9"/>
  <c r="A1260" i="9"/>
  <c r="R550" i="9"/>
  <c r="A550" i="9"/>
  <c r="B550" i="9"/>
  <c r="B762" i="9"/>
  <c r="R762" i="9"/>
  <c r="A762" i="9"/>
  <c r="R923" i="9"/>
  <c r="B923" i="9"/>
  <c r="A923" i="9"/>
  <c r="B814" i="9"/>
  <c r="A814" i="9"/>
  <c r="R814" i="9"/>
  <c r="B967" i="9"/>
  <c r="A967" i="9"/>
  <c r="R967" i="9"/>
  <c r="R973" i="9"/>
  <c r="B973" i="9"/>
  <c r="A973" i="9"/>
  <c r="A938" i="9"/>
  <c r="R938" i="9"/>
  <c r="B938" i="9"/>
  <c r="B1094" i="9"/>
  <c r="R1094" i="9"/>
  <c r="A1094" i="9"/>
  <c r="B1039" i="9"/>
  <c r="R1039" i="9"/>
  <c r="A1039" i="9"/>
  <c r="B632" i="9"/>
  <c r="R632" i="9"/>
  <c r="A632" i="9"/>
  <c r="B697" i="9"/>
  <c r="A697" i="9"/>
  <c r="R697" i="9"/>
  <c r="B856" i="9"/>
  <c r="R856" i="9"/>
  <c r="A856" i="9"/>
  <c r="B597" i="9"/>
  <c r="R597" i="9"/>
  <c r="A597" i="9"/>
  <c r="R840" i="9"/>
  <c r="B840" i="9"/>
  <c r="A840" i="9"/>
  <c r="R532" i="9"/>
  <c r="A532" i="9"/>
  <c r="B532" i="9"/>
  <c r="B1393" i="9"/>
  <c r="A1393" i="9"/>
  <c r="R1393" i="9"/>
  <c r="B1223" i="9"/>
  <c r="A1223" i="9"/>
  <c r="R1223" i="9"/>
  <c r="R1372" i="9"/>
  <c r="A1372" i="9"/>
  <c r="B1372" i="9"/>
  <c r="B1342" i="9"/>
  <c r="R1342" i="9"/>
  <c r="A1342" i="9"/>
  <c r="R1239" i="9"/>
  <c r="B1239" i="9"/>
  <c r="A1239" i="9"/>
  <c r="B1196" i="9"/>
  <c r="A1196" i="9"/>
  <c r="R1196" i="9"/>
  <c r="R1300" i="9"/>
  <c r="A1300" i="9"/>
  <c r="B1300" i="9"/>
  <c r="B1193" i="9"/>
  <c r="A1193" i="9"/>
  <c r="R1193" i="9"/>
  <c r="A1272" i="9"/>
  <c r="R1272" i="9"/>
  <c r="B1272" i="9"/>
  <c r="B1203" i="9"/>
  <c r="R1203" i="9"/>
  <c r="A1203" i="9"/>
  <c r="A1182" i="9"/>
  <c r="R1182" i="9"/>
  <c r="B1182" i="9"/>
  <c r="B1316" i="9"/>
  <c r="R1316" i="9"/>
  <c r="A1316" i="9"/>
  <c r="B1326" i="9"/>
  <c r="A1326" i="9"/>
  <c r="R1326" i="9"/>
  <c r="B912" i="9"/>
  <c r="R912" i="9"/>
  <c r="A912" i="9"/>
  <c r="R805" i="9"/>
  <c r="A805" i="9"/>
  <c r="B805" i="9"/>
  <c r="R1077" i="9"/>
  <c r="A1077" i="9"/>
  <c r="B1077" i="9"/>
  <c r="R531" i="9"/>
  <c r="A531" i="9"/>
  <c r="B531" i="9"/>
  <c r="R934" i="9"/>
  <c r="A934" i="9"/>
  <c r="B934" i="9"/>
  <c r="R528" i="9"/>
  <c r="B528" i="9"/>
  <c r="A528" i="9"/>
  <c r="B765" i="9"/>
  <c r="A765" i="9"/>
  <c r="R765" i="9"/>
  <c r="R806" i="9"/>
  <c r="A806" i="9"/>
  <c r="B806" i="9"/>
  <c r="B872" i="9"/>
  <c r="A872" i="9"/>
  <c r="R872" i="9"/>
  <c r="B858" i="9"/>
  <c r="R858" i="9"/>
  <c r="A858" i="9"/>
  <c r="R795" i="9"/>
  <c r="B795" i="9"/>
  <c r="A795" i="9"/>
  <c r="R1019" i="9"/>
  <c r="B1019" i="9"/>
  <c r="A1019" i="9"/>
  <c r="B829" i="9"/>
  <c r="A829" i="9"/>
  <c r="R829" i="9"/>
  <c r="A665" i="9"/>
  <c r="R665" i="9"/>
  <c r="B665" i="9"/>
  <c r="R987" i="9"/>
  <c r="B987" i="9"/>
  <c r="A987" i="9"/>
  <c r="R813" i="9"/>
  <c r="B813" i="9"/>
  <c r="A813" i="9"/>
  <c r="R568" i="9"/>
  <c r="B568" i="9"/>
  <c r="A568" i="9"/>
  <c r="R606" i="9"/>
  <c r="A606" i="9"/>
  <c r="B606" i="9"/>
  <c r="A1122" i="9"/>
  <c r="R1122" i="9"/>
  <c r="B1122" i="9"/>
  <c r="R1086" i="9"/>
  <c r="A1086" i="9"/>
  <c r="B1086" i="9"/>
  <c r="A860" i="9"/>
  <c r="B860" i="9"/>
  <c r="R860" i="9"/>
  <c r="B1027" i="9"/>
  <c r="A1027" i="9"/>
  <c r="R1027" i="9"/>
  <c r="B839" i="9"/>
  <c r="A839" i="9"/>
  <c r="R839" i="9"/>
  <c r="B525" i="9"/>
  <c r="R525" i="9"/>
  <c r="A525" i="9"/>
  <c r="R773" i="9"/>
  <c r="B773" i="9"/>
  <c r="A773" i="9"/>
  <c r="R963" i="9"/>
  <c r="B963" i="9"/>
  <c r="A963" i="9"/>
  <c r="A642" i="9"/>
  <c r="R642" i="9"/>
  <c r="B642" i="9"/>
  <c r="R703" i="9"/>
  <c r="B703" i="9"/>
  <c r="A703" i="9"/>
  <c r="B1256" i="9"/>
  <c r="R1256" i="9"/>
  <c r="A1256" i="9"/>
  <c r="A1048" i="9"/>
  <c r="R1048" i="9"/>
  <c r="B1048" i="9"/>
  <c r="B594" i="9"/>
  <c r="R594" i="9"/>
  <c r="A594" i="9"/>
  <c r="R701" i="9"/>
  <c r="B701" i="9"/>
  <c r="A701" i="9"/>
  <c r="R1244" i="9"/>
  <c r="B1244" i="9"/>
  <c r="A1244" i="9"/>
  <c r="B1026" i="9"/>
  <c r="R1026" i="9"/>
  <c r="A1026" i="9"/>
  <c r="R1045" i="9"/>
  <c r="B1045" i="9"/>
  <c r="A1045" i="9"/>
  <c r="R925" i="9"/>
  <c r="A925" i="9"/>
  <c r="B925" i="9"/>
  <c r="R1167" i="9"/>
  <c r="B1167" i="9"/>
  <c r="A1167" i="9"/>
  <c r="A1011" i="9"/>
  <c r="R1011" i="9"/>
  <c r="B1011" i="9"/>
  <c r="A639" i="9"/>
  <c r="R639" i="9"/>
  <c r="B639" i="9"/>
  <c r="B582" i="9"/>
  <c r="A582" i="9"/>
  <c r="R582" i="9"/>
  <c r="B1133" i="9"/>
  <c r="R1133" i="9"/>
  <c r="A1133" i="9"/>
  <c r="B718" i="9"/>
  <c r="A718" i="9"/>
  <c r="R718" i="9"/>
  <c r="A749" i="9"/>
  <c r="B749" i="9"/>
  <c r="R749" i="9"/>
  <c r="R577" i="9"/>
  <c r="B577" i="9"/>
  <c r="A577" i="9"/>
  <c r="R775" i="9"/>
  <c r="A775" i="9"/>
  <c r="B775" i="9"/>
  <c r="R495" i="9"/>
  <c r="A495" i="9"/>
  <c r="B495" i="9"/>
  <c r="R522" i="9"/>
  <c r="B522" i="9"/>
  <c r="A522" i="9"/>
  <c r="R1005" i="9"/>
  <c r="B1005" i="9"/>
  <c r="A1005" i="9"/>
  <c r="R699" i="9"/>
  <c r="B699" i="9"/>
  <c r="A699" i="9"/>
  <c r="A518" i="9"/>
  <c r="R518" i="9"/>
  <c r="B518" i="9"/>
  <c r="R635" i="9"/>
  <c r="A635" i="9"/>
  <c r="B635" i="9"/>
  <c r="B692" i="9"/>
  <c r="R692" i="9"/>
  <c r="A692" i="9"/>
  <c r="R832" i="9"/>
  <c r="A832" i="9"/>
  <c r="B832" i="9"/>
  <c r="A1046" i="9"/>
  <c r="B1046" i="9"/>
  <c r="R1046" i="9"/>
  <c r="B990" i="9"/>
  <c r="A990" i="9"/>
  <c r="R990" i="9"/>
  <c r="R686" i="9"/>
  <c r="A686" i="9"/>
  <c r="B686" i="9"/>
  <c r="B1054" i="9"/>
  <c r="R1054" i="9"/>
  <c r="A1054" i="9"/>
  <c r="A508" i="9"/>
  <c r="B508" i="9"/>
  <c r="R508" i="9"/>
  <c r="R1153" i="9"/>
  <c r="B1153" i="9"/>
  <c r="A1153" i="9"/>
  <c r="A715" i="9"/>
  <c r="R715" i="9"/>
  <c r="B715" i="9"/>
  <c r="B1289" i="9"/>
  <c r="A1289" i="9"/>
  <c r="R1289" i="9"/>
  <c r="B1314" i="9"/>
  <c r="R1314" i="9"/>
  <c r="A1314" i="9"/>
  <c r="B1200" i="9"/>
  <c r="A1200" i="9"/>
  <c r="R1200" i="9"/>
  <c r="R1171" i="9"/>
  <c r="A1171" i="9"/>
  <c r="B1171" i="9"/>
  <c r="R833" i="9"/>
  <c r="A833" i="9"/>
  <c r="B833" i="9"/>
  <c r="A707" i="9"/>
  <c r="R707" i="9"/>
  <c r="B707" i="9"/>
  <c r="R1125" i="9"/>
  <c r="A1125" i="9"/>
  <c r="B1125" i="9"/>
  <c r="B595" i="9"/>
  <c r="A595" i="9"/>
  <c r="R595" i="9"/>
  <c r="B876" i="9"/>
  <c r="A876" i="9"/>
  <c r="R876" i="9"/>
  <c r="R529" i="9"/>
  <c r="B529" i="9"/>
  <c r="A529" i="9"/>
  <c r="R505" i="9"/>
  <c r="B505" i="9"/>
  <c r="A505" i="9"/>
  <c r="A1346" i="9"/>
  <c r="R1346" i="9"/>
  <c r="B1346" i="9"/>
  <c r="R1209" i="9"/>
  <c r="A1209" i="9"/>
  <c r="B1209" i="9"/>
  <c r="B547" i="9"/>
  <c r="A547" i="9"/>
  <c r="R547" i="9"/>
  <c r="R784" i="9"/>
  <c r="B784" i="9"/>
  <c r="A784" i="9"/>
  <c r="R570" i="9"/>
  <c r="A570" i="9"/>
  <c r="B570" i="9"/>
  <c r="B850" i="9"/>
  <c r="A850" i="9"/>
  <c r="R850" i="9"/>
  <c r="A796" i="9"/>
  <c r="R796" i="9"/>
  <c r="B796" i="9"/>
  <c r="R936" i="9"/>
  <c r="A936" i="9"/>
  <c r="B936" i="9"/>
  <c r="B961" i="9"/>
  <c r="A961" i="9"/>
  <c r="R961" i="9"/>
  <c r="B1081" i="9"/>
  <c r="R1081" i="9"/>
  <c r="A1081" i="9"/>
  <c r="R958" i="9"/>
  <c r="B958" i="9"/>
  <c r="A958" i="9"/>
  <c r="R1390" i="9"/>
  <c r="A1390" i="9"/>
  <c r="B1390" i="9"/>
  <c r="R1208" i="9"/>
  <c r="A1208" i="9"/>
  <c r="B1208" i="9"/>
  <c r="A1310" i="9"/>
  <c r="B1310" i="9"/>
  <c r="R1310" i="9"/>
  <c r="B1032" i="9"/>
  <c r="R1032" i="9"/>
  <c r="A1032" i="9"/>
  <c r="B601" i="9"/>
  <c r="A601" i="9"/>
  <c r="R601" i="9"/>
  <c r="R1097" i="9"/>
  <c r="A1097" i="9"/>
  <c r="B1097" i="9"/>
  <c r="A1138" i="9"/>
  <c r="B1138" i="9"/>
  <c r="R1138" i="9"/>
  <c r="A800" i="9"/>
  <c r="B800" i="9"/>
  <c r="R800" i="9"/>
  <c r="R1078" i="9"/>
  <c r="B1078" i="9"/>
  <c r="A1078" i="9"/>
  <c r="R865" i="9"/>
  <c r="B865" i="9"/>
  <c r="A865" i="9"/>
  <c r="B519" i="9"/>
  <c r="A519" i="9"/>
  <c r="R519" i="9"/>
  <c r="A559" i="9"/>
  <c r="B559" i="9"/>
  <c r="R559" i="9"/>
  <c r="R1275" i="9"/>
  <c r="B1275" i="9"/>
  <c r="A1275" i="9"/>
  <c r="A1202" i="9"/>
  <c r="R1202" i="9"/>
  <c r="B1202" i="9"/>
  <c r="R623" i="9"/>
  <c r="B623" i="9"/>
  <c r="A623" i="9"/>
  <c r="R1010" i="9"/>
  <c r="B1010" i="9"/>
  <c r="A1010" i="9"/>
  <c r="R721" i="9"/>
  <c r="B721" i="9"/>
  <c r="A721" i="9"/>
  <c r="R673" i="9"/>
  <c r="A673" i="9"/>
  <c r="B673" i="9"/>
  <c r="B1145" i="9"/>
  <c r="R1145" i="9"/>
  <c r="A1145" i="9"/>
  <c r="R1037" i="9"/>
  <c r="B1037" i="9"/>
  <c r="A1037" i="9"/>
  <c r="R1021" i="9"/>
  <c r="A1021" i="9"/>
  <c r="B1021" i="9"/>
  <c r="A943" i="9"/>
  <c r="B943" i="9"/>
  <c r="R943" i="9"/>
  <c r="R555" i="9"/>
  <c r="B555" i="9"/>
  <c r="A555" i="9"/>
  <c r="R719" i="9"/>
  <c r="A719" i="9"/>
  <c r="B719" i="9"/>
  <c r="R1367" i="9"/>
  <c r="A1367" i="9"/>
  <c r="B1367" i="9"/>
  <c r="A1345" i="9"/>
  <c r="B1345" i="9"/>
  <c r="R1345" i="9"/>
  <c r="B1174" i="9"/>
  <c r="R1174" i="9"/>
  <c r="A1174" i="9"/>
  <c r="B1064" i="9"/>
  <c r="R1064" i="9"/>
  <c r="A1064" i="9"/>
  <c r="R575" i="9"/>
  <c r="A575" i="9"/>
  <c r="B575" i="9"/>
  <c r="B1130" i="9"/>
  <c r="A1130" i="9"/>
  <c r="R1130" i="9"/>
  <c r="R1156" i="9"/>
  <c r="A1156" i="9"/>
  <c r="B1156" i="9"/>
  <c r="A1038" i="9"/>
  <c r="R1038" i="9"/>
  <c r="B1038" i="9"/>
  <c r="B756" i="9"/>
  <c r="R756" i="9"/>
  <c r="A756" i="9"/>
  <c r="B539" i="9"/>
  <c r="R539" i="9"/>
  <c r="A539" i="9"/>
  <c r="R574" i="9"/>
  <c r="B574" i="9"/>
  <c r="A574" i="9"/>
  <c r="B790" i="9"/>
  <c r="R790" i="9"/>
  <c r="A790" i="9"/>
  <c r="R1357" i="9"/>
  <c r="A1357" i="9"/>
  <c r="B1357" i="9"/>
  <c r="A1298" i="9"/>
  <c r="R1298" i="9"/>
  <c r="B1298" i="9"/>
  <c r="A1229" i="9"/>
  <c r="B1229" i="9"/>
  <c r="R1229" i="9"/>
  <c r="R927" i="9"/>
  <c r="B927" i="9"/>
  <c r="A927" i="9"/>
  <c r="B598" i="9"/>
  <c r="A598" i="9"/>
  <c r="R598" i="9"/>
  <c r="B759" i="9"/>
  <c r="R759" i="9"/>
  <c r="A759" i="9"/>
  <c r="B1053" i="9"/>
  <c r="A1053" i="9"/>
  <c r="R1053" i="9"/>
  <c r="A883" i="9"/>
  <c r="R883" i="9"/>
  <c r="B883" i="9"/>
  <c r="R1242" i="9"/>
  <c r="A1242" i="9"/>
  <c r="B1242" i="9"/>
  <c r="B612" i="9"/>
  <c r="R612" i="9"/>
  <c r="A612" i="9"/>
  <c r="R1290" i="9"/>
  <c r="B1290" i="9"/>
  <c r="A1290" i="9"/>
  <c r="B1281" i="9"/>
  <c r="A1281" i="9"/>
  <c r="R1281" i="9"/>
  <c r="A1279" i="9"/>
  <c r="R1279" i="9"/>
  <c r="B1279" i="9"/>
  <c r="B1220" i="9"/>
  <c r="R1220" i="9"/>
  <c r="A1220" i="9"/>
  <c r="R1333" i="9"/>
  <c r="B1333" i="9"/>
  <c r="A1333" i="9"/>
  <c r="B1344" i="9"/>
  <c r="A1344" i="9"/>
  <c r="R1344" i="9"/>
  <c r="A1304" i="9"/>
  <c r="B1304" i="9"/>
  <c r="R1304" i="9"/>
  <c r="R1261" i="9"/>
  <c r="B1261" i="9"/>
  <c r="A1261" i="9"/>
  <c r="A1184" i="9"/>
  <c r="B1184" i="9"/>
  <c r="R1184" i="9"/>
  <c r="B1198" i="9"/>
  <c r="R1198" i="9"/>
  <c r="A1198" i="9"/>
  <c r="A1295" i="9"/>
  <c r="R1295" i="9"/>
  <c r="B1295" i="9"/>
  <c r="A1199" i="9"/>
  <c r="B1199" i="9"/>
  <c r="R1199" i="9"/>
  <c r="A1305" i="9"/>
  <c r="B1305" i="9"/>
  <c r="R1305" i="9"/>
  <c r="B1321" i="9"/>
  <c r="A1321" i="9"/>
  <c r="R1321" i="9"/>
  <c r="R1299" i="9"/>
  <c r="B1299" i="9"/>
  <c r="A1299" i="9"/>
  <c r="R889" i="9"/>
  <c r="B889" i="9"/>
  <c r="A889" i="9"/>
  <c r="R774" i="9"/>
  <c r="B774" i="9"/>
  <c r="A774" i="9"/>
  <c r="R587" i="9"/>
  <c r="B587" i="9"/>
  <c r="A587" i="9"/>
  <c r="R1249" i="9"/>
  <c r="B1249" i="9"/>
  <c r="A1249" i="9"/>
  <c r="A793" i="9"/>
  <c r="B793" i="9"/>
  <c r="R793" i="9"/>
  <c r="A1061" i="9"/>
  <c r="R1061" i="9"/>
  <c r="B1061" i="9"/>
  <c r="R747" i="9"/>
  <c r="B747" i="9"/>
  <c r="A747" i="9"/>
  <c r="B1108" i="9"/>
  <c r="R1108" i="9"/>
  <c r="A1108" i="9"/>
  <c r="R971" i="9"/>
  <c r="A971" i="9"/>
  <c r="B971" i="9"/>
  <c r="B652" i="9"/>
  <c r="A652" i="9"/>
  <c r="R652" i="9"/>
  <c r="B939" i="9"/>
  <c r="A939" i="9"/>
  <c r="R939" i="9"/>
  <c r="A1157" i="9"/>
  <c r="B1157" i="9"/>
  <c r="R1157" i="9"/>
  <c r="R637" i="9"/>
  <c r="B637" i="9"/>
  <c r="A637" i="9"/>
  <c r="B735" i="9"/>
  <c r="A735" i="9"/>
  <c r="R735" i="9"/>
  <c r="R674" i="9"/>
  <c r="A674" i="9"/>
  <c r="B674" i="9"/>
  <c r="R1247" i="9"/>
  <c r="B1247" i="9"/>
  <c r="A1247" i="9"/>
  <c r="B882" i="9"/>
  <c r="R882" i="9"/>
  <c r="A882" i="9"/>
  <c r="R1255" i="9"/>
  <c r="A1255" i="9"/>
  <c r="B1255" i="9"/>
  <c r="A870" i="9"/>
  <c r="R870" i="9"/>
  <c r="B870" i="9"/>
  <c r="A561" i="9"/>
  <c r="R561" i="9"/>
  <c r="B561" i="9"/>
  <c r="B834" i="9"/>
  <c r="R834" i="9"/>
  <c r="A834" i="9"/>
  <c r="A1082" i="9"/>
  <c r="R1082" i="9"/>
  <c r="B1082" i="9"/>
  <c r="R1118" i="9"/>
  <c r="B1118" i="9"/>
  <c r="A1118" i="9"/>
  <c r="R607" i="9"/>
  <c r="A607" i="9"/>
  <c r="B607" i="9"/>
  <c r="B965" i="9"/>
  <c r="A965" i="9"/>
  <c r="R965" i="9"/>
  <c r="A1029" i="9"/>
  <c r="B1029" i="9"/>
  <c r="R1029" i="9"/>
  <c r="B895" i="9"/>
  <c r="A895" i="9"/>
  <c r="R895" i="9"/>
  <c r="A653" i="9"/>
  <c r="R653" i="9"/>
  <c r="B653" i="9"/>
  <c r="A1126" i="9"/>
  <c r="R1126" i="9"/>
  <c r="B1126" i="9"/>
  <c r="A1051" i="9"/>
  <c r="B1051" i="9"/>
  <c r="R1051" i="9"/>
  <c r="R1135" i="9"/>
  <c r="A1135" i="9"/>
  <c r="B1135" i="9"/>
  <c r="A624" i="9"/>
  <c r="R624" i="9"/>
  <c r="B624" i="9"/>
  <c r="B1050" i="9"/>
  <c r="R1050" i="9"/>
  <c r="A1050" i="9"/>
  <c r="B1152" i="9"/>
  <c r="R1152" i="9"/>
  <c r="A1152" i="9"/>
  <c r="B1095" i="9"/>
  <c r="R1095" i="9"/>
  <c r="A1095" i="9"/>
  <c r="B682" i="9"/>
  <c r="A682" i="9"/>
  <c r="R682" i="9"/>
  <c r="B854" i="9"/>
  <c r="R854" i="9"/>
  <c r="A854" i="9"/>
  <c r="B693" i="9"/>
  <c r="R693" i="9"/>
  <c r="A693" i="9"/>
  <c r="A1141" i="9"/>
  <c r="R1141" i="9"/>
  <c r="B1141" i="9"/>
  <c r="A646" i="9"/>
  <c r="R646" i="9"/>
  <c r="B646" i="9"/>
  <c r="B982" i="9"/>
  <c r="A982" i="9"/>
  <c r="R982" i="9"/>
  <c r="A849" i="9"/>
  <c r="R849" i="9"/>
  <c r="B849" i="9"/>
  <c r="B771" i="9"/>
  <c r="A771" i="9"/>
  <c r="R771" i="9"/>
  <c r="B613" i="9"/>
  <c r="A613" i="9"/>
  <c r="R613" i="9"/>
  <c r="B807" i="9"/>
  <c r="A807" i="9"/>
  <c r="R807" i="9"/>
  <c r="A516" i="9"/>
  <c r="R516" i="9"/>
  <c r="B516" i="9"/>
  <c r="R554" i="9"/>
  <c r="A554" i="9"/>
  <c r="B554" i="9"/>
  <c r="A1112" i="9"/>
  <c r="B1112" i="9"/>
  <c r="R1112" i="9"/>
  <c r="A734" i="9"/>
  <c r="R734" i="9"/>
  <c r="B734" i="9"/>
  <c r="R524" i="9"/>
  <c r="A524" i="9"/>
  <c r="B524" i="9"/>
  <c r="R685" i="9"/>
  <c r="A685" i="9"/>
  <c r="B685" i="9"/>
  <c r="R1018" i="9"/>
  <c r="A1018" i="9"/>
  <c r="B1018" i="9"/>
  <c r="R851" i="9"/>
  <c r="B851" i="9"/>
  <c r="A851" i="9"/>
  <c r="R978" i="9"/>
  <c r="B978" i="9"/>
  <c r="A978" i="9"/>
  <c r="R1128" i="9"/>
  <c r="A1128" i="9"/>
  <c r="B1128" i="9"/>
  <c r="B722" i="9"/>
  <c r="A722" i="9"/>
  <c r="R722" i="9"/>
  <c r="A1063" i="9"/>
  <c r="R1063" i="9"/>
  <c r="B1063" i="9"/>
  <c r="A514" i="9"/>
  <c r="R514" i="9"/>
  <c r="B514" i="9"/>
  <c r="B783" i="9"/>
  <c r="A783" i="9"/>
  <c r="R783" i="9"/>
  <c r="B723" i="9"/>
  <c r="A723" i="9"/>
  <c r="R723" i="9"/>
  <c r="B1274" i="9"/>
  <c r="R1274" i="9"/>
  <c r="A1274" i="9"/>
  <c r="A1303" i="9"/>
  <c r="B1303" i="9"/>
  <c r="R1303" i="9"/>
  <c r="R1259" i="9"/>
  <c r="A1259" i="9"/>
  <c r="B1259" i="9"/>
  <c r="R499" i="9"/>
  <c r="B499" i="9"/>
  <c r="A499" i="9"/>
  <c r="B946" i="9"/>
  <c r="A946" i="9"/>
  <c r="R946" i="9"/>
  <c r="B1056" i="9"/>
  <c r="A1056" i="9"/>
  <c r="R1056" i="9"/>
  <c r="R572" i="9"/>
  <c r="A572" i="9"/>
  <c r="B572" i="9"/>
  <c r="R991" i="9"/>
  <c r="A991" i="9"/>
  <c r="B991" i="9"/>
  <c r="R709" i="9"/>
  <c r="B709" i="9"/>
  <c r="A709" i="9"/>
  <c r="R619" i="9"/>
  <c r="B619" i="9"/>
  <c r="A619" i="9"/>
  <c r="A818" i="9"/>
  <c r="B818" i="9"/>
  <c r="R818" i="9"/>
  <c r="B511" i="9"/>
  <c r="A511" i="9"/>
  <c r="R511" i="9"/>
  <c r="A1360" i="9"/>
  <c r="B1360" i="9"/>
  <c r="R1360" i="9"/>
  <c r="R1191" i="9"/>
  <c r="B1191" i="9"/>
  <c r="A1191" i="9"/>
  <c r="A1313" i="9"/>
  <c r="B1313" i="9"/>
  <c r="R1313" i="9"/>
  <c r="R560" i="9"/>
  <c r="B560" i="9"/>
  <c r="A560" i="9"/>
  <c r="A643" i="9"/>
  <c r="B643" i="9"/>
  <c r="R643" i="9"/>
  <c r="R1001" i="9"/>
  <c r="B1001" i="9"/>
  <c r="A1001" i="9"/>
  <c r="R663" i="9"/>
  <c r="B663" i="9"/>
  <c r="A663" i="9"/>
  <c r="R903" i="9"/>
  <c r="B903" i="9"/>
  <c r="A903" i="9"/>
  <c r="B745" i="9"/>
  <c r="A745" i="9"/>
  <c r="R745" i="9"/>
  <c r="B658" i="9"/>
  <c r="R658" i="9"/>
  <c r="A658" i="9"/>
  <c r="R994" i="9"/>
  <c r="B994" i="9"/>
  <c r="A994" i="9"/>
  <c r="A1040" i="9"/>
  <c r="B1040" i="9"/>
  <c r="R1040" i="9"/>
  <c r="R551" i="9"/>
  <c r="A551" i="9"/>
  <c r="B551" i="9"/>
  <c r="B1343" i="9"/>
  <c r="R1343" i="9"/>
  <c r="A1343" i="9"/>
  <c r="R1187" i="9"/>
  <c r="A1187" i="9"/>
  <c r="B1187" i="9"/>
  <c r="A1312" i="9"/>
  <c r="R1312" i="9"/>
  <c r="B1312" i="9"/>
  <c r="R952" i="9"/>
  <c r="B952" i="9"/>
  <c r="A952" i="9"/>
  <c r="R1132" i="9"/>
  <c r="B1132" i="9"/>
  <c r="A1132" i="9"/>
  <c r="A801" i="9"/>
  <c r="R801" i="9"/>
  <c r="B801" i="9"/>
  <c r="R578" i="9"/>
  <c r="B578" i="9"/>
  <c r="A578" i="9"/>
  <c r="R785" i="9"/>
  <c r="B785" i="9"/>
  <c r="A785" i="9"/>
  <c r="A1166" i="9"/>
  <c r="B1166" i="9"/>
  <c r="R1166" i="9"/>
  <c r="R1071" i="9"/>
  <c r="B1071" i="9"/>
  <c r="A1071" i="9"/>
  <c r="A891" i="9"/>
  <c r="B891" i="9"/>
  <c r="R891" i="9"/>
  <c r="R668" i="9"/>
  <c r="B668" i="9"/>
  <c r="A668" i="9"/>
  <c r="R1392" i="9"/>
  <c r="A1392" i="9"/>
  <c r="B1392" i="9"/>
  <c r="A1237" i="9"/>
  <c r="R1237" i="9"/>
  <c r="B1237" i="9"/>
  <c r="R1238" i="9"/>
  <c r="A1238" i="9"/>
  <c r="B1238" i="9"/>
  <c r="A794" i="9"/>
  <c r="B794" i="9"/>
  <c r="R794" i="9"/>
  <c r="B910" i="9"/>
  <c r="R910" i="9"/>
  <c r="A910" i="9"/>
  <c r="B878" i="9"/>
  <c r="A878" i="9"/>
  <c r="R878" i="9"/>
  <c r="A675" i="9"/>
  <c r="B675" i="9"/>
  <c r="R675" i="9"/>
  <c r="A899" i="9"/>
  <c r="R899" i="9"/>
  <c r="B899" i="9"/>
  <c r="A838" i="9"/>
  <c r="R838" i="9"/>
  <c r="B838" i="9"/>
  <c r="B789" i="9"/>
  <c r="A789" i="9"/>
  <c r="R789" i="9"/>
  <c r="B1024" i="9"/>
  <c r="R1024" i="9"/>
  <c r="A1024" i="9"/>
  <c r="R780" i="9"/>
  <c r="B780" i="9"/>
  <c r="A780" i="9"/>
  <c r="R548" i="9"/>
  <c r="B548" i="9"/>
  <c r="A548" i="9"/>
  <c r="A1378" i="9"/>
  <c r="R1378" i="9"/>
  <c r="B1378" i="9"/>
  <c r="R1327" i="9"/>
  <c r="A1327" i="9"/>
  <c r="B1327" i="9"/>
  <c r="R1207" i="9"/>
  <c r="A1207" i="9"/>
  <c r="B1207" i="9"/>
  <c r="R1246" i="9"/>
  <c r="B1246" i="9"/>
  <c r="A1246" i="9"/>
  <c r="B691" i="9"/>
  <c r="R691" i="9"/>
  <c r="A691" i="9"/>
  <c r="B1080" i="9"/>
  <c r="R1080" i="9"/>
  <c r="A1080" i="9"/>
  <c r="R861" i="9"/>
  <c r="A861" i="9"/>
  <c r="B861" i="9"/>
  <c r="R791" i="9"/>
  <c r="B791" i="9"/>
  <c r="A791" i="9"/>
  <c r="A1253" i="9"/>
  <c r="B1253" i="9"/>
  <c r="R1253" i="9"/>
  <c r="A533" i="9"/>
  <c r="B533" i="9"/>
  <c r="R533" i="9"/>
  <c r="R670" i="9"/>
  <c r="A670" i="9"/>
  <c r="B670" i="9"/>
  <c r="R502" i="9"/>
  <c r="B502" i="9"/>
  <c r="A502" i="9"/>
  <c r="B729" i="9"/>
  <c r="A729" i="9"/>
  <c r="R729" i="9"/>
  <c r="B1398" i="9"/>
  <c r="R1398" i="9"/>
  <c r="A1398" i="9"/>
  <c r="B1236" i="9"/>
  <c r="A1236" i="9"/>
  <c r="R1236" i="9"/>
  <c r="A953" i="9"/>
  <c r="B953" i="9"/>
  <c r="R953" i="9"/>
  <c r="B841" i="9"/>
  <c r="R841" i="9"/>
  <c r="A841" i="9"/>
  <c r="A799" i="9"/>
  <c r="B799" i="9"/>
  <c r="R799" i="9"/>
  <c r="B706" i="9"/>
  <c r="A706" i="9"/>
  <c r="R706" i="9"/>
  <c r="R660" i="9"/>
  <c r="B660" i="9"/>
  <c r="A660" i="9"/>
  <c r="R1394" i="9"/>
  <c r="B1394" i="9"/>
  <c r="A1394" i="9"/>
  <c r="R1286" i="9"/>
  <c r="A1286" i="9"/>
  <c r="B1286" i="9"/>
  <c r="B1374" i="9"/>
  <c r="A1374" i="9"/>
  <c r="R1374" i="9"/>
  <c r="R1358" i="9"/>
  <c r="B1358" i="9"/>
  <c r="A1358" i="9"/>
  <c r="A1351" i="9"/>
  <c r="R1351" i="9"/>
  <c r="B1351" i="9"/>
  <c r="A1354" i="9"/>
  <c r="R1354" i="9"/>
  <c r="B1354" i="9"/>
  <c r="R1362" i="9"/>
  <c r="B1362" i="9"/>
  <c r="A1362" i="9"/>
  <c r="A1389" i="9"/>
  <c r="R1389" i="9"/>
  <c r="B1389" i="9"/>
  <c r="R1376" i="9"/>
  <c r="A1376" i="9"/>
  <c r="B1376" i="9"/>
  <c r="R1332" i="9"/>
  <c r="B1332" i="9"/>
  <c r="A1332" i="9"/>
  <c r="B1218" i="9"/>
  <c r="A1218" i="9"/>
  <c r="R1218" i="9"/>
  <c r="B1359" i="9"/>
  <c r="R1359" i="9"/>
  <c r="A1359" i="9"/>
  <c r="A1348" i="9"/>
  <c r="B1348" i="9"/>
  <c r="R1348" i="9"/>
  <c r="B1201" i="9"/>
  <c r="A1201" i="9"/>
  <c r="R1201" i="9"/>
  <c r="A1296" i="9"/>
  <c r="B1296" i="9"/>
  <c r="R1296" i="9"/>
  <c r="B1178" i="9"/>
  <c r="R1178" i="9"/>
  <c r="A1178" i="9"/>
  <c r="R1235" i="9"/>
  <c r="B1235" i="9"/>
  <c r="A1235" i="9"/>
  <c r="B1268" i="9"/>
  <c r="A1268" i="9"/>
  <c r="R1268" i="9"/>
  <c r="B1179" i="9"/>
  <c r="A1179" i="9"/>
  <c r="R1179" i="9"/>
  <c r="R1190" i="9"/>
  <c r="A1190" i="9"/>
  <c r="B1190" i="9"/>
  <c r="B1306" i="9"/>
  <c r="R1306" i="9"/>
  <c r="A1306" i="9"/>
  <c r="R1206" i="9"/>
  <c r="A1206" i="9"/>
  <c r="B1206" i="9"/>
  <c r="A1124" i="9"/>
  <c r="B1124" i="9"/>
  <c r="R1124" i="9"/>
  <c r="A1087" i="9"/>
  <c r="R1087" i="9"/>
  <c r="B1087" i="9"/>
  <c r="B669" i="9"/>
  <c r="A669" i="9"/>
  <c r="R669" i="9"/>
  <c r="B1052" i="9"/>
  <c r="A1052" i="9"/>
  <c r="R1052" i="9"/>
  <c r="R804" i="9"/>
  <c r="B804" i="9"/>
  <c r="A804" i="9"/>
  <c r="R1252" i="9"/>
  <c r="B1252" i="9"/>
  <c r="A1252" i="9"/>
  <c r="A776" i="9"/>
  <c r="B776" i="9"/>
  <c r="R776" i="9"/>
  <c r="R671" i="9"/>
  <c r="A671" i="9"/>
  <c r="B671" i="9"/>
  <c r="R1136" i="9"/>
  <c r="B1136" i="9"/>
  <c r="A1136" i="9"/>
  <c r="A604" i="9"/>
  <c r="B604" i="9"/>
  <c r="R604" i="9"/>
  <c r="A754" i="9"/>
  <c r="B754" i="9"/>
  <c r="R754" i="9"/>
  <c r="R842" i="9"/>
  <c r="A842" i="9"/>
  <c r="B842" i="9"/>
  <c r="R711" i="9"/>
  <c r="B711" i="9"/>
  <c r="A711" i="9"/>
  <c r="B600" i="9"/>
  <c r="A600" i="9"/>
  <c r="R600" i="9"/>
  <c r="B1033" i="9"/>
  <c r="A1033" i="9"/>
  <c r="R1033" i="9"/>
  <c r="B1030" i="9"/>
  <c r="R1030" i="9"/>
  <c r="A1030" i="9"/>
  <c r="R569" i="9"/>
  <c r="B569" i="9"/>
  <c r="A569" i="9"/>
  <c r="R816" i="9"/>
  <c r="A816" i="9"/>
  <c r="B816" i="9"/>
  <c r="B782" i="9"/>
  <c r="R782" i="9"/>
  <c r="A782" i="9"/>
  <c r="A564" i="9"/>
  <c r="R564" i="9"/>
  <c r="B564" i="9"/>
  <c r="R972" i="9"/>
  <c r="B972" i="9"/>
  <c r="A972" i="9"/>
  <c r="B992" i="9"/>
  <c r="R992" i="9"/>
  <c r="A992" i="9"/>
  <c r="A1117" i="9"/>
  <c r="R1117" i="9"/>
  <c r="B1117" i="9"/>
  <c r="R540" i="9"/>
  <c r="A540" i="9"/>
  <c r="B540" i="9"/>
  <c r="B778" i="9"/>
  <c r="R778" i="9"/>
  <c r="A778" i="9"/>
  <c r="R1074" i="9"/>
  <c r="B1074" i="9"/>
  <c r="A1074" i="9"/>
  <c r="R914" i="9"/>
  <c r="B914" i="9"/>
  <c r="A914" i="9"/>
  <c r="R736" i="9"/>
  <c r="B736" i="9"/>
  <c r="A736" i="9"/>
  <c r="B1164" i="9"/>
  <c r="A1164" i="9"/>
  <c r="R1164" i="9"/>
  <c r="R1144" i="9"/>
  <c r="A1144" i="9"/>
  <c r="B1144" i="9"/>
  <c r="B1148" i="9"/>
  <c r="A1148" i="9"/>
  <c r="R1148" i="9"/>
  <c r="R726" i="9"/>
  <c r="B726" i="9"/>
  <c r="A726" i="9"/>
  <c r="A893" i="9"/>
  <c r="R893" i="9"/>
  <c r="B893" i="9"/>
  <c r="B1013" i="9"/>
  <c r="A1013" i="9"/>
  <c r="R1013" i="9"/>
  <c r="R787" i="9"/>
  <c r="A787" i="9"/>
  <c r="B787" i="9"/>
  <c r="R667" i="9"/>
  <c r="B667" i="9"/>
  <c r="A667" i="9"/>
  <c r="R993" i="9"/>
  <c r="A993" i="9"/>
  <c r="B993" i="9"/>
  <c r="R666" i="9"/>
  <c r="A666" i="9"/>
  <c r="B666" i="9"/>
  <c r="R1059" i="9"/>
  <c r="B1059" i="9"/>
  <c r="A1059" i="9"/>
  <c r="A920" i="9"/>
  <c r="R920" i="9"/>
  <c r="B920" i="9"/>
  <c r="A880" i="9"/>
  <c r="R880" i="9"/>
  <c r="B880" i="9"/>
  <c r="B866" i="9"/>
  <c r="R866" i="9"/>
  <c r="A866" i="9"/>
  <c r="B515" i="9"/>
  <c r="A515" i="9"/>
  <c r="R515" i="9"/>
  <c r="A824" i="9"/>
  <c r="B824" i="9"/>
  <c r="R824" i="9"/>
  <c r="A827" i="9"/>
  <c r="B827" i="9"/>
  <c r="R827" i="9"/>
  <c r="R957" i="9"/>
  <c r="A957" i="9"/>
  <c r="B957" i="9"/>
  <c r="R581" i="9"/>
  <c r="B581" i="9"/>
  <c r="A581" i="9"/>
  <c r="R1123" i="9"/>
  <c r="B1123" i="9"/>
  <c r="A1123" i="9"/>
  <c r="R556" i="9"/>
  <c r="B556" i="9"/>
  <c r="A556" i="9"/>
  <c r="B694" i="9"/>
  <c r="A694" i="9"/>
  <c r="R694" i="9"/>
  <c r="R892" i="9"/>
  <c r="B892" i="9"/>
  <c r="A892" i="9"/>
  <c r="R922" i="9"/>
  <c r="B922" i="9"/>
  <c r="A922" i="9"/>
  <c r="B929" i="9"/>
  <c r="A929" i="9"/>
  <c r="R929" i="9"/>
  <c r="A740" i="9"/>
  <c r="B740" i="9"/>
  <c r="R740" i="9"/>
  <c r="R750" i="9"/>
  <c r="B750" i="9"/>
  <c r="A750" i="9"/>
  <c r="A956" i="9"/>
  <c r="R956" i="9"/>
  <c r="B956" i="9"/>
  <c r="A897" i="9"/>
  <c r="R897" i="9"/>
  <c r="B897" i="9"/>
  <c r="B1341" i="9"/>
  <c r="R1341" i="9"/>
  <c r="A1341" i="9"/>
  <c r="B1183" i="9"/>
  <c r="R1183" i="9"/>
  <c r="A1183" i="9"/>
  <c r="A1301" i="9"/>
  <c r="B1301" i="9"/>
  <c r="R1301" i="9"/>
  <c r="A862" i="9"/>
  <c r="R862" i="9"/>
  <c r="B862" i="9"/>
  <c r="A562" i="9"/>
  <c r="R562" i="9"/>
  <c r="B562" i="9"/>
  <c r="R1088" i="9"/>
  <c r="A1088" i="9"/>
  <c r="B1088" i="9"/>
  <c r="R968" i="9"/>
  <c r="B968" i="9"/>
  <c r="A968" i="9"/>
  <c r="R1155" i="9"/>
  <c r="B1155" i="9"/>
  <c r="A1155" i="9"/>
  <c r="B848" i="9"/>
  <c r="R848" i="9"/>
  <c r="A848" i="9"/>
  <c r="A830" i="9"/>
  <c r="B830" i="9"/>
  <c r="R830" i="9"/>
  <c r="B737" i="9"/>
  <c r="R737" i="9"/>
  <c r="A737" i="9"/>
  <c r="B998" i="9"/>
  <c r="R998" i="9"/>
  <c r="A998" i="9"/>
  <c r="R1075" i="9"/>
  <c r="A1075" i="9"/>
  <c r="B1075" i="9"/>
  <c r="B1276" i="9"/>
  <c r="R1276" i="9"/>
  <c r="A1276" i="9"/>
  <c r="A1285" i="9"/>
  <c r="B1285" i="9"/>
  <c r="R1285" i="9"/>
  <c r="R1197" i="9"/>
  <c r="A1197" i="9"/>
  <c r="B1197" i="9"/>
  <c r="A1308" i="9"/>
  <c r="B1308" i="9"/>
  <c r="R1308" i="9"/>
  <c r="B710" i="9"/>
  <c r="A710" i="9"/>
  <c r="R710" i="9"/>
  <c r="B970" i="9"/>
  <c r="A970" i="9"/>
  <c r="R970" i="9"/>
  <c r="A1143" i="9"/>
  <c r="B1143" i="9"/>
  <c r="R1143" i="9"/>
  <c r="A1076" i="9"/>
  <c r="R1076" i="9"/>
  <c r="B1076" i="9"/>
  <c r="B1096" i="9"/>
  <c r="R1096" i="9"/>
  <c r="A1096" i="9"/>
  <c r="R885" i="9"/>
  <c r="A885" i="9"/>
  <c r="B885" i="9"/>
  <c r="R739" i="9"/>
  <c r="B739" i="9"/>
  <c r="A739" i="9"/>
  <c r="B1012" i="9"/>
  <c r="A1012" i="9"/>
  <c r="R1012" i="9"/>
  <c r="B847" i="9"/>
  <c r="A847" i="9"/>
  <c r="R847" i="9"/>
  <c r="A835" i="9"/>
  <c r="B835" i="9"/>
  <c r="R835" i="9"/>
  <c r="A1278" i="9"/>
  <c r="B1278" i="9"/>
  <c r="R1278" i="9"/>
  <c r="R1292" i="9"/>
  <c r="A1292" i="9"/>
  <c r="B1292" i="9"/>
  <c r="R1273" i="9"/>
  <c r="B1273" i="9"/>
  <c r="A1273" i="9"/>
  <c r="A1243" i="9"/>
  <c r="B1243" i="9"/>
  <c r="R1243" i="9"/>
  <c r="R950" i="9"/>
  <c r="A950" i="9"/>
  <c r="B950" i="9"/>
  <c r="B1091" i="9"/>
  <c r="R1091" i="9"/>
  <c r="A1091" i="9"/>
  <c r="B752" i="9"/>
  <c r="A752" i="9"/>
  <c r="R752" i="9"/>
  <c r="A1102" i="9"/>
  <c r="R1102" i="9"/>
  <c r="B1102" i="9"/>
  <c r="R580" i="9"/>
  <c r="A580" i="9"/>
  <c r="B580" i="9"/>
  <c r="B855" i="9"/>
  <c r="A855" i="9"/>
  <c r="R855" i="9"/>
  <c r="R641" i="9"/>
  <c r="B641" i="9"/>
  <c r="A641" i="9"/>
  <c r="B509" i="9"/>
  <c r="R509" i="9"/>
  <c r="A509" i="9"/>
  <c r="R558" i="9"/>
  <c r="B558" i="9"/>
  <c r="A558" i="9"/>
  <c r="A1282" i="9"/>
  <c r="R1282" i="9"/>
  <c r="B1282" i="9"/>
  <c r="A1356" i="9"/>
  <c r="B1356" i="9"/>
  <c r="R1356" i="9"/>
  <c r="B1213" i="9"/>
  <c r="A1213" i="9"/>
  <c r="R1213" i="9"/>
  <c r="R979" i="9"/>
  <c r="B979" i="9"/>
  <c r="A979" i="9"/>
  <c r="A781" i="9"/>
  <c r="B781" i="9"/>
  <c r="R781" i="9"/>
  <c r="A625" i="9"/>
  <c r="R625" i="9"/>
  <c r="B625" i="9"/>
  <c r="R1251" i="9"/>
  <c r="A1251" i="9"/>
  <c r="B1251" i="9"/>
  <c r="B1020" i="9"/>
  <c r="R1020" i="9"/>
  <c r="A1020" i="9"/>
  <c r="B877" i="9"/>
  <c r="A877" i="9"/>
  <c r="R877" i="9"/>
  <c r="B588" i="9"/>
  <c r="A588" i="9"/>
  <c r="R588" i="9"/>
  <c r="A622" i="9"/>
  <c r="B622" i="9"/>
  <c r="R622" i="9"/>
  <c r="A591" i="9"/>
  <c r="R591" i="9"/>
  <c r="B591" i="9"/>
  <c r="A696" i="9"/>
  <c r="R696" i="9"/>
  <c r="B696" i="9"/>
  <c r="R1335" i="9"/>
  <c r="B1335" i="9"/>
  <c r="A1335" i="9"/>
  <c r="B1323" i="9"/>
  <c r="R1323" i="9"/>
  <c r="A1323" i="9"/>
  <c r="B1007" i="9"/>
  <c r="A1007" i="9"/>
  <c r="R1007" i="9"/>
  <c r="B770" i="9"/>
  <c r="R770" i="9"/>
  <c r="A770" i="9"/>
  <c r="B948" i="9"/>
  <c r="A948" i="9"/>
  <c r="R948" i="9"/>
  <c r="A888" i="9"/>
  <c r="R888" i="9"/>
  <c r="B888" i="9"/>
  <c r="R853" i="9"/>
  <c r="A853" i="9"/>
  <c r="B853" i="9"/>
  <c r="A955" i="9"/>
  <c r="R955" i="9"/>
  <c r="B955" i="9"/>
  <c r="A760" i="9"/>
  <c r="B760" i="9"/>
  <c r="R760" i="9"/>
  <c r="B777" i="9"/>
  <c r="A777" i="9"/>
  <c r="R777" i="9"/>
  <c r="R530" i="9"/>
  <c r="A530" i="9"/>
  <c r="B530" i="9"/>
  <c r="R981" i="9"/>
  <c r="A981" i="9"/>
  <c r="B981" i="9"/>
  <c r="A603" i="9"/>
  <c r="B603" i="9"/>
  <c r="R603" i="9"/>
  <c r="B1221" i="9"/>
  <c r="A1221" i="9"/>
  <c r="R1221" i="9"/>
  <c r="R1188" i="9"/>
  <c r="B1188" i="9"/>
  <c r="A1188" i="9"/>
  <c r="R1068" i="9"/>
  <c r="B1068" i="9"/>
  <c r="A1068" i="9"/>
  <c r="A1149" i="9"/>
  <c r="B1149" i="9"/>
  <c r="R1149" i="9"/>
  <c r="R763" i="9"/>
  <c r="B763" i="9"/>
  <c r="A763" i="9"/>
  <c r="B859" i="9"/>
  <c r="A859" i="9"/>
  <c r="R859" i="9"/>
  <c r="A1084" i="9"/>
  <c r="B1084" i="9"/>
  <c r="R1084" i="9"/>
  <c r="R825" i="9"/>
  <c r="B825" i="9"/>
  <c r="A825" i="9"/>
  <c r="R1065" i="9"/>
  <c r="A1065" i="9"/>
  <c r="B1065" i="9"/>
  <c r="R1139" i="9"/>
  <c r="B1139" i="9"/>
  <c r="A1139" i="9"/>
  <c r="B831" i="9"/>
  <c r="A831" i="9"/>
  <c r="R831" i="9"/>
  <c r="B1361" i="9"/>
  <c r="A1361" i="9"/>
  <c r="R1361" i="9"/>
  <c r="B1352" i="9"/>
  <c r="R1352" i="9"/>
  <c r="A1352" i="9"/>
  <c r="R1363" i="9"/>
  <c r="A1363" i="9"/>
  <c r="B1363" i="9"/>
  <c r="B1219" i="9"/>
  <c r="R1219" i="9"/>
  <c r="A1219" i="9"/>
  <c r="A1334" i="9"/>
  <c r="R1334" i="9"/>
  <c r="B1334" i="9"/>
  <c r="R1366" i="9"/>
  <c r="B1366" i="9"/>
  <c r="A1366" i="9"/>
  <c r="B1288" i="9"/>
  <c r="R1288" i="9"/>
  <c r="A1288" i="9"/>
  <c r="B1399" i="9"/>
  <c r="A1399" i="9"/>
  <c r="R1399" i="9"/>
  <c r="A1349" i="9"/>
  <c r="R1349" i="9"/>
  <c r="B1349" i="9"/>
  <c r="A1226" i="9"/>
  <c r="B1226" i="9"/>
  <c r="R1226" i="9"/>
  <c r="R1317" i="9"/>
  <c r="A1317" i="9"/>
  <c r="B1317" i="9"/>
  <c r="B1232" i="9"/>
  <c r="R1232" i="9"/>
  <c r="A1232" i="9"/>
  <c r="B1177" i="9"/>
  <c r="R1177" i="9"/>
  <c r="A1177" i="9"/>
  <c r="R1176" i="9"/>
  <c r="B1176" i="9"/>
  <c r="A1176" i="9"/>
  <c r="B1267" i="9"/>
  <c r="A1267" i="9"/>
  <c r="R1267" i="9"/>
  <c r="A1195" i="9"/>
  <c r="R1195" i="9"/>
  <c r="B1195" i="9"/>
  <c r="B1297" i="9"/>
  <c r="R1297" i="9"/>
  <c r="A1297" i="9"/>
  <c r="A1230" i="9"/>
  <c r="B1230" i="9"/>
  <c r="R1230" i="9"/>
  <c r="A657" i="9"/>
  <c r="R657" i="9"/>
  <c r="B657" i="9"/>
  <c r="A1146" i="9"/>
  <c r="R1146" i="9"/>
  <c r="B1146" i="9"/>
  <c r="R1254" i="9"/>
  <c r="A1254" i="9"/>
  <c r="B1254" i="9"/>
  <c r="B874" i="9"/>
  <c r="A874" i="9"/>
  <c r="R874" i="9"/>
  <c r="R1101" i="9"/>
  <c r="A1101" i="9"/>
  <c r="B1101" i="9"/>
  <c r="B1049" i="9"/>
  <c r="A1049" i="9"/>
  <c r="R1049" i="9"/>
  <c r="R1103" i="9"/>
  <c r="B1103" i="9"/>
  <c r="A1103" i="9"/>
  <c r="B618" i="9"/>
  <c r="R618" i="9"/>
  <c r="A618" i="9"/>
  <c r="R1042" i="9"/>
  <c r="A1042" i="9"/>
  <c r="B1042" i="9"/>
  <c r="R552" i="9"/>
  <c r="B552" i="9"/>
  <c r="A552" i="9"/>
  <c r="A1105" i="9"/>
  <c r="B1105" i="9"/>
  <c r="R1105" i="9"/>
  <c r="B1043" i="9"/>
  <c r="R1043" i="9"/>
  <c r="A1043" i="9"/>
  <c r="R810" i="9"/>
  <c r="B810" i="9"/>
  <c r="A810" i="9"/>
  <c r="R720" i="9"/>
  <c r="B720" i="9"/>
  <c r="A720" i="9"/>
  <c r="A1147" i="9"/>
  <c r="B1147" i="9"/>
  <c r="R1147" i="9"/>
  <c r="A843" i="9"/>
  <c r="B843" i="9"/>
  <c r="R843" i="9"/>
  <c r="R1158" i="9"/>
  <c r="A1158" i="9"/>
  <c r="B1158" i="9"/>
  <c r="R1034" i="9"/>
  <c r="A1034" i="9"/>
  <c r="B1034" i="9"/>
  <c r="A822" i="9"/>
  <c r="R822" i="9"/>
  <c r="B822" i="9"/>
  <c r="R1085" i="9"/>
  <c r="A1085" i="9"/>
  <c r="B1085" i="9"/>
  <c r="R1129" i="9"/>
  <c r="B1129" i="9"/>
  <c r="A1129" i="9"/>
  <c r="B742" i="9"/>
  <c r="A742" i="9"/>
  <c r="R742" i="9"/>
  <c r="B871" i="9"/>
  <c r="R871" i="9"/>
  <c r="A871" i="9"/>
  <c r="R557" i="9"/>
  <c r="B557" i="9"/>
  <c r="A557" i="9"/>
  <c r="A1248" i="9"/>
  <c r="R1248" i="9"/>
  <c r="B1248" i="9"/>
  <c r="R1006" i="9"/>
  <c r="B1006" i="9"/>
  <c r="A1006" i="9"/>
  <c r="A1162" i="9"/>
  <c r="B1162" i="9"/>
  <c r="R1162" i="9"/>
  <c r="R571" i="9"/>
  <c r="A571" i="9"/>
  <c r="B571" i="9"/>
  <c r="B896" i="9"/>
  <c r="R896" i="9"/>
  <c r="A896" i="9"/>
  <c r="B1000" i="9"/>
  <c r="R1000" i="9"/>
  <c r="A1000" i="9"/>
  <c r="R1116" i="9"/>
  <c r="A1116" i="9"/>
  <c r="B1116" i="9"/>
  <c r="R566" i="9"/>
  <c r="B566" i="9"/>
  <c r="A566" i="9"/>
  <c r="B868" i="9"/>
  <c r="A868" i="9"/>
  <c r="R868" i="9"/>
  <c r="R1004" i="9"/>
  <c r="A1004" i="9"/>
  <c r="B1004" i="9"/>
  <c r="B930" i="9"/>
  <c r="R930" i="9"/>
  <c r="A930" i="9"/>
  <c r="A527" i="9"/>
  <c r="B527" i="9"/>
  <c r="R527" i="9"/>
  <c r="B901" i="9"/>
  <c r="R901" i="9"/>
  <c r="A901" i="9"/>
  <c r="R655" i="9"/>
  <c r="A655" i="9"/>
  <c r="B655" i="9"/>
  <c r="A823" i="9"/>
  <c r="B823" i="9"/>
  <c r="R823" i="9"/>
  <c r="A630" i="9"/>
  <c r="B630" i="9"/>
  <c r="R630" i="9"/>
  <c r="R1055" i="9"/>
  <c r="A1055" i="9"/>
  <c r="B1055" i="9"/>
  <c r="R821" i="9"/>
  <c r="B821" i="9"/>
  <c r="A821" i="9"/>
  <c r="R504" i="9"/>
  <c r="B504" i="9"/>
  <c r="A504" i="9"/>
  <c r="R538" i="9"/>
  <c r="B538" i="9"/>
  <c r="A538" i="9"/>
  <c r="R898" i="9"/>
  <c r="A898" i="9"/>
  <c r="B898" i="9"/>
  <c r="B977" i="9"/>
  <c r="R977" i="9"/>
  <c r="A977" i="9"/>
  <c r="A589" i="9"/>
  <c r="R589" i="9"/>
  <c r="B589" i="9"/>
  <c r="R808" i="9"/>
  <c r="A808" i="9"/>
  <c r="B808" i="9"/>
  <c r="R517" i="9"/>
  <c r="B517" i="9"/>
  <c r="A517" i="9"/>
  <c r="R608" i="9"/>
  <c r="A608" i="9"/>
  <c r="B608" i="9"/>
  <c r="R932" i="9"/>
  <c r="B932" i="9"/>
  <c r="A932" i="9"/>
  <c r="R563" i="9"/>
  <c r="B563" i="9"/>
  <c r="A563" i="9"/>
  <c r="A526" i="9"/>
  <c r="B526" i="9"/>
  <c r="R526" i="9"/>
  <c r="R520" i="9"/>
  <c r="B520" i="9"/>
  <c r="A520" i="9"/>
  <c r="R863" i="9"/>
  <c r="B863" i="9"/>
  <c r="A863" i="9"/>
  <c r="A935" i="9"/>
  <c r="B935" i="9"/>
  <c r="R935" i="9"/>
  <c r="B916" i="9"/>
  <c r="A916" i="9"/>
  <c r="R916" i="9"/>
  <c r="L6" i="17"/>
  <c r="G18" i="21"/>
  <c r="G21" i="21"/>
  <c r="G20" i="21"/>
  <c r="G19" i="21"/>
  <c r="G14" i="21"/>
  <c r="K7" i="21"/>
  <c r="M23" i="21" s="1"/>
  <c r="G17" i="21"/>
  <c r="G16" i="21"/>
  <c r="G15" i="21"/>
  <c r="M25" i="21" l="1"/>
  <c r="H18" i="21"/>
  <c r="H20" i="21"/>
  <c r="M20" i="21" s="1"/>
  <c r="H21" i="21"/>
  <c r="H16" i="21"/>
  <c r="H14" i="21"/>
  <c r="H15" i="21"/>
  <c r="H17" i="21"/>
  <c r="M17" i="21" s="1"/>
  <c r="H19" i="21"/>
  <c r="H22" i="21"/>
  <c r="M24" i="21"/>
  <c r="M14" i="21" l="1"/>
  <c r="M21" i="21"/>
  <c r="M22" i="21"/>
  <c r="M18" i="21"/>
  <c r="M15" i="21"/>
  <c r="M16" i="21"/>
  <c r="M19" i="21"/>
  <c r="L6" i="23" l="1"/>
  <c r="M6" i="23"/>
  <c r="G15" i="23" s="1"/>
  <c r="K6" i="23"/>
  <c r="K7" i="23" l="1"/>
  <c r="M17" i="23" s="1"/>
  <c r="G14" i="23"/>
  <c r="M18" i="23" l="1"/>
  <c r="M16" i="23"/>
  <c r="H14" i="23"/>
  <c r="H15" i="23"/>
  <c r="M15" i="23" l="1"/>
  <c r="M14" i="23"/>
  <c r="K6" i="17" l="1"/>
  <c r="M6" i="17"/>
  <c r="G15" i="17" s="1"/>
  <c r="K7" i="17" l="1"/>
  <c r="M16" i="17" s="1"/>
  <c r="G14" i="17"/>
  <c r="M17" i="17" l="1"/>
  <c r="H14" i="17"/>
  <c r="M14" i="17" s="1"/>
  <c r="H15" i="17"/>
  <c r="M15" i="17" s="1"/>
  <c r="M18" i="17"/>
  <c r="W200" i="1"/>
  <c r="V200" i="1" s="1"/>
  <c r="B200" i="1" l="1"/>
  <c r="A200" i="1"/>
  <c r="W209" i="1"/>
  <c r="A209" i="1" s="1"/>
  <c r="B209" i="1" l="1"/>
  <c r="V209" i="1"/>
  <c r="W13" i="1"/>
  <c r="V13" i="1" s="1"/>
  <c r="W26" i="1"/>
  <c r="V26" i="1" s="1"/>
  <c r="B13" i="1" l="1"/>
  <c r="A13" i="1"/>
  <c r="A26" i="1"/>
  <c r="B26" i="1"/>
  <c r="W32" i="1"/>
  <c r="W46" i="1"/>
  <c r="W73" i="1" l="1"/>
  <c r="W60" i="1"/>
  <c r="A32" i="1"/>
  <c r="V32" i="1"/>
  <c r="B32" i="1"/>
  <c r="A46" i="1"/>
  <c r="V46" i="1"/>
  <c r="B46" i="1"/>
  <c r="W90" i="1" l="1"/>
  <c r="B60" i="1"/>
  <c r="V60" i="1"/>
  <c r="A60" i="1"/>
  <c r="W103" i="1"/>
  <c r="A73" i="1"/>
  <c r="V73" i="1"/>
  <c r="B73" i="1"/>
  <c r="B90" i="1" l="1"/>
  <c r="V90" i="1"/>
  <c r="A90" i="1"/>
  <c r="V103" i="1"/>
  <c r="B103" i="1"/>
  <c r="A103" i="1"/>
  <c r="W121" i="1"/>
  <c r="B121" i="1" l="1"/>
  <c r="V121" i="1"/>
  <c r="A121" i="1"/>
  <c r="W141" i="1"/>
  <c r="W152" i="1" l="1"/>
  <c r="A141" i="1"/>
  <c r="V141" i="1"/>
  <c r="B141" i="1"/>
  <c r="W176" i="1" l="1"/>
  <c r="V152" i="1"/>
  <c r="B152" i="1"/>
  <c r="A152" i="1"/>
  <c r="A176" i="1" l="1"/>
  <c r="B176" i="1"/>
  <c r="V176" i="1"/>
  <c r="W185" i="1"/>
  <c r="W198" i="1" l="1"/>
  <c r="V185" i="1"/>
  <c r="A185" i="1"/>
  <c r="B185" i="1"/>
  <c r="B198" i="1" l="1"/>
  <c r="A198" i="1"/>
  <c r="V198" i="1"/>
  <c r="W13" i="9" a="1"/>
  <c r="W13" i="9" l="1"/>
  <c r="C56" i="9" a="1"/>
  <c r="C56" i="9" s="1"/>
  <c r="C65" i="9" a="1"/>
  <c r="C65" i="9" s="1"/>
  <c r="C72" i="9" a="1"/>
  <c r="C72" i="9" s="1"/>
  <c r="C81" i="9" a="1"/>
  <c r="C81" i="9" s="1"/>
  <c r="C95" i="9" a="1"/>
  <c r="C95" i="9" s="1"/>
  <c r="C102" i="9" a="1"/>
  <c r="C102" i="9" s="1"/>
  <c r="C133" i="9" a="1"/>
  <c r="C133" i="9" s="1"/>
  <c r="C141" i="9" a="1"/>
  <c r="C141" i="9" s="1"/>
  <c r="C149" i="9" a="1"/>
  <c r="C149" i="9" s="1"/>
  <c r="C166" i="9" a="1"/>
  <c r="C166" i="9" s="1"/>
  <c r="C173" i="9" a="1"/>
  <c r="C173" i="9" s="1"/>
  <c r="C187" i="9" a="1"/>
  <c r="C187" i="9" s="1"/>
  <c r="C194" i="9" a="1"/>
  <c r="C194" i="9" s="1"/>
  <c r="C216" i="9" a="1"/>
  <c r="C216" i="9" s="1"/>
  <c r="C226" i="9" a="1"/>
  <c r="C226" i="9" s="1"/>
  <c r="C233" i="9" a="1"/>
  <c r="C233" i="9" s="1"/>
  <c r="C250" i="9" a="1"/>
  <c r="C250" i="9" s="1"/>
  <c r="C267" i="9" a="1"/>
  <c r="C267" i="9" s="1"/>
  <c r="C275" i="9" a="1"/>
  <c r="C275" i="9" s="1"/>
  <c r="C322" i="9" a="1"/>
  <c r="C322" i="9" s="1"/>
  <c r="C350" i="9" a="1"/>
  <c r="C350" i="9" s="1"/>
  <c r="C358" i="9" a="1"/>
  <c r="C358" i="9" s="1"/>
  <c r="C365" i="9" a="1"/>
  <c r="C365" i="9" s="1"/>
  <c r="C372" i="9" a="1"/>
  <c r="C372" i="9" s="1"/>
  <c r="C380" i="9" a="1"/>
  <c r="C380" i="9" s="1"/>
  <c r="C403" i="9" a="1"/>
  <c r="C403" i="9" s="1"/>
  <c r="C410" i="9" a="1"/>
  <c r="C410" i="9" s="1"/>
  <c r="C418" i="9" a="1"/>
  <c r="C418" i="9" s="1"/>
  <c r="C426" i="9" a="1"/>
  <c r="C426" i="9" s="1"/>
  <c r="C433" i="9" a="1"/>
  <c r="C433" i="9" s="1"/>
  <c r="C441" i="9" a="1"/>
  <c r="C441" i="9" s="1"/>
  <c r="C448" i="9" a="1"/>
  <c r="C448" i="9" s="1"/>
  <c r="C456" i="9" a="1"/>
  <c r="C456" i="9" s="1"/>
  <c r="C464" i="9" a="1"/>
  <c r="C464" i="9" s="1"/>
  <c r="C480" i="9" a="1"/>
  <c r="C480" i="9" s="1"/>
  <c r="C488" i="9" a="1"/>
  <c r="C488" i="9" s="1"/>
  <c r="C57" i="9" a="1"/>
  <c r="C57" i="9" s="1"/>
  <c r="C66" i="9" a="1"/>
  <c r="C66" i="9" s="1"/>
  <c r="C88" i="9" a="1"/>
  <c r="C88" i="9" s="1"/>
  <c r="C103" i="9" a="1"/>
  <c r="C103" i="9" s="1"/>
  <c r="C112" i="9" a="1"/>
  <c r="C112" i="9" s="1"/>
  <c r="C119" i="9" a="1"/>
  <c r="C119" i="9" s="1"/>
  <c r="C126" i="9" a="1"/>
  <c r="C126" i="9" s="1"/>
  <c r="C150" i="9" a="1"/>
  <c r="C150" i="9" s="1"/>
  <c r="C158" i="9" a="1"/>
  <c r="C158" i="9" s="1"/>
  <c r="C181" i="9" a="1"/>
  <c r="C181" i="9" s="1"/>
  <c r="C188" i="9" a="1"/>
  <c r="C188" i="9" s="1"/>
  <c r="C195" i="9" a="1"/>
  <c r="C195" i="9" s="1"/>
  <c r="C202" i="9" a="1"/>
  <c r="C202" i="9" s="1"/>
  <c r="C210" i="9" a="1"/>
  <c r="C210" i="9" s="1"/>
  <c r="C217" i="9" a="1"/>
  <c r="C217" i="9" s="1"/>
  <c r="C227" i="9" a="1"/>
  <c r="C227" i="9" s="1"/>
  <c r="C234" i="9" a="1"/>
  <c r="C234" i="9" s="1"/>
  <c r="C242" i="9" a="1"/>
  <c r="C242" i="9" s="1"/>
  <c r="C251" i="9" a="1"/>
  <c r="C251" i="9" s="1"/>
  <c r="C259" i="9" a="1"/>
  <c r="C259" i="9" s="1"/>
  <c r="C268" i="9" a="1"/>
  <c r="C268" i="9" s="1"/>
  <c r="C283" i="9" a="1"/>
  <c r="C283" i="9" s="1"/>
  <c r="C290" i="9" a="1"/>
  <c r="C290" i="9" s="1"/>
  <c r="C298" i="9" a="1"/>
  <c r="C298" i="9" s="1"/>
  <c r="C305" i="9" a="1"/>
  <c r="C305" i="9" s="1"/>
  <c r="C314" i="9" a="1"/>
  <c r="C314" i="9" s="1"/>
  <c r="C330" i="9" a="1"/>
  <c r="C330" i="9" s="1"/>
  <c r="C337" i="9" a="1"/>
  <c r="C337" i="9" s="1"/>
  <c r="C344" i="9" a="1"/>
  <c r="C344" i="9" s="1"/>
  <c r="C351" i="9" a="1"/>
  <c r="C351" i="9" s="1"/>
  <c r="C366" i="9" a="1"/>
  <c r="C366" i="9" s="1"/>
  <c r="C381" i="9" a="1"/>
  <c r="C381" i="9" s="1"/>
  <c r="C388" i="9" a="1"/>
  <c r="C388" i="9" s="1"/>
  <c r="C397" i="9" a="1"/>
  <c r="C397" i="9" s="1"/>
  <c r="C404" i="9" a="1"/>
  <c r="C404" i="9" s="1"/>
  <c r="C411" i="9" a="1"/>
  <c r="C411" i="9" s="1"/>
  <c r="C449" i="9" a="1"/>
  <c r="C449" i="9" s="1"/>
  <c r="C465" i="9" a="1"/>
  <c r="C465" i="9" s="1"/>
  <c r="C473" i="9" a="1"/>
  <c r="C473" i="9" s="1"/>
  <c r="C489" i="9" a="1"/>
  <c r="C489" i="9" s="1"/>
  <c r="C54" i="9" a="1"/>
  <c r="C54" i="9" s="1"/>
  <c r="C64" i="9" a="1"/>
  <c r="C64" i="9" s="1"/>
  <c r="C73" i="9" a="1"/>
  <c r="C73" i="9" s="1"/>
  <c r="C83" i="9" a="1"/>
  <c r="C83" i="9" s="1"/>
  <c r="C100" i="9" a="1"/>
  <c r="C100" i="9" s="1"/>
  <c r="C110" i="9" a="1"/>
  <c r="C110" i="9" s="1"/>
  <c r="C146" i="9" a="1"/>
  <c r="C146" i="9" s="1"/>
  <c r="C167" i="9" a="1"/>
  <c r="C167" i="9" s="1"/>
  <c r="C176" i="9" a="1"/>
  <c r="C176" i="9" s="1"/>
  <c r="C184" i="9" a="1"/>
  <c r="C184" i="9" s="1"/>
  <c r="C192" i="9" a="1"/>
  <c r="C192" i="9" s="1"/>
  <c r="C200" i="9" a="1"/>
  <c r="C200" i="9" s="1"/>
  <c r="C220" i="9" a="1"/>
  <c r="C220" i="9" s="1"/>
  <c r="C239" i="9" a="1"/>
  <c r="C239" i="9" s="1"/>
  <c r="C248" i="9" a="1"/>
  <c r="C248" i="9" s="1"/>
  <c r="C260" i="9" a="1"/>
  <c r="C260" i="9" s="1"/>
  <c r="C278" i="9" a="1"/>
  <c r="C278" i="9" s="1"/>
  <c r="C287" i="9" a="1"/>
  <c r="C287" i="9" s="1"/>
  <c r="C296" i="9" a="1"/>
  <c r="C296" i="9" s="1"/>
  <c r="C306" i="9" a="1"/>
  <c r="C306" i="9" s="1"/>
  <c r="C326" i="9" a="1"/>
  <c r="C326" i="9" s="1"/>
  <c r="C352" i="9" a="1"/>
  <c r="C352" i="9" s="1"/>
  <c r="C360" i="9" a="1"/>
  <c r="C360" i="9" s="1"/>
  <c r="C369" i="9" a="1"/>
  <c r="C369" i="9" s="1"/>
  <c r="C377" i="9" a="1"/>
  <c r="C377" i="9" s="1"/>
  <c r="C386" i="9" a="1"/>
  <c r="C386" i="9" s="1"/>
  <c r="C406" i="9" a="1"/>
  <c r="C406" i="9" s="1"/>
  <c r="C423" i="9" a="1"/>
  <c r="C423" i="9" s="1"/>
  <c r="C432" i="9" a="1"/>
  <c r="C432" i="9" s="1"/>
  <c r="C442" i="9" a="1"/>
  <c r="C442" i="9" s="1"/>
  <c r="C479" i="9" a="1"/>
  <c r="C479" i="9" s="1"/>
  <c r="C92" i="9" a="1"/>
  <c r="C92" i="9" s="1"/>
  <c r="C111" i="9" a="1"/>
  <c r="C111" i="9" s="1"/>
  <c r="C120" i="9" a="1"/>
  <c r="C120" i="9" s="1"/>
  <c r="C128" i="9" a="1"/>
  <c r="C128" i="9" s="1"/>
  <c r="C138" i="9" a="1"/>
  <c r="C138" i="9" s="1"/>
  <c r="C147" i="9" a="1"/>
  <c r="C147" i="9" s="1"/>
  <c r="C157" i="9" a="1"/>
  <c r="C157" i="9" s="1"/>
  <c r="C168" i="9" a="1"/>
  <c r="C168" i="9" s="1"/>
  <c r="C177" i="9" a="1"/>
  <c r="C177" i="9" s="1"/>
  <c r="C201" i="9" a="1"/>
  <c r="C201" i="9" s="1"/>
  <c r="C211" i="9" a="1"/>
  <c r="C211" i="9" s="1"/>
  <c r="C221" i="9" a="1"/>
  <c r="C221" i="9" s="1"/>
  <c r="C230" i="9" a="1"/>
  <c r="C230" i="9" s="1"/>
  <c r="C240" i="9" a="1"/>
  <c r="C240" i="9" s="1"/>
  <c r="C249" i="9" a="1"/>
  <c r="C249" i="9" s="1"/>
  <c r="C261" i="9" a="1"/>
  <c r="C261" i="9" s="1"/>
  <c r="C270" i="9" a="1"/>
  <c r="C270" i="9" s="1"/>
  <c r="C279" i="9" a="1"/>
  <c r="C279" i="9" s="1"/>
  <c r="C297" i="9" a="1"/>
  <c r="C297" i="9" s="1"/>
  <c r="C307" i="9" a="1"/>
  <c r="C307" i="9" s="1"/>
  <c r="C317" i="9" a="1"/>
  <c r="C317" i="9" s="1"/>
  <c r="C327" i="9" a="1"/>
  <c r="C327" i="9" s="1"/>
  <c r="C335" i="9" a="1"/>
  <c r="C335" i="9" s="1"/>
  <c r="C343" i="9" a="1"/>
  <c r="C343" i="9" s="1"/>
  <c r="C353" i="9" a="1"/>
  <c r="C353" i="9" s="1"/>
  <c r="C378" i="9" a="1"/>
  <c r="C378" i="9" s="1"/>
  <c r="C387" i="9" a="1"/>
  <c r="C387" i="9" s="1"/>
  <c r="C398" i="9" a="1"/>
  <c r="C398" i="9" s="1"/>
  <c r="C415" i="9" a="1"/>
  <c r="C415" i="9" s="1"/>
  <c r="C424" i="9" a="1"/>
  <c r="C424" i="9" s="1"/>
  <c r="C452" i="9" a="1"/>
  <c r="C452" i="9" s="1"/>
  <c r="C460" i="9" a="1"/>
  <c r="C460" i="9" s="1"/>
  <c r="C470" i="9" a="1"/>
  <c r="C470" i="9" s="1"/>
  <c r="C490" i="9" a="1"/>
  <c r="C490" i="9" s="1"/>
  <c r="C55" i="9" a="1"/>
  <c r="C55" i="9" s="1"/>
  <c r="C74" i="9" a="1"/>
  <c r="C74" i="9" s="1"/>
  <c r="C84" i="9" a="1"/>
  <c r="C84" i="9" s="1"/>
  <c r="C93" i="9" a="1"/>
  <c r="C93" i="9" s="1"/>
  <c r="C101" i="9" a="1"/>
  <c r="C101" i="9" s="1"/>
  <c r="C129" i="9" a="1"/>
  <c r="C129" i="9" s="1"/>
  <c r="C159" i="9" a="1"/>
  <c r="C159" i="9" s="1"/>
  <c r="C185" i="9" a="1"/>
  <c r="C185" i="9" s="1"/>
  <c r="C193" i="9" a="1"/>
  <c r="C193" i="9" s="1"/>
  <c r="C222" i="9" a="1"/>
  <c r="C222" i="9" s="1"/>
  <c r="C231" i="9" a="1"/>
  <c r="C231" i="9" s="1"/>
  <c r="C271" i="9" a="1"/>
  <c r="C271" i="9" s="1"/>
  <c r="C280" i="9" a="1"/>
  <c r="C280" i="9" s="1"/>
  <c r="C288" i="9" a="1"/>
  <c r="C288" i="9" s="1"/>
  <c r="C308" i="9" a="1"/>
  <c r="C308" i="9" s="1"/>
  <c r="C345" i="9" a="1"/>
  <c r="C345" i="9" s="1"/>
  <c r="C361" i="9" a="1"/>
  <c r="C361" i="9" s="1"/>
  <c r="C370" i="9" a="1"/>
  <c r="C370" i="9" s="1"/>
  <c r="C379" i="9" a="1"/>
  <c r="C379" i="9" s="1"/>
  <c r="C399" i="9" a="1"/>
  <c r="C399" i="9" s="1"/>
  <c r="C407" i="9" a="1"/>
  <c r="C407" i="9" s="1"/>
  <c r="C425" i="9" a="1"/>
  <c r="C425" i="9" s="1"/>
  <c r="C434" i="9" a="1"/>
  <c r="C434" i="9" s="1"/>
  <c r="C443" i="9" a="1"/>
  <c r="C443" i="9" s="1"/>
  <c r="C453" i="9" a="1"/>
  <c r="C453" i="9" s="1"/>
  <c r="C471" i="9" a="1"/>
  <c r="C471" i="9" s="1"/>
  <c r="C481" i="9" a="1"/>
  <c r="C481" i="9" s="1"/>
  <c r="C67" i="9" a="1"/>
  <c r="C67" i="9" s="1"/>
  <c r="C75" i="9" a="1"/>
  <c r="C75" i="9" s="1"/>
  <c r="C113" i="9" a="1"/>
  <c r="C113" i="9" s="1"/>
  <c r="C121" i="9" a="1"/>
  <c r="C121" i="9" s="1"/>
  <c r="C139" i="9" a="1"/>
  <c r="C139" i="9" s="1"/>
  <c r="C148" i="9" a="1"/>
  <c r="C148" i="9" s="1"/>
  <c r="C160" i="9" a="1"/>
  <c r="C160" i="9" s="1"/>
  <c r="C169" i="9" a="1"/>
  <c r="C169" i="9" s="1"/>
  <c r="C178" i="9" a="1"/>
  <c r="C178" i="9" s="1"/>
  <c r="C203" i="9" a="1"/>
  <c r="C203" i="9" s="1"/>
  <c r="C212" i="9" a="1"/>
  <c r="C212" i="9" s="1"/>
  <c r="C241" i="9" a="1"/>
  <c r="C241" i="9" s="1"/>
  <c r="C252" i="9" a="1"/>
  <c r="C252" i="9" s="1"/>
  <c r="C262" i="9" a="1"/>
  <c r="C262" i="9" s="1"/>
  <c r="C272" i="9" a="1"/>
  <c r="C272" i="9" s="1"/>
  <c r="C281" i="9" a="1"/>
  <c r="C281" i="9" s="1"/>
  <c r="C289" i="9" a="1"/>
  <c r="C289" i="9" s="1"/>
  <c r="C299" i="9" a="1"/>
  <c r="C299" i="9" s="1"/>
  <c r="C309" i="9" a="1"/>
  <c r="C309" i="9" s="1"/>
  <c r="C318" i="9" a="1"/>
  <c r="C318" i="9" s="1"/>
  <c r="C328" i="9" a="1"/>
  <c r="C328" i="9" s="1"/>
  <c r="C336" i="9" a="1"/>
  <c r="C336" i="9" s="1"/>
  <c r="C354" i="9" a="1"/>
  <c r="C354" i="9" s="1"/>
  <c r="C389" i="9" a="1"/>
  <c r="C389" i="9" s="1"/>
  <c r="C416" i="9" a="1"/>
  <c r="C416" i="9" s="1"/>
  <c r="C435" i="9" a="1"/>
  <c r="C435" i="9" s="1"/>
  <c r="C461" i="9" a="1"/>
  <c r="C461" i="9" s="1"/>
  <c r="C472" i="9" a="1"/>
  <c r="C472" i="9" s="1"/>
  <c r="C491" i="9" a="1"/>
  <c r="C491" i="9" s="1"/>
  <c r="C68" i="9" a="1"/>
  <c r="C68" i="9" s="1"/>
  <c r="C105" i="9" a="1"/>
  <c r="C105" i="9" s="1"/>
  <c r="C114" i="9" a="1"/>
  <c r="C114" i="9" s="1"/>
  <c r="C122" i="9" a="1"/>
  <c r="C122" i="9" s="1"/>
  <c r="C140" i="9" a="1"/>
  <c r="C140" i="9" s="1"/>
  <c r="C151" i="9" a="1"/>
  <c r="C151" i="9" s="1"/>
  <c r="C161" i="9" a="1"/>
  <c r="C161" i="9" s="1"/>
  <c r="C170" i="9" a="1"/>
  <c r="C170" i="9" s="1"/>
  <c r="C179" i="9" a="1"/>
  <c r="C179" i="9" s="1"/>
  <c r="C263" i="9" a="1"/>
  <c r="C263" i="9" s="1"/>
  <c r="C282" i="9" a="1"/>
  <c r="C282" i="9" s="1"/>
  <c r="C300" i="9" a="1"/>
  <c r="C300" i="9" s="1"/>
  <c r="C311" i="9" a="1"/>
  <c r="C311" i="9" s="1"/>
  <c r="C320" i="9" a="1"/>
  <c r="C320" i="9" s="1"/>
  <c r="C329" i="9" a="1"/>
  <c r="C329" i="9" s="1"/>
  <c r="C338" i="9" a="1"/>
  <c r="C338" i="9" s="1"/>
  <c r="C355" i="9" a="1"/>
  <c r="C355" i="9" s="1"/>
  <c r="C363" i="9" a="1"/>
  <c r="C363" i="9" s="1"/>
  <c r="C391" i="9" a="1"/>
  <c r="C391" i="9" s="1"/>
  <c r="C436" i="9" a="1"/>
  <c r="C436" i="9" s="1"/>
  <c r="C463" i="9" a="1"/>
  <c r="C463" i="9" s="1"/>
  <c r="C474" i="9" a="1"/>
  <c r="C474" i="9" s="1"/>
  <c r="C483" i="9" a="1"/>
  <c r="C483" i="9" s="1"/>
  <c r="C492" i="9" a="1"/>
  <c r="C492" i="9" s="1"/>
  <c r="C60" i="9" a="1"/>
  <c r="C60" i="9" s="1"/>
  <c r="C70" i="9" a="1"/>
  <c r="C70" i="9" s="1"/>
  <c r="C79" i="9" a="1"/>
  <c r="C79" i="9" s="1"/>
  <c r="C97" i="9" a="1"/>
  <c r="C97" i="9" s="1"/>
  <c r="C107" i="9" a="1"/>
  <c r="C107" i="9" s="1"/>
  <c r="C116" i="9" a="1"/>
  <c r="C116" i="9" s="1"/>
  <c r="C134" i="9" a="1"/>
  <c r="C134" i="9" s="1"/>
  <c r="C143" i="9" a="1"/>
  <c r="C143" i="9" s="1"/>
  <c r="C154" i="9" a="1"/>
  <c r="C154" i="9" s="1"/>
  <c r="C172" i="9" a="1"/>
  <c r="C172" i="9" s="1"/>
  <c r="C190" i="9" a="1"/>
  <c r="C190" i="9" s="1"/>
  <c r="C198" i="9" a="1"/>
  <c r="C198" i="9" s="1"/>
  <c r="C206" i="9" a="1"/>
  <c r="C206" i="9" s="1"/>
  <c r="C215" i="9" a="1"/>
  <c r="C215" i="9" s="1"/>
  <c r="C236" i="9" a="1"/>
  <c r="C236" i="9" s="1"/>
  <c r="C245" i="9" a="1"/>
  <c r="C245" i="9" s="1"/>
  <c r="C276" i="9" a="1"/>
  <c r="C276" i="9" s="1"/>
  <c r="C285" i="9" a="1"/>
  <c r="C285" i="9" s="1"/>
  <c r="C294" i="9" a="1"/>
  <c r="C294" i="9" s="1"/>
  <c r="C302" i="9" a="1"/>
  <c r="C302" i="9" s="1"/>
  <c r="C323" i="9" a="1"/>
  <c r="C323" i="9" s="1"/>
  <c r="C332" i="9" a="1"/>
  <c r="C332" i="9" s="1"/>
  <c r="C348" i="9" a="1"/>
  <c r="C348" i="9" s="1"/>
  <c r="C357" i="9" a="1"/>
  <c r="C357" i="9" s="1"/>
  <c r="C375" i="9" a="1"/>
  <c r="C375" i="9" s="1"/>
  <c r="C384" i="9" a="1"/>
  <c r="C384" i="9" s="1"/>
  <c r="C402" i="9" a="1"/>
  <c r="C402" i="9" s="1"/>
  <c r="C412" i="9" a="1"/>
  <c r="C412" i="9" s="1"/>
  <c r="C420" i="9" a="1"/>
  <c r="C420" i="9" s="1"/>
  <c r="C430" i="9" a="1"/>
  <c r="C430" i="9" s="1"/>
  <c r="C446" i="9" a="1"/>
  <c r="C446" i="9" s="1"/>
  <c r="C457" i="9" a="1"/>
  <c r="C457" i="9" s="1"/>
  <c r="C476" i="9" a="1"/>
  <c r="C476" i="9" s="1"/>
  <c r="C486" i="9" a="1"/>
  <c r="C486" i="9" s="1"/>
  <c r="C85" i="9" a="1"/>
  <c r="C85" i="9" s="1"/>
  <c r="C104" i="9" a="1"/>
  <c r="C104" i="9" s="1"/>
  <c r="C196" i="9" a="1"/>
  <c r="C196" i="9" s="1"/>
  <c r="C213" i="9" a="1"/>
  <c r="C213" i="9" s="1"/>
  <c r="C232" i="9" a="1"/>
  <c r="C232" i="9" s="1"/>
  <c r="C253" i="9" a="1"/>
  <c r="C253" i="9" s="1"/>
  <c r="C273" i="9" a="1"/>
  <c r="C273" i="9" s="1"/>
  <c r="C291" i="9" a="1"/>
  <c r="C291" i="9" s="1"/>
  <c r="C310" i="9" a="1"/>
  <c r="C310" i="9" s="1"/>
  <c r="C346" i="9" a="1"/>
  <c r="C346" i="9" s="1"/>
  <c r="C362" i="9" a="1"/>
  <c r="C362" i="9" s="1"/>
  <c r="C382" i="9" a="1"/>
  <c r="C382" i="9" s="1"/>
  <c r="C400" i="9" a="1"/>
  <c r="C400" i="9" s="1"/>
  <c r="C417" i="9" a="1"/>
  <c r="C417" i="9" s="1"/>
  <c r="C454" i="9" a="1"/>
  <c r="C454" i="9" s="1"/>
  <c r="C91" i="9" a="1"/>
  <c r="C91" i="9" s="1"/>
  <c r="C76" i="9" a="1"/>
  <c r="C76" i="9" s="1"/>
  <c r="C319" i="9" a="1"/>
  <c r="C319" i="9" s="1"/>
  <c r="C444" i="9" a="1"/>
  <c r="C444" i="9" s="1"/>
  <c r="C131" i="9" a="1"/>
  <c r="C131" i="9" s="1"/>
  <c r="C152" i="9" a="1"/>
  <c r="C152" i="9" s="1"/>
  <c r="C189" i="9" a="1"/>
  <c r="C189" i="9" s="1"/>
  <c r="C321" i="9" a="1"/>
  <c r="C321" i="9" s="1"/>
  <c r="C428" i="9" a="1"/>
  <c r="C428" i="9" s="1"/>
  <c r="C51" i="9" a="1"/>
  <c r="C51" i="9" s="1"/>
  <c r="E51" i="9" s="1"/>
  <c r="C69" i="9" a="1"/>
  <c r="C69" i="9" s="1"/>
  <c r="C86" i="9" a="1"/>
  <c r="C86" i="9" s="1"/>
  <c r="C106" i="9" a="1"/>
  <c r="C106" i="9" s="1"/>
  <c r="C123" i="9" a="1"/>
  <c r="C123" i="9" s="1"/>
  <c r="C142" i="9" a="1"/>
  <c r="C142" i="9" s="1"/>
  <c r="C162" i="9" a="1"/>
  <c r="C162" i="9" s="1"/>
  <c r="C197" i="9" a="1"/>
  <c r="C197" i="9" s="1"/>
  <c r="C214" i="9" a="1"/>
  <c r="C214" i="9" s="1"/>
  <c r="C235" i="9" a="1"/>
  <c r="C235" i="9" s="1"/>
  <c r="C254" i="9" a="1"/>
  <c r="C254" i="9" s="1"/>
  <c r="C274" i="9" a="1"/>
  <c r="C274" i="9" s="1"/>
  <c r="C292" i="9" a="1"/>
  <c r="C292" i="9" s="1"/>
  <c r="C347" i="9" a="1"/>
  <c r="C347" i="9" s="1"/>
  <c r="C383" i="9" a="1"/>
  <c r="C383" i="9" s="1"/>
  <c r="C401" i="9" a="1"/>
  <c r="C401" i="9" s="1"/>
  <c r="C419" i="9" a="1"/>
  <c r="C419" i="9" s="1"/>
  <c r="C437" i="9" a="1"/>
  <c r="C437" i="9" s="1"/>
  <c r="C455" i="9" a="1"/>
  <c r="C455" i="9" s="1"/>
  <c r="C493" i="9" a="1"/>
  <c r="C493" i="9" s="1"/>
  <c r="C127" i="9" a="1"/>
  <c r="C127" i="9" s="1"/>
  <c r="C145" i="9" a="1"/>
  <c r="C145" i="9" s="1"/>
  <c r="C238" i="9" a="1"/>
  <c r="C238" i="9" s="1"/>
  <c r="C316" i="9" a="1"/>
  <c r="C316" i="9" s="1"/>
  <c r="C368" i="9" a="1"/>
  <c r="C368" i="9" s="1"/>
  <c r="C440" i="9" a="1"/>
  <c r="C440" i="9" s="1"/>
  <c r="C478" i="9" a="1"/>
  <c r="C478" i="9" s="1"/>
  <c r="C204" i="9" a="1"/>
  <c r="C204" i="9" s="1"/>
  <c r="C371" i="9" a="1"/>
  <c r="C371" i="9" s="1"/>
  <c r="C462" i="9" a="1"/>
  <c r="C462" i="9" s="1"/>
  <c r="C77" i="9" a="1"/>
  <c r="C77" i="9" s="1"/>
  <c r="C224" i="9" a="1"/>
  <c r="C224" i="9" s="1"/>
  <c r="C339" i="9" a="1"/>
  <c r="C339" i="9" s="1"/>
  <c r="C87" i="9" a="1"/>
  <c r="C87" i="9" s="1"/>
  <c r="C124" i="9" a="1"/>
  <c r="C124" i="9" s="1"/>
  <c r="C163" i="9" a="1"/>
  <c r="C163" i="9" s="1"/>
  <c r="C180" i="9" a="1"/>
  <c r="C180" i="9" s="1"/>
  <c r="C255" i="9" a="1"/>
  <c r="C255" i="9" s="1"/>
  <c r="C293" i="9" a="1"/>
  <c r="C293" i="9" s="1"/>
  <c r="C312" i="9" a="1"/>
  <c r="C312" i="9" s="1"/>
  <c r="C331" i="9" a="1"/>
  <c r="C331" i="9" s="1"/>
  <c r="C364" i="9" a="1"/>
  <c r="C364" i="9" s="1"/>
  <c r="C438" i="9" a="1"/>
  <c r="C438" i="9" s="1"/>
  <c r="C475" i="9" a="1"/>
  <c r="C475" i="9" s="1"/>
  <c r="C494" i="9" a="1"/>
  <c r="C494" i="9" s="1"/>
  <c r="C58" i="9" a="1"/>
  <c r="C58" i="9" s="1"/>
  <c r="C130" i="9" a="1"/>
  <c r="C130" i="9" s="1"/>
  <c r="C186" i="9" a="1"/>
  <c r="C186" i="9" s="1"/>
  <c r="C223" i="9" a="1"/>
  <c r="C223" i="9" s="1"/>
  <c r="C390" i="9" a="1"/>
  <c r="C390" i="9" s="1"/>
  <c r="C482" i="9" a="1"/>
  <c r="C482" i="9" s="1"/>
  <c r="C59" i="9" a="1"/>
  <c r="C59" i="9" s="1"/>
  <c r="C171" i="9" a="1"/>
  <c r="C171" i="9" s="1"/>
  <c r="C264" i="9" a="1"/>
  <c r="C264" i="9" s="1"/>
  <c r="C392" i="9" a="1"/>
  <c r="C392" i="9" s="1"/>
  <c r="C89" i="9" a="1"/>
  <c r="C89" i="9" s="1"/>
  <c r="C108" i="9" a="1"/>
  <c r="C108" i="9" s="1"/>
  <c r="C125" i="9" a="1"/>
  <c r="C125" i="9" s="1"/>
  <c r="C164" i="9" a="1"/>
  <c r="C164" i="9" s="1"/>
  <c r="C182" i="9" a="1"/>
  <c r="C182" i="9" s="1"/>
  <c r="C237" i="9" a="1"/>
  <c r="C237" i="9" s="1"/>
  <c r="C256" i="9" a="1"/>
  <c r="C256" i="9" s="1"/>
  <c r="C313" i="9" a="1"/>
  <c r="C313" i="9" s="1"/>
  <c r="C333" i="9" a="1"/>
  <c r="C333" i="9" s="1"/>
  <c r="C367" i="9" a="1"/>
  <c r="C367" i="9" s="1"/>
  <c r="C439" i="9" a="1"/>
  <c r="C439" i="9" s="1"/>
  <c r="C477" i="9" a="1"/>
  <c r="C477" i="9" s="1"/>
  <c r="C94" i="9" a="1"/>
  <c r="C94" i="9" s="1"/>
  <c r="C243" i="9" a="1"/>
  <c r="C243" i="9" s="1"/>
  <c r="C427" i="9" a="1"/>
  <c r="C427" i="9" s="1"/>
  <c r="C96" i="9" a="1"/>
  <c r="C96" i="9" s="1"/>
  <c r="C205" i="9" a="1"/>
  <c r="C205" i="9" s="1"/>
  <c r="C409" i="9" a="1"/>
  <c r="C409" i="9" s="1"/>
  <c r="C445" i="9" a="1"/>
  <c r="C445" i="9" s="1"/>
  <c r="C71" i="9" a="1"/>
  <c r="C71" i="9" s="1"/>
  <c r="C90" i="9" a="1"/>
  <c r="C90" i="9" s="1"/>
  <c r="C109" i="9" a="1"/>
  <c r="C109" i="9" s="1"/>
  <c r="C144" i="9" a="1"/>
  <c r="C144" i="9" s="1"/>
  <c r="C165" i="9" a="1"/>
  <c r="C165" i="9" s="1"/>
  <c r="C183" i="9" a="1"/>
  <c r="C183" i="9" s="1"/>
  <c r="C199" i="9" a="1"/>
  <c r="C199" i="9" s="1"/>
  <c r="C218" i="9" a="1"/>
  <c r="C218" i="9" s="1"/>
  <c r="C257" i="9" a="1"/>
  <c r="C257" i="9" s="1"/>
  <c r="C277" i="9" a="1"/>
  <c r="C277" i="9" s="1"/>
  <c r="C295" i="9" a="1"/>
  <c r="C295" i="9" s="1"/>
  <c r="C315" i="9" a="1"/>
  <c r="C315" i="9" s="1"/>
  <c r="C349" i="9" a="1"/>
  <c r="C349" i="9" s="1"/>
  <c r="C385" i="9" a="1"/>
  <c r="C385" i="9" s="1"/>
  <c r="C405" i="9" a="1"/>
  <c r="C405" i="9" s="1"/>
  <c r="C421" i="9" a="1"/>
  <c r="C421" i="9" s="1"/>
  <c r="C458" i="9" a="1"/>
  <c r="C458" i="9" s="1"/>
  <c r="C219" i="9" a="1"/>
  <c r="C219" i="9" s="1"/>
  <c r="C258" i="9" a="1"/>
  <c r="C258" i="9" s="1"/>
  <c r="C334" i="9" a="1"/>
  <c r="C334" i="9" s="1"/>
  <c r="C422" i="9" a="1"/>
  <c r="C422" i="9" s="1"/>
  <c r="C459" i="9" a="1"/>
  <c r="C459" i="9" s="1"/>
  <c r="C408" i="9" a="1"/>
  <c r="C408" i="9" s="1"/>
  <c r="C244" i="9" a="1"/>
  <c r="C244" i="9" s="1"/>
  <c r="C373" i="9" a="1"/>
  <c r="C373" i="9" s="1"/>
  <c r="C484" i="9" a="1"/>
  <c r="C484" i="9" s="1"/>
  <c r="C78" i="9" a="1"/>
  <c r="C78" i="9" s="1"/>
  <c r="C115" i="9" a="1"/>
  <c r="C115" i="9" s="1"/>
  <c r="C132" i="9" a="1"/>
  <c r="C132" i="9" s="1"/>
  <c r="C153" i="9" a="1"/>
  <c r="C153" i="9" s="1"/>
  <c r="C225" i="9" a="1"/>
  <c r="C225" i="9" s="1"/>
  <c r="C265" i="9" a="1"/>
  <c r="C265" i="9" s="1"/>
  <c r="C284" i="9" a="1"/>
  <c r="C284" i="9" s="1"/>
  <c r="C301" i="9" a="1"/>
  <c r="C301" i="9" s="1"/>
  <c r="C340" i="9" a="1"/>
  <c r="C340" i="9" s="1"/>
  <c r="C356" i="9" a="1"/>
  <c r="C356" i="9" s="1"/>
  <c r="C374" i="9" a="1"/>
  <c r="C374" i="9" s="1"/>
  <c r="C393" i="9" a="1"/>
  <c r="C393" i="9" s="1"/>
  <c r="C429" i="9" a="1"/>
  <c r="C429" i="9" s="1"/>
  <c r="C467" i="9" a="1"/>
  <c r="C467" i="9" s="1"/>
  <c r="C485" i="9" a="1"/>
  <c r="C485" i="9" s="1"/>
  <c r="C80" i="9" a="1"/>
  <c r="C80" i="9" s="1"/>
  <c r="C117" i="9" a="1"/>
  <c r="C117" i="9" s="1"/>
  <c r="C135" i="9" a="1"/>
  <c r="C135" i="9" s="1"/>
  <c r="C155" i="9" a="1"/>
  <c r="C155" i="9" s="1"/>
  <c r="C207" i="9" a="1"/>
  <c r="C207" i="9" s="1"/>
  <c r="C228" i="9" a="1"/>
  <c r="C228" i="9" s="1"/>
  <c r="C266" i="9" a="1"/>
  <c r="C266" i="9" s="1"/>
  <c r="C303" i="9" a="1"/>
  <c r="C303" i="9" s="1"/>
  <c r="C324" i="9" a="1"/>
  <c r="C324" i="9" s="1"/>
  <c r="C341" i="9" a="1"/>
  <c r="C341" i="9" s="1"/>
  <c r="C394" i="9" a="1"/>
  <c r="C394" i="9" s="1"/>
  <c r="C413" i="9" a="1"/>
  <c r="C413" i="9" s="1"/>
  <c r="C447" i="9" a="1"/>
  <c r="C447" i="9" s="1"/>
  <c r="C468" i="9" a="1"/>
  <c r="C468" i="9" s="1"/>
  <c r="C376" i="9" a="1"/>
  <c r="C376" i="9" s="1"/>
  <c r="C469" i="9" a="1"/>
  <c r="C469" i="9" s="1"/>
  <c r="C431" i="9" a="1"/>
  <c r="C431" i="9" s="1"/>
  <c r="C136" i="9" a="1"/>
  <c r="C136" i="9" s="1"/>
  <c r="C137" i="9" a="1"/>
  <c r="C137" i="9" s="1"/>
  <c r="C156" i="9" a="1"/>
  <c r="C156" i="9" s="1"/>
  <c r="C269" i="9" a="1"/>
  <c r="C269" i="9" s="1"/>
  <c r="C487" i="9" a="1"/>
  <c r="C487" i="9" s="1"/>
  <c r="C208" i="9" a="1"/>
  <c r="C208" i="9" s="1"/>
  <c r="C450" i="9" a="1"/>
  <c r="C450" i="9" s="1"/>
  <c r="C61" i="9" a="1"/>
  <c r="C61" i="9" s="1"/>
  <c r="C174" i="9" a="1"/>
  <c r="C174" i="9" s="1"/>
  <c r="C286" i="9" a="1"/>
  <c r="C286" i="9" s="1"/>
  <c r="C395" i="9" a="1"/>
  <c r="C395" i="9" s="1"/>
  <c r="C451" i="9" a="1"/>
  <c r="C451" i="9" s="1"/>
  <c r="C359" i="9" a="1"/>
  <c r="C359" i="9" s="1"/>
  <c r="C175" i="9" a="1"/>
  <c r="C175" i="9" s="1"/>
  <c r="C396" i="9" a="1"/>
  <c r="C396" i="9" s="1"/>
  <c r="C325" i="9" a="1"/>
  <c r="C325" i="9" s="1"/>
  <c r="C118" i="9" a="1"/>
  <c r="C118" i="9" s="1"/>
  <c r="C82" i="9" a="1"/>
  <c r="C82" i="9" s="1"/>
  <c r="C191" i="9" a="1"/>
  <c r="C191" i="9" s="1"/>
  <c r="C99" i="9" a="1"/>
  <c r="C99" i="9" s="1"/>
  <c r="C229" i="9" a="1"/>
  <c r="C229" i="9" s="1"/>
  <c r="C246" i="9" a="1"/>
  <c r="C246" i="9" s="1"/>
  <c r="C247" i="9" a="1"/>
  <c r="C247" i="9" s="1"/>
  <c r="C304" i="9" a="1"/>
  <c r="C304" i="9" s="1"/>
  <c r="C414" i="9" a="1"/>
  <c r="C414" i="9" s="1"/>
  <c r="C98" i="9" a="1"/>
  <c r="C98" i="9" s="1"/>
  <c r="C209" i="9" a="1"/>
  <c r="C209" i="9" s="1"/>
  <c r="C342" i="9" a="1"/>
  <c r="C342" i="9" s="1"/>
  <c r="C466" i="9" a="1"/>
  <c r="C466" i="9" s="1"/>
  <c r="C13" i="9" a="1"/>
  <c r="C13" i="9" s="1"/>
  <c r="M82" i="9" l="1"/>
  <c r="K82" i="9"/>
  <c r="L82" i="9"/>
  <c r="K257" i="9"/>
  <c r="L257" i="9"/>
  <c r="M257" i="9"/>
  <c r="K316" i="9"/>
  <c r="L316" i="9"/>
  <c r="M316" i="9"/>
  <c r="K281" i="9"/>
  <c r="L281" i="9"/>
  <c r="M281" i="9"/>
  <c r="K168" i="9"/>
  <c r="L168" i="9"/>
  <c r="M168" i="9"/>
  <c r="K268" i="9"/>
  <c r="L268" i="9"/>
  <c r="M268" i="9"/>
  <c r="L394" i="9"/>
  <c r="M394" i="9"/>
  <c r="K394" i="9"/>
  <c r="K125" i="9"/>
  <c r="L125" i="9"/>
  <c r="M125" i="9"/>
  <c r="L486" i="9"/>
  <c r="M486" i="9"/>
  <c r="K486" i="9"/>
  <c r="K272" i="9"/>
  <c r="L272" i="9"/>
  <c r="M272" i="9"/>
  <c r="L406" i="9"/>
  <c r="M406" i="9"/>
  <c r="K406" i="9"/>
  <c r="K166" i="9"/>
  <c r="L166" i="9"/>
  <c r="M166" i="9"/>
  <c r="K115" i="9"/>
  <c r="L115" i="9"/>
  <c r="M115" i="9"/>
  <c r="K87" i="9"/>
  <c r="L87" i="9"/>
  <c r="M87" i="9"/>
  <c r="M323" i="9"/>
  <c r="K323" i="9"/>
  <c r="L323" i="9"/>
  <c r="K262" i="9"/>
  <c r="L262" i="9"/>
  <c r="M262" i="9"/>
  <c r="K279" i="9"/>
  <c r="M279" i="9"/>
  <c r="L279" i="9"/>
  <c r="M239" i="9"/>
  <c r="K239" i="9"/>
  <c r="L239" i="9"/>
  <c r="L350" i="9"/>
  <c r="K350" i="9"/>
  <c r="M350" i="9"/>
  <c r="K209" i="9"/>
  <c r="L209" i="9"/>
  <c r="M209" i="9"/>
  <c r="K156" i="9"/>
  <c r="L156" i="9"/>
  <c r="M156" i="9"/>
  <c r="K429" i="9"/>
  <c r="L429" i="9"/>
  <c r="M429" i="9"/>
  <c r="M94" i="9"/>
  <c r="K94" i="9"/>
  <c r="L94" i="9"/>
  <c r="L494" i="9"/>
  <c r="M494" i="9"/>
  <c r="K494" i="9"/>
  <c r="K127" i="9"/>
  <c r="L127" i="9"/>
  <c r="M127" i="9"/>
  <c r="K152" i="9"/>
  <c r="L152" i="9"/>
  <c r="M152" i="9"/>
  <c r="L457" i="9"/>
  <c r="M457" i="9"/>
  <c r="K457" i="9"/>
  <c r="M143" i="9"/>
  <c r="L143" i="9"/>
  <c r="K143" i="9"/>
  <c r="K416" i="9"/>
  <c r="L416" i="9"/>
  <c r="M416" i="9"/>
  <c r="K67" i="9"/>
  <c r="L67" i="9"/>
  <c r="M67" i="9"/>
  <c r="K101" i="9"/>
  <c r="L101" i="9"/>
  <c r="M101" i="9"/>
  <c r="L270" i="9"/>
  <c r="M270" i="9"/>
  <c r="K270" i="9"/>
  <c r="K377" i="9"/>
  <c r="L377" i="9"/>
  <c r="M377" i="9"/>
  <c r="K220" i="9"/>
  <c r="L220" i="9"/>
  <c r="M220" i="9"/>
  <c r="K351" i="9"/>
  <c r="L351" i="9"/>
  <c r="M351" i="9"/>
  <c r="M119" i="9"/>
  <c r="K119" i="9"/>
  <c r="L119" i="9"/>
  <c r="K322" i="9"/>
  <c r="L322" i="9"/>
  <c r="M322" i="9"/>
  <c r="M98" i="9"/>
  <c r="K98" i="9"/>
  <c r="L98" i="9"/>
  <c r="K137" i="9"/>
  <c r="L137" i="9"/>
  <c r="M137" i="9"/>
  <c r="K393" i="9"/>
  <c r="L393" i="9"/>
  <c r="M393" i="9"/>
  <c r="L458" i="9"/>
  <c r="M458" i="9"/>
  <c r="K458" i="9"/>
  <c r="K477" i="9"/>
  <c r="L477" i="9"/>
  <c r="M477" i="9"/>
  <c r="K475" i="9"/>
  <c r="M475" i="9"/>
  <c r="L475" i="9"/>
  <c r="K224" i="9"/>
  <c r="L224" i="9"/>
  <c r="M224" i="9"/>
  <c r="K493" i="9"/>
  <c r="L493" i="9"/>
  <c r="M493" i="9"/>
  <c r="K197" i="9"/>
  <c r="L197" i="9"/>
  <c r="M197" i="9"/>
  <c r="M131" i="9"/>
  <c r="K131" i="9"/>
  <c r="L131" i="9"/>
  <c r="K291" i="9"/>
  <c r="M291" i="9"/>
  <c r="L291" i="9"/>
  <c r="L446" i="9"/>
  <c r="M446" i="9"/>
  <c r="K446" i="9"/>
  <c r="L294" i="9"/>
  <c r="M294" i="9"/>
  <c r="K294" i="9"/>
  <c r="K134" i="9"/>
  <c r="L134" i="9"/>
  <c r="M134" i="9"/>
  <c r="K391" i="9"/>
  <c r="M391" i="9"/>
  <c r="L391" i="9"/>
  <c r="K161" i="9"/>
  <c r="L161" i="9"/>
  <c r="M161" i="9"/>
  <c r="L389" i="9"/>
  <c r="M389" i="9"/>
  <c r="K389" i="9"/>
  <c r="K241" i="9"/>
  <c r="L241" i="9"/>
  <c r="M241" i="9"/>
  <c r="K345" i="9"/>
  <c r="M345" i="9"/>
  <c r="L345" i="9"/>
  <c r="K93" i="9"/>
  <c r="L93" i="9"/>
  <c r="M93" i="9"/>
  <c r="L398" i="9"/>
  <c r="M398" i="9"/>
  <c r="K398" i="9"/>
  <c r="K261" i="9"/>
  <c r="L261" i="9"/>
  <c r="M261" i="9"/>
  <c r="K128" i="9"/>
  <c r="L128" i="9"/>
  <c r="M128" i="9"/>
  <c r="K369" i="9"/>
  <c r="L369" i="9"/>
  <c r="M369" i="9"/>
  <c r="K200" i="9"/>
  <c r="L200" i="9"/>
  <c r="M200" i="9"/>
  <c r="K344" i="9"/>
  <c r="L344" i="9"/>
  <c r="M344" i="9"/>
  <c r="L234" i="9"/>
  <c r="M234" i="9"/>
  <c r="K234" i="9"/>
  <c r="K112" i="9"/>
  <c r="L112" i="9"/>
  <c r="M112" i="9"/>
  <c r="K441" i="9"/>
  <c r="L441" i="9"/>
  <c r="M441" i="9"/>
  <c r="M275" i="9"/>
  <c r="K275" i="9"/>
  <c r="L275" i="9"/>
  <c r="K133" i="9"/>
  <c r="L133" i="9"/>
  <c r="M133" i="9"/>
  <c r="L186" i="9"/>
  <c r="M186" i="9"/>
  <c r="K186" i="9"/>
  <c r="K348" i="9"/>
  <c r="L348" i="9"/>
  <c r="M348" i="9"/>
  <c r="K121" i="9"/>
  <c r="L121" i="9"/>
  <c r="M121" i="9"/>
  <c r="K423" i="9"/>
  <c r="M423" i="9"/>
  <c r="L423" i="9"/>
  <c r="M480" i="9"/>
  <c r="K480" i="9"/>
  <c r="L480" i="9"/>
  <c r="M118" i="9"/>
  <c r="K118" i="9"/>
  <c r="L118" i="9"/>
  <c r="L218" i="9"/>
  <c r="K218" i="9"/>
  <c r="M218" i="9"/>
  <c r="L254" i="9"/>
  <c r="K254" i="9"/>
  <c r="M254" i="9"/>
  <c r="L474" i="9"/>
  <c r="M474" i="9"/>
  <c r="K474" i="9"/>
  <c r="K452" i="9"/>
  <c r="L452" i="9"/>
  <c r="M452" i="9"/>
  <c r="K381" i="9"/>
  <c r="L381" i="9"/>
  <c r="M381" i="9"/>
  <c r="L342" i="9"/>
  <c r="M342" i="9"/>
  <c r="K342" i="9"/>
  <c r="M219" i="9"/>
  <c r="K219" i="9"/>
  <c r="L219" i="9"/>
  <c r="K145" i="9"/>
  <c r="L145" i="9"/>
  <c r="M145" i="9"/>
  <c r="M154" i="9"/>
  <c r="L154" i="9"/>
  <c r="K154" i="9"/>
  <c r="L370" i="9"/>
  <c r="M370" i="9"/>
  <c r="K370" i="9"/>
  <c r="L386" i="9"/>
  <c r="M386" i="9"/>
  <c r="K386" i="9"/>
  <c r="K64" i="9"/>
  <c r="L64" i="9"/>
  <c r="M64" i="9"/>
  <c r="K149" i="9"/>
  <c r="M149" i="9"/>
  <c r="L149" i="9"/>
  <c r="K396" i="9"/>
  <c r="L396" i="9"/>
  <c r="M396" i="9"/>
  <c r="K324" i="9"/>
  <c r="L324" i="9"/>
  <c r="M324" i="9"/>
  <c r="M78" i="9"/>
  <c r="K78" i="9"/>
  <c r="L78" i="9"/>
  <c r="K183" i="9"/>
  <c r="M183" i="9"/>
  <c r="L183" i="9"/>
  <c r="K89" i="9"/>
  <c r="L89" i="9"/>
  <c r="M89" i="9"/>
  <c r="K339" i="9"/>
  <c r="L339" i="9"/>
  <c r="M339" i="9"/>
  <c r="K214" i="9"/>
  <c r="L214" i="9"/>
  <c r="M214" i="9"/>
  <c r="M310" i="9"/>
  <c r="L310" i="9"/>
  <c r="K310" i="9"/>
  <c r="L302" i="9"/>
  <c r="M302" i="9"/>
  <c r="K302" i="9"/>
  <c r="K436" i="9"/>
  <c r="M436" i="9"/>
  <c r="L436" i="9"/>
  <c r="K170" i="9"/>
  <c r="L170" i="9"/>
  <c r="M170" i="9"/>
  <c r="K252" i="9"/>
  <c r="L252" i="9"/>
  <c r="M252" i="9"/>
  <c r="L361" i="9"/>
  <c r="M361" i="9"/>
  <c r="K361" i="9"/>
  <c r="K415" i="9"/>
  <c r="M415" i="9"/>
  <c r="L415" i="9"/>
  <c r="L138" i="9"/>
  <c r="M138" i="9"/>
  <c r="K138" i="9"/>
  <c r="M54" i="9"/>
  <c r="K54" i="9"/>
  <c r="L54" i="9"/>
  <c r="L242" i="9"/>
  <c r="K242" i="9"/>
  <c r="M242" i="9"/>
  <c r="K448" i="9"/>
  <c r="L448" i="9"/>
  <c r="M448" i="9"/>
  <c r="K141" i="9"/>
  <c r="M141" i="9"/>
  <c r="L141" i="9"/>
  <c r="K175" i="9"/>
  <c r="L175" i="9"/>
  <c r="M175" i="9"/>
  <c r="K303" i="9"/>
  <c r="L303" i="9"/>
  <c r="M303" i="9"/>
  <c r="K484" i="9"/>
  <c r="L484" i="9"/>
  <c r="M484" i="9"/>
  <c r="K165" i="9"/>
  <c r="M165" i="9"/>
  <c r="L165" i="9"/>
  <c r="L414" i="9"/>
  <c r="M414" i="9"/>
  <c r="K414" i="9"/>
  <c r="K359" i="9"/>
  <c r="M359" i="9"/>
  <c r="L359" i="9"/>
  <c r="K136" i="9"/>
  <c r="L136" i="9"/>
  <c r="M136" i="9"/>
  <c r="L266" i="9"/>
  <c r="M266" i="9"/>
  <c r="K266" i="9"/>
  <c r="L374" i="9"/>
  <c r="M374" i="9"/>
  <c r="K374" i="9"/>
  <c r="L373" i="9"/>
  <c r="M373" i="9"/>
  <c r="K373" i="9"/>
  <c r="L421" i="9"/>
  <c r="M421" i="9"/>
  <c r="K421" i="9"/>
  <c r="K144" i="9"/>
  <c r="L144" i="9"/>
  <c r="M144" i="9"/>
  <c r="K439" i="9"/>
  <c r="M439" i="9"/>
  <c r="L439" i="9"/>
  <c r="K392" i="9"/>
  <c r="L392" i="9"/>
  <c r="M392" i="9"/>
  <c r="L438" i="9"/>
  <c r="M438" i="9"/>
  <c r="K438" i="9"/>
  <c r="K77" i="9"/>
  <c r="M77" i="9"/>
  <c r="L77" i="9"/>
  <c r="K455" i="9"/>
  <c r="M455" i="9"/>
  <c r="L455" i="9"/>
  <c r="L162" i="9"/>
  <c r="M162" i="9"/>
  <c r="K162" i="9"/>
  <c r="K444" i="9"/>
  <c r="L444" i="9"/>
  <c r="M444" i="9"/>
  <c r="K273" i="9"/>
  <c r="L273" i="9"/>
  <c r="M273" i="9"/>
  <c r="L430" i="9"/>
  <c r="M430" i="9"/>
  <c r="K430" i="9"/>
  <c r="K285" i="9"/>
  <c r="L285" i="9"/>
  <c r="M285" i="9"/>
  <c r="K116" i="9"/>
  <c r="L116" i="9"/>
  <c r="M116" i="9"/>
  <c r="K363" i="9"/>
  <c r="M363" i="9"/>
  <c r="L363" i="9"/>
  <c r="K151" i="9"/>
  <c r="L151" i="9"/>
  <c r="M151" i="9"/>
  <c r="L354" i="9"/>
  <c r="M354" i="9"/>
  <c r="K354" i="9"/>
  <c r="K212" i="9"/>
  <c r="L212" i="9"/>
  <c r="M212" i="9"/>
  <c r="K481" i="9"/>
  <c r="L481" i="9"/>
  <c r="M481" i="9"/>
  <c r="K308" i="9"/>
  <c r="L308" i="9"/>
  <c r="M308" i="9"/>
  <c r="K84" i="9"/>
  <c r="L84" i="9"/>
  <c r="M84" i="9"/>
  <c r="K387" i="9"/>
  <c r="M387" i="9"/>
  <c r="L387" i="9"/>
  <c r="K249" i="9"/>
  <c r="L249" i="9"/>
  <c r="M249" i="9"/>
  <c r="K120" i="9"/>
  <c r="L120" i="9"/>
  <c r="M120" i="9"/>
  <c r="K360" i="9"/>
  <c r="L360" i="9"/>
  <c r="M360" i="9"/>
  <c r="K192" i="9"/>
  <c r="L192" i="9"/>
  <c r="M192" i="9"/>
  <c r="K489" i="9"/>
  <c r="L489" i="9"/>
  <c r="M489" i="9"/>
  <c r="K337" i="9"/>
  <c r="L337" i="9"/>
  <c r="M337" i="9"/>
  <c r="M227" i="9"/>
  <c r="L227" i="9"/>
  <c r="K227" i="9"/>
  <c r="K103" i="9"/>
  <c r="L103" i="9"/>
  <c r="M103" i="9"/>
  <c r="L433" i="9"/>
  <c r="M433" i="9"/>
  <c r="K433" i="9"/>
  <c r="K267" i="9"/>
  <c r="L267" i="9"/>
  <c r="M267" i="9"/>
  <c r="M102" i="9"/>
  <c r="K102" i="9"/>
  <c r="L102" i="9"/>
  <c r="K413" i="9"/>
  <c r="L413" i="9"/>
  <c r="M413" i="9"/>
  <c r="K164" i="9"/>
  <c r="L164" i="9"/>
  <c r="M164" i="9"/>
  <c r="L382" i="9"/>
  <c r="M382" i="9"/>
  <c r="K382" i="9"/>
  <c r="K472" i="9"/>
  <c r="M472" i="9"/>
  <c r="L472" i="9"/>
  <c r="K307" i="9"/>
  <c r="M307" i="9"/>
  <c r="L307" i="9"/>
  <c r="K388" i="9"/>
  <c r="L388" i="9"/>
  <c r="M388" i="9"/>
  <c r="K487" i="9"/>
  <c r="L487" i="9"/>
  <c r="M487" i="9"/>
  <c r="K427" i="9"/>
  <c r="M427" i="9"/>
  <c r="L427" i="9"/>
  <c r="K321" i="9"/>
  <c r="L321" i="9"/>
  <c r="M321" i="9"/>
  <c r="L461" i="9"/>
  <c r="M461" i="9"/>
  <c r="K461" i="9"/>
  <c r="K297" i="9"/>
  <c r="L297" i="9"/>
  <c r="M297" i="9"/>
  <c r="K259" i="9"/>
  <c r="M259" i="9"/>
  <c r="L259" i="9"/>
  <c r="K467" i="9"/>
  <c r="M467" i="9"/>
  <c r="L467" i="9"/>
  <c r="M58" i="9"/>
  <c r="L58" i="9"/>
  <c r="K58" i="9"/>
  <c r="K476" i="9"/>
  <c r="L476" i="9"/>
  <c r="M476" i="9"/>
  <c r="K75" i="9"/>
  <c r="M75" i="9"/>
  <c r="L75" i="9"/>
  <c r="L366" i="9"/>
  <c r="M366" i="9"/>
  <c r="K366" i="9"/>
  <c r="K304" i="9"/>
  <c r="L304" i="9"/>
  <c r="M304" i="9"/>
  <c r="K356" i="9"/>
  <c r="L356" i="9"/>
  <c r="M356" i="9"/>
  <c r="K264" i="9"/>
  <c r="L264" i="9"/>
  <c r="M264" i="9"/>
  <c r="K142" i="9"/>
  <c r="L142" i="9"/>
  <c r="M142" i="9"/>
  <c r="K276" i="9"/>
  <c r="L276" i="9"/>
  <c r="M276" i="9"/>
  <c r="K336" i="9"/>
  <c r="L336" i="9"/>
  <c r="M336" i="9"/>
  <c r="M74" i="9"/>
  <c r="K74" i="9"/>
  <c r="L74" i="9"/>
  <c r="K352" i="9"/>
  <c r="L352" i="9"/>
  <c r="M352" i="9"/>
  <c r="K217" i="9"/>
  <c r="L217" i="9"/>
  <c r="M217" i="9"/>
  <c r="K88" i="9"/>
  <c r="L88" i="9"/>
  <c r="M88" i="9"/>
  <c r="K395" i="9"/>
  <c r="M395" i="9"/>
  <c r="L395" i="9"/>
  <c r="K171" i="9"/>
  <c r="M171" i="9"/>
  <c r="L171" i="9"/>
  <c r="M123" i="9"/>
  <c r="K123" i="9"/>
  <c r="L123" i="9"/>
  <c r="K412" i="9"/>
  <c r="L412" i="9"/>
  <c r="M412" i="9"/>
  <c r="K122" i="9"/>
  <c r="L122" i="9"/>
  <c r="M122" i="9"/>
  <c r="K280" i="9"/>
  <c r="L280" i="9"/>
  <c r="M280" i="9"/>
  <c r="K92" i="9"/>
  <c r="L92" i="9"/>
  <c r="M92" i="9"/>
  <c r="L314" i="9"/>
  <c r="K314" i="9"/>
  <c r="M314" i="9"/>
  <c r="L418" i="9"/>
  <c r="M418" i="9"/>
  <c r="K418" i="9"/>
  <c r="L246" i="9"/>
  <c r="M246" i="9"/>
  <c r="K246" i="9"/>
  <c r="K286" i="9"/>
  <c r="L286" i="9"/>
  <c r="M286" i="9"/>
  <c r="K376" i="9"/>
  <c r="M376" i="9"/>
  <c r="L376" i="9"/>
  <c r="M155" i="9"/>
  <c r="K155" i="9"/>
  <c r="L155" i="9"/>
  <c r="K301" i="9"/>
  <c r="L301" i="9"/>
  <c r="M301" i="9"/>
  <c r="K408" i="9"/>
  <c r="M408" i="9"/>
  <c r="L408" i="9"/>
  <c r="K349" i="9"/>
  <c r="L349" i="9"/>
  <c r="M349" i="9"/>
  <c r="M71" i="9"/>
  <c r="L71" i="9"/>
  <c r="K71" i="9"/>
  <c r="K313" i="9"/>
  <c r="L313" i="9"/>
  <c r="M313" i="9"/>
  <c r="K59" i="9"/>
  <c r="L59" i="9"/>
  <c r="M59" i="9"/>
  <c r="K312" i="9"/>
  <c r="L312" i="9"/>
  <c r="M312" i="9"/>
  <c r="K204" i="9"/>
  <c r="L204" i="9"/>
  <c r="M204" i="9"/>
  <c r="K401" i="9"/>
  <c r="L401" i="9"/>
  <c r="M401" i="9"/>
  <c r="M106" i="9"/>
  <c r="L106" i="9"/>
  <c r="K106" i="9"/>
  <c r="K91" i="9"/>
  <c r="L91" i="9"/>
  <c r="M91" i="9"/>
  <c r="K213" i="9"/>
  <c r="L213" i="9"/>
  <c r="M213" i="9"/>
  <c r="L402" i="9"/>
  <c r="M402" i="9"/>
  <c r="K402" i="9"/>
  <c r="K236" i="9"/>
  <c r="L236" i="9"/>
  <c r="M236" i="9"/>
  <c r="K79" i="9"/>
  <c r="L79" i="9"/>
  <c r="M79" i="9"/>
  <c r="K329" i="9"/>
  <c r="L329" i="9"/>
  <c r="M329" i="9"/>
  <c r="M114" i="9"/>
  <c r="K114" i="9"/>
  <c r="L114" i="9"/>
  <c r="L318" i="9"/>
  <c r="M318" i="9"/>
  <c r="K318" i="9"/>
  <c r="K169" i="9"/>
  <c r="L169" i="9"/>
  <c r="M169" i="9"/>
  <c r="K443" i="9"/>
  <c r="M443" i="9"/>
  <c r="L443" i="9"/>
  <c r="K271" i="9"/>
  <c r="M271" i="9"/>
  <c r="L271" i="9"/>
  <c r="K343" i="9"/>
  <c r="M343" i="9"/>
  <c r="L343" i="9"/>
  <c r="K221" i="9"/>
  <c r="L221" i="9"/>
  <c r="M221" i="9"/>
  <c r="L306" i="9"/>
  <c r="M306" i="9"/>
  <c r="K306" i="9"/>
  <c r="M167" i="9"/>
  <c r="K167" i="9"/>
  <c r="L167" i="9"/>
  <c r="K449" i="9"/>
  <c r="L449" i="9"/>
  <c r="M449" i="9"/>
  <c r="K305" i="9"/>
  <c r="L305" i="9"/>
  <c r="M305" i="9"/>
  <c r="M202" i="9"/>
  <c r="K202" i="9"/>
  <c r="L202" i="9"/>
  <c r="K57" i="9"/>
  <c r="L57" i="9"/>
  <c r="M57" i="9"/>
  <c r="L410" i="9"/>
  <c r="M410" i="9"/>
  <c r="K410" i="9"/>
  <c r="K226" i="9"/>
  <c r="L226" i="9"/>
  <c r="M226" i="9"/>
  <c r="K72" i="9"/>
  <c r="L72" i="9"/>
  <c r="M72" i="9"/>
  <c r="K153" i="9"/>
  <c r="L153" i="9"/>
  <c r="M153" i="9"/>
  <c r="M274" i="9"/>
  <c r="L274" i="9"/>
  <c r="K274" i="9"/>
  <c r="K483" i="9"/>
  <c r="L483" i="9"/>
  <c r="M483" i="9"/>
  <c r="K185" i="9"/>
  <c r="L185" i="9"/>
  <c r="M185" i="9"/>
  <c r="L83" i="9"/>
  <c r="M83" i="9"/>
  <c r="K83" i="9"/>
  <c r="M365" i="9"/>
  <c r="L365" i="9"/>
  <c r="K365" i="9"/>
  <c r="L485" i="9"/>
  <c r="K485" i="9"/>
  <c r="M485" i="9"/>
  <c r="M130" i="9"/>
  <c r="L130" i="9"/>
  <c r="K130" i="9"/>
  <c r="L362" i="9"/>
  <c r="M362" i="9"/>
  <c r="K362" i="9"/>
  <c r="M263" i="9"/>
  <c r="L263" i="9"/>
  <c r="K263" i="9"/>
  <c r="K159" i="9"/>
  <c r="L159" i="9"/>
  <c r="M159" i="9"/>
  <c r="K73" i="9"/>
  <c r="L73" i="9"/>
  <c r="M73" i="9"/>
  <c r="L358" i="9"/>
  <c r="M358" i="9"/>
  <c r="K358" i="9"/>
  <c r="K341" i="9"/>
  <c r="L341" i="9"/>
  <c r="M341" i="9"/>
  <c r="K108" i="9"/>
  <c r="L108" i="9"/>
  <c r="M108" i="9"/>
  <c r="M346" i="9"/>
  <c r="K346" i="9"/>
  <c r="L346" i="9"/>
  <c r="K435" i="9"/>
  <c r="M435" i="9"/>
  <c r="L435" i="9"/>
  <c r="K424" i="9"/>
  <c r="L424" i="9"/>
  <c r="M424" i="9"/>
  <c r="L126" i="9"/>
  <c r="M126" i="9"/>
  <c r="K126" i="9"/>
  <c r="K431" i="9"/>
  <c r="M431" i="9"/>
  <c r="L431" i="9"/>
  <c r="K405" i="9"/>
  <c r="L405" i="9"/>
  <c r="M405" i="9"/>
  <c r="K364" i="9"/>
  <c r="M364" i="9"/>
  <c r="L364" i="9"/>
  <c r="K319" i="9"/>
  <c r="M319" i="9"/>
  <c r="L319" i="9"/>
  <c r="K107" i="9"/>
  <c r="L107" i="9"/>
  <c r="M107" i="9"/>
  <c r="M203" i="9"/>
  <c r="K203" i="9"/>
  <c r="L203" i="9"/>
  <c r="L378" i="9"/>
  <c r="M378" i="9"/>
  <c r="K378" i="9"/>
  <c r="K184" i="9"/>
  <c r="L184" i="9"/>
  <c r="M184" i="9"/>
  <c r="L426" i="9"/>
  <c r="M426" i="9"/>
  <c r="K426" i="9"/>
  <c r="K247" i="9"/>
  <c r="M247" i="9"/>
  <c r="L247" i="9"/>
  <c r="K340" i="9"/>
  <c r="L340" i="9"/>
  <c r="M340" i="9"/>
  <c r="K333" i="9"/>
  <c r="L333" i="9"/>
  <c r="M333" i="9"/>
  <c r="K419" i="9"/>
  <c r="M419" i="9"/>
  <c r="L419" i="9"/>
  <c r="K245" i="9"/>
  <c r="L245" i="9"/>
  <c r="M245" i="9"/>
  <c r="K328" i="9"/>
  <c r="L328" i="9"/>
  <c r="M328" i="9"/>
  <c r="K55" i="9"/>
  <c r="L55" i="9"/>
  <c r="M55" i="9"/>
  <c r="L326" i="9"/>
  <c r="K326" i="9"/>
  <c r="M326" i="9"/>
  <c r="L210" i="9"/>
  <c r="M210" i="9"/>
  <c r="K210" i="9"/>
  <c r="M66" i="9"/>
  <c r="K66" i="9"/>
  <c r="L66" i="9"/>
  <c r="K229" i="9"/>
  <c r="L229" i="9"/>
  <c r="M229" i="9"/>
  <c r="L174" i="9"/>
  <c r="M174" i="9"/>
  <c r="K174" i="9"/>
  <c r="K135" i="9"/>
  <c r="L135" i="9"/>
  <c r="M135" i="9"/>
  <c r="K284" i="9"/>
  <c r="L284" i="9"/>
  <c r="M284" i="9"/>
  <c r="L315" i="9"/>
  <c r="M315" i="9"/>
  <c r="K315" i="9"/>
  <c r="L445" i="9"/>
  <c r="M445" i="9"/>
  <c r="K445" i="9"/>
  <c r="K256" i="9"/>
  <c r="L256" i="9"/>
  <c r="M256" i="9"/>
  <c r="L482" i="9"/>
  <c r="M482" i="9"/>
  <c r="K482" i="9"/>
  <c r="K293" i="9"/>
  <c r="L293" i="9"/>
  <c r="M293" i="9"/>
  <c r="L478" i="9"/>
  <c r="M478" i="9"/>
  <c r="K478" i="9"/>
  <c r="K383" i="9"/>
  <c r="M383" i="9"/>
  <c r="L383" i="9"/>
  <c r="M86" i="9"/>
  <c r="K86" i="9"/>
  <c r="L86" i="9"/>
  <c r="L454" i="9"/>
  <c r="M454" i="9"/>
  <c r="K454" i="9"/>
  <c r="K196" i="9"/>
  <c r="L196" i="9"/>
  <c r="M196" i="9"/>
  <c r="L384" i="9"/>
  <c r="M384" i="9"/>
  <c r="K384" i="9"/>
  <c r="M215" i="9"/>
  <c r="K215" i="9"/>
  <c r="L215" i="9"/>
  <c r="M70" i="9"/>
  <c r="K70" i="9"/>
  <c r="L70" i="9"/>
  <c r="K320" i="9"/>
  <c r="L320" i="9"/>
  <c r="M320" i="9"/>
  <c r="K105" i="9"/>
  <c r="L105" i="9"/>
  <c r="M105" i="9"/>
  <c r="K309" i="9"/>
  <c r="L309" i="9"/>
  <c r="M309" i="9"/>
  <c r="K160" i="9"/>
  <c r="L160" i="9"/>
  <c r="M160" i="9"/>
  <c r="L434" i="9"/>
  <c r="M434" i="9"/>
  <c r="K434" i="9"/>
  <c r="K231" i="9"/>
  <c r="L231" i="9"/>
  <c r="M231" i="9"/>
  <c r="M335" i="9"/>
  <c r="L335" i="9"/>
  <c r="K335" i="9"/>
  <c r="K211" i="9"/>
  <c r="M211" i="9"/>
  <c r="L211" i="9"/>
  <c r="K479" i="9"/>
  <c r="L479" i="9"/>
  <c r="M479" i="9"/>
  <c r="K296" i="9"/>
  <c r="L296" i="9"/>
  <c r="M296" i="9"/>
  <c r="K146" i="9"/>
  <c r="L146" i="9"/>
  <c r="M146" i="9"/>
  <c r="K411" i="9"/>
  <c r="M411" i="9"/>
  <c r="L411" i="9"/>
  <c r="M298" i="9"/>
  <c r="K298" i="9"/>
  <c r="L298" i="9"/>
  <c r="K195" i="9"/>
  <c r="L195" i="9"/>
  <c r="M195" i="9"/>
  <c r="K403" i="9"/>
  <c r="M403" i="9"/>
  <c r="L403" i="9"/>
  <c r="K216" i="9"/>
  <c r="L216" i="9"/>
  <c r="M216" i="9"/>
  <c r="K65" i="9"/>
  <c r="M65" i="9"/>
  <c r="L65" i="9"/>
  <c r="K334" i="9"/>
  <c r="L334" i="9"/>
  <c r="M334" i="9"/>
  <c r="K163" i="9"/>
  <c r="L163" i="9"/>
  <c r="M163" i="9"/>
  <c r="M190" i="9"/>
  <c r="K190" i="9"/>
  <c r="L190" i="9"/>
  <c r="K399" i="9"/>
  <c r="M399" i="9"/>
  <c r="L399" i="9"/>
  <c r="K260" i="9"/>
  <c r="L260" i="9"/>
  <c r="M260" i="9"/>
  <c r="K173" i="9"/>
  <c r="M173" i="9"/>
  <c r="L173" i="9"/>
  <c r="K132" i="9"/>
  <c r="L132" i="9"/>
  <c r="M132" i="9"/>
  <c r="K124" i="9"/>
  <c r="L124" i="9"/>
  <c r="M124" i="9"/>
  <c r="K332" i="9"/>
  <c r="L332" i="9"/>
  <c r="M332" i="9"/>
  <c r="K113" i="9"/>
  <c r="M113" i="9"/>
  <c r="L113" i="9"/>
  <c r="K157" i="9"/>
  <c r="L157" i="9"/>
  <c r="M157" i="9"/>
  <c r="L150" i="9"/>
  <c r="M150" i="9"/>
  <c r="K150" i="9"/>
  <c r="K325" i="9"/>
  <c r="L325" i="9"/>
  <c r="M325" i="9"/>
  <c r="K199" i="9"/>
  <c r="M199" i="9"/>
  <c r="L199" i="9"/>
  <c r="K235" i="9"/>
  <c r="M235" i="9"/>
  <c r="L235" i="9"/>
  <c r="K463" i="9"/>
  <c r="M463" i="9"/>
  <c r="L463" i="9"/>
  <c r="K129" i="9"/>
  <c r="L129" i="9"/>
  <c r="M129" i="9"/>
  <c r="M251" i="9"/>
  <c r="L251" i="9"/>
  <c r="K251" i="9"/>
  <c r="K451" i="9"/>
  <c r="M451" i="9"/>
  <c r="L451" i="9"/>
  <c r="K244" i="9"/>
  <c r="L244" i="9"/>
  <c r="M244" i="9"/>
  <c r="K367" i="9"/>
  <c r="M367" i="9"/>
  <c r="L367" i="9"/>
  <c r="L437" i="9"/>
  <c r="M437" i="9"/>
  <c r="K437" i="9"/>
  <c r="K253" i="9"/>
  <c r="L253" i="9"/>
  <c r="M253" i="9"/>
  <c r="K355" i="9"/>
  <c r="M355" i="9"/>
  <c r="L355" i="9"/>
  <c r="K288" i="9"/>
  <c r="L288" i="9"/>
  <c r="M288" i="9"/>
  <c r="M111" i="9"/>
  <c r="K111" i="9"/>
  <c r="L111" i="9"/>
  <c r="L330" i="9"/>
  <c r="M330" i="9"/>
  <c r="K330" i="9"/>
  <c r="K250" i="9"/>
  <c r="L250" i="9"/>
  <c r="M250" i="9"/>
  <c r="L469" i="9"/>
  <c r="M469" i="9"/>
  <c r="K469" i="9"/>
  <c r="L385" i="9"/>
  <c r="M385" i="9"/>
  <c r="K385" i="9"/>
  <c r="K371" i="9"/>
  <c r="M371" i="9"/>
  <c r="L371" i="9"/>
  <c r="K76" i="9"/>
  <c r="L76" i="9"/>
  <c r="M76" i="9"/>
  <c r="L338" i="9"/>
  <c r="M338" i="9"/>
  <c r="K338" i="9"/>
  <c r="K178" i="9"/>
  <c r="L178" i="9"/>
  <c r="M178" i="9"/>
  <c r="K353" i="9"/>
  <c r="L353" i="9"/>
  <c r="M353" i="9"/>
  <c r="K176" i="9"/>
  <c r="L176" i="9"/>
  <c r="M176" i="9"/>
  <c r="K81" i="9"/>
  <c r="L81" i="9"/>
  <c r="M81" i="9"/>
  <c r="L99" i="9"/>
  <c r="M99" i="9"/>
  <c r="K99" i="9"/>
  <c r="K61" i="9"/>
  <c r="L61" i="9"/>
  <c r="M61" i="9"/>
  <c r="M468" i="9"/>
  <c r="K468" i="9"/>
  <c r="L468" i="9"/>
  <c r="K117" i="9"/>
  <c r="L117" i="9"/>
  <c r="M117" i="9"/>
  <c r="K265" i="9"/>
  <c r="L265" i="9"/>
  <c r="M265" i="9"/>
  <c r="K459" i="9"/>
  <c r="M459" i="9"/>
  <c r="L459" i="9"/>
  <c r="K295" i="9"/>
  <c r="M295" i="9"/>
  <c r="L295" i="9"/>
  <c r="L409" i="9"/>
  <c r="M409" i="9"/>
  <c r="K409" i="9"/>
  <c r="K237" i="9"/>
  <c r="M237" i="9"/>
  <c r="L237" i="9"/>
  <c r="L390" i="9"/>
  <c r="M390" i="9"/>
  <c r="K390" i="9"/>
  <c r="K255" i="9"/>
  <c r="L255" i="9"/>
  <c r="M255" i="9"/>
  <c r="K440" i="9"/>
  <c r="L440" i="9"/>
  <c r="M440" i="9"/>
  <c r="M347" i="9"/>
  <c r="K347" i="9"/>
  <c r="L347" i="9"/>
  <c r="K69" i="9"/>
  <c r="L69" i="9"/>
  <c r="M69" i="9"/>
  <c r="K417" i="9"/>
  <c r="L417" i="9"/>
  <c r="M417" i="9"/>
  <c r="K104" i="9"/>
  <c r="L104" i="9"/>
  <c r="M104" i="9"/>
  <c r="K375" i="9"/>
  <c r="M375" i="9"/>
  <c r="L375" i="9"/>
  <c r="L206" i="9"/>
  <c r="K206" i="9"/>
  <c r="M206" i="9"/>
  <c r="K60" i="9"/>
  <c r="L60" i="9"/>
  <c r="M60" i="9"/>
  <c r="M311" i="9"/>
  <c r="K311" i="9"/>
  <c r="L311" i="9"/>
  <c r="K68" i="9"/>
  <c r="L68" i="9"/>
  <c r="M68" i="9"/>
  <c r="M299" i="9"/>
  <c r="K299" i="9"/>
  <c r="L299" i="9"/>
  <c r="K148" i="9"/>
  <c r="L148" i="9"/>
  <c r="M148" i="9"/>
  <c r="L425" i="9"/>
  <c r="K425" i="9"/>
  <c r="M425" i="9"/>
  <c r="L222" i="9"/>
  <c r="M222" i="9"/>
  <c r="K222" i="9"/>
  <c r="L490" i="9"/>
  <c r="M490" i="9"/>
  <c r="K490" i="9"/>
  <c r="M327" i="9"/>
  <c r="K327" i="9"/>
  <c r="L327" i="9"/>
  <c r="K201" i="9"/>
  <c r="M201" i="9"/>
  <c r="L201" i="9"/>
  <c r="L442" i="9"/>
  <c r="M442" i="9"/>
  <c r="K442" i="9"/>
  <c r="M287" i="9"/>
  <c r="K287" i="9"/>
  <c r="L287" i="9"/>
  <c r="M110" i="9"/>
  <c r="K110" i="9"/>
  <c r="L110" i="9"/>
  <c r="K404" i="9"/>
  <c r="L404" i="9"/>
  <c r="M404" i="9"/>
  <c r="L290" i="9"/>
  <c r="K290" i="9"/>
  <c r="M290" i="9"/>
  <c r="K188" i="9"/>
  <c r="L188" i="9"/>
  <c r="M188" i="9"/>
  <c r="K380" i="9"/>
  <c r="L380" i="9"/>
  <c r="M380" i="9"/>
  <c r="L194" i="9"/>
  <c r="M194" i="9"/>
  <c r="K194" i="9"/>
  <c r="K56" i="9"/>
  <c r="L56" i="9"/>
  <c r="M56" i="9"/>
  <c r="K208" i="9"/>
  <c r="L208" i="9"/>
  <c r="M208" i="9"/>
  <c r="K96" i="9"/>
  <c r="L96" i="9"/>
  <c r="M96" i="9"/>
  <c r="K428" i="9"/>
  <c r="L428" i="9"/>
  <c r="M428" i="9"/>
  <c r="L282" i="9"/>
  <c r="M282" i="9"/>
  <c r="K282" i="9"/>
  <c r="K460" i="9"/>
  <c r="L460" i="9"/>
  <c r="M460" i="9"/>
  <c r="K158" i="9"/>
  <c r="L158" i="9"/>
  <c r="M158" i="9"/>
  <c r="L466" i="9"/>
  <c r="M466" i="9"/>
  <c r="K466" i="9"/>
  <c r="L258" i="9"/>
  <c r="M258" i="9"/>
  <c r="K258" i="9"/>
  <c r="M238" i="9"/>
  <c r="K238" i="9"/>
  <c r="L238" i="9"/>
  <c r="K172" i="9"/>
  <c r="L172" i="9"/>
  <c r="M172" i="9"/>
  <c r="K379" i="9"/>
  <c r="M379" i="9"/>
  <c r="L379" i="9"/>
  <c r="K248" i="9"/>
  <c r="L248" i="9"/>
  <c r="M248" i="9"/>
  <c r="K464" i="9"/>
  <c r="L464" i="9"/>
  <c r="M464" i="9"/>
  <c r="K269" i="9"/>
  <c r="L269" i="9"/>
  <c r="M269" i="9"/>
  <c r="K243" i="9"/>
  <c r="L243" i="9"/>
  <c r="M243" i="9"/>
  <c r="K189" i="9"/>
  <c r="L189" i="9"/>
  <c r="M189" i="9"/>
  <c r="M179" i="9"/>
  <c r="K179" i="9"/>
  <c r="L179" i="9"/>
  <c r="K147" i="9"/>
  <c r="L147" i="9"/>
  <c r="M147" i="9"/>
  <c r="L456" i="9"/>
  <c r="K456" i="9"/>
  <c r="M456" i="9"/>
  <c r="K228" i="9"/>
  <c r="L228" i="9"/>
  <c r="M228" i="9"/>
  <c r="K109" i="9"/>
  <c r="L109" i="9"/>
  <c r="M109" i="9"/>
  <c r="L462" i="9"/>
  <c r="M462" i="9"/>
  <c r="K462" i="9"/>
  <c r="L420" i="9"/>
  <c r="M420" i="9"/>
  <c r="K420" i="9"/>
  <c r="K140" i="9"/>
  <c r="L140" i="9"/>
  <c r="M140" i="9"/>
  <c r="K471" i="9"/>
  <c r="M471" i="9"/>
  <c r="L471" i="9"/>
  <c r="K240" i="9"/>
  <c r="L240" i="9"/>
  <c r="M240" i="9"/>
  <c r="K473" i="9"/>
  <c r="L473" i="9"/>
  <c r="M473" i="9"/>
  <c r="K95" i="9"/>
  <c r="L95" i="9"/>
  <c r="M95" i="9"/>
  <c r="L207" i="9"/>
  <c r="M207" i="9"/>
  <c r="K207" i="9"/>
  <c r="M90" i="9"/>
  <c r="K90" i="9"/>
  <c r="L90" i="9"/>
  <c r="K331" i="9"/>
  <c r="M331" i="9"/>
  <c r="L331" i="9"/>
  <c r="K232" i="9"/>
  <c r="L232" i="9"/>
  <c r="M232" i="9"/>
  <c r="K97" i="9"/>
  <c r="L97" i="9"/>
  <c r="M97" i="9"/>
  <c r="K453" i="9"/>
  <c r="L453" i="9"/>
  <c r="M453" i="9"/>
  <c r="L230" i="9"/>
  <c r="M230" i="9"/>
  <c r="K230" i="9"/>
  <c r="K465" i="9"/>
  <c r="L465" i="9"/>
  <c r="M465" i="9"/>
  <c r="K233" i="9"/>
  <c r="L233" i="9"/>
  <c r="M233" i="9"/>
  <c r="M191" i="9"/>
  <c r="K191" i="9"/>
  <c r="L191" i="9"/>
  <c r="L450" i="9"/>
  <c r="M450" i="9"/>
  <c r="K450" i="9"/>
  <c r="K447" i="9"/>
  <c r="M447" i="9"/>
  <c r="L447" i="9"/>
  <c r="K80" i="9"/>
  <c r="L80" i="9"/>
  <c r="M80" i="9"/>
  <c r="K225" i="9"/>
  <c r="L225" i="9"/>
  <c r="M225" i="9"/>
  <c r="L422" i="9"/>
  <c r="M422" i="9"/>
  <c r="K422" i="9"/>
  <c r="K277" i="9"/>
  <c r="L277" i="9"/>
  <c r="M277" i="9"/>
  <c r="K205" i="9"/>
  <c r="L205" i="9"/>
  <c r="M205" i="9"/>
  <c r="L182" i="9"/>
  <c r="K182" i="9"/>
  <c r="M182" i="9"/>
  <c r="K223" i="9"/>
  <c r="M223" i="9"/>
  <c r="L223" i="9"/>
  <c r="K180" i="9"/>
  <c r="L180" i="9"/>
  <c r="M180" i="9"/>
  <c r="K368" i="9"/>
  <c r="L368" i="9"/>
  <c r="M368" i="9"/>
  <c r="K292" i="9"/>
  <c r="L292" i="9"/>
  <c r="M292" i="9"/>
  <c r="L51" i="9"/>
  <c r="M51" i="9"/>
  <c r="K51" i="9"/>
  <c r="K400" i="9"/>
  <c r="M400" i="9"/>
  <c r="L400" i="9"/>
  <c r="K85" i="9"/>
  <c r="L85" i="9"/>
  <c r="M85" i="9"/>
  <c r="K357" i="9"/>
  <c r="L357" i="9"/>
  <c r="M357" i="9"/>
  <c r="L198" i="9"/>
  <c r="M198" i="9"/>
  <c r="K198" i="9"/>
  <c r="K492" i="9"/>
  <c r="L492" i="9"/>
  <c r="M492" i="9"/>
  <c r="K300" i="9"/>
  <c r="L300" i="9"/>
  <c r="M300" i="9"/>
  <c r="K491" i="9"/>
  <c r="L491" i="9"/>
  <c r="M491" i="9"/>
  <c r="K289" i="9"/>
  <c r="L289" i="9"/>
  <c r="M289" i="9"/>
  <c r="K139" i="9"/>
  <c r="L139" i="9"/>
  <c r="M139" i="9"/>
  <c r="K407" i="9"/>
  <c r="M407" i="9"/>
  <c r="L407" i="9"/>
  <c r="K193" i="9"/>
  <c r="L193" i="9"/>
  <c r="M193" i="9"/>
  <c r="L470" i="9"/>
  <c r="M470" i="9"/>
  <c r="K470" i="9"/>
  <c r="K317" i="9"/>
  <c r="L317" i="9"/>
  <c r="M317" i="9"/>
  <c r="K177" i="9"/>
  <c r="L177" i="9"/>
  <c r="M177" i="9"/>
  <c r="K432" i="9"/>
  <c r="L432" i="9"/>
  <c r="M432" i="9"/>
  <c r="L278" i="9"/>
  <c r="K278" i="9"/>
  <c r="M278" i="9"/>
  <c r="K100" i="9"/>
  <c r="L100" i="9"/>
  <c r="M100" i="9"/>
  <c r="L397" i="9"/>
  <c r="M397" i="9"/>
  <c r="K397" i="9"/>
  <c r="K283" i="9"/>
  <c r="M283" i="9"/>
  <c r="L283" i="9"/>
  <c r="K181" i="9"/>
  <c r="L181" i="9"/>
  <c r="M181" i="9"/>
  <c r="K488" i="9"/>
  <c r="L488" i="9"/>
  <c r="M488" i="9"/>
  <c r="K372" i="9"/>
  <c r="L372" i="9"/>
  <c r="M372" i="9"/>
  <c r="K187" i="9"/>
  <c r="M187" i="9"/>
  <c r="L187" i="9"/>
  <c r="O393" i="9"/>
  <c r="N393" i="9"/>
  <c r="J393" i="9"/>
  <c r="O475" i="9"/>
  <c r="N475" i="9"/>
  <c r="J475" i="9"/>
  <c r="O310" i="9"/>
  <c r="N310" i="9"/>
  <c r="J310" i="9"/>
  <c r="O170" i="9"/>
  <c r="N170" i="9"/>
  <c r="J170" i="9"/>
  <c r="N379" i="9"/>
  <c r="O379" i="9"/>
  <c r="J379" i="9"/>
  <c r="O157" i="9"/>
  <c r="N157" i="9"/>
  <c r="J157" i="9"/>
  <c r="O388" i="9"/>
  <c r="N388" i="9"/>
  <c r="J388" i="9"/>
  <c r="O173" i="9"/>
  <c r="N173" i="9"/>
  <c r="J173" i="9"/>
  <c r="O266" i="9"/>
  <c r="J266" i="9"/>
  <c r="N266" i="9"/>
  <c r="N439" i="9"/>
  <c r="O439" i="9"/>
  <c r="J439" i="9"/>
  <c r="O493" i="9"/>
  <c r="N493" i="9"/>
  <c r="J493" i="9"/>
  <c r="O294" i="9"/>
  <c r="N294" i="9"/>
  <c r="J294" i="9"/>
  <c r="O252" i="9"/>
  <c r="N252" i="9"/>
  <c r="J252" i="9"/>
  <c r="O279" i="9"/>
  <c r="N279" i="9"/>
  <c r="J279" i="9"/>
  <c r="O73" i="9"/>
  <c r="N73" i="9"/>
  <c r="J73" i="9"/>
  <c r="O150" i="9"/>
  <c r="N150" i="9"/>
  <c r="J150" i="9"/>
  <c r="O304" i="9"/>
  <c r="N304" i="9"/>
  <c r="J304" i="9"/>
  <c r="O244" i="9"/>
  <c r="N244" i="9"/>
  <c r="J244" i="9"/>
  <c r="O364" i="9"/>
  <c r="N364" i="9"/>
  <c r="J364" i="9"/>
  <c r="O430" i="9"/>
  <c r="N430" i="9"/>
  <c r="J430" i="9"/>
  <c r="N241" i="9"/>
  <c r="O241" i="9"/>
  <c r="J241" i="9"/>
  <c r="O415" i="9"/>
  <c r="N415" i="9"/>
  <c r="J415" i="9"/>
  <c r="O64" i="9"/>
  <c r="N64" i="9"/>
  <c r="J64" i="9"/>
  <c r="O350" i="9"/>
  <c r="N350" i="9"/>
  <c r="J350" i="9"/>
  <c r="O469" i="9"/>
  <c r="N469" i="9"/>
  <c r="J469" i="9"/>
  <c r="O90" i="9"/>
  <c r="N90" i="9"/>
  <c r="J90" i="9"/>
  <c r="O437" i="9"/>
  <c r="N437" i="9"/>
  <c r="J437" i="9"/>
  <c r="O420" i="9"/>
  <c r="N420" i="9"/>
  <c r="J420" i="9"/>
  <c r="O354" i="9"/>
  <c r="N354" i="9"/>
  <c r="J354" i="9"/>
  <c r="O398" i="9"/>
  <c r="N398" i="9"/>
  <c r="J398" i="9"/>
  <c r="O242" i="9"/>
  <c r="N242" i="9"/>
  <c r="J242" i="9"/>
  <c r="O376" i="9"/>
  <c r="N376" i="9"/>
  <c r="J376" i="9"/>
  <c r="O71" i="9"/>
  <c r="N71" i="9"/>
  <c r="J71" i="9"/>
  <c r="O419" i="9"/>
  <c r="N419" i="9"/>
  <c r="J419" i="9"/>
  <c r="O232" i="9"/>
  <c r="N232" i="9"/>
  <c r="J232" i="9"/>
  <c r="O122" i="9"/>
  <c r="J122" i="9"/>
  <c r="N122" i="9"/>
  <c r="O203" i="9"/>
  <c r="N203" i="9"/>
  <c r="J203" i="9"/>
  <c r="O308" i="9"/>
  <c r="N308" i="9"/>
  <c r="J308" i="9"/>
  <c r="O249" i="9"/>
  <c r="N249" i="9"/>
  <c r="J249" i="9"/>
  <c r="O369" i="9"/>
  <c r="N369" i="9"/>
  <c r="J369" i="9"/>
  <c r="O234" i="9"/>
  <c r="N234" i="9"/>
  <c r="J234" i="9"/>
  <c r="O275" i="9"/>
  <c r="N275" i="9"/>
  <c r="J275" i="9"/>
  <c r="O229" i="9"/>
  <c r="N229" i="9"/>
  <c r="J229" i="9"/>
  <c r="O135" i="9"/>
  <c r="N135" i="9"/>
  <c r="J135" i="9"/>
  <c r="O315" i="9"/>
  <c r="N315" i="9"/>
  <c r="J315" i="9"/>
  <c r="O482" i="9"/>
  <c r="N482" i="9"/>
  <c r="J482" i="9"/>
  <c r="O106" i="9"/>
  <c r="N106" i="9"/>
  <c r="J106" i="9"/>
  <c r="O402" i="9"/>
  <c r="N402" i="9"/>
  <c r="J402" i="9"/>
  <c r="O114" i="9"/>
  <c r="N114" i="9"/>
  <c r="J114" i="9"/>
  <c r="O471" i="9"/>
  <c r="N471" i="9"/>
  <c r="J471" i="9"/>
  <c r="O378" i="9"/>
  <c r="N378" i="9"/>
  <c r="J378" i="9"/>
  <c r="O360" i="9"/>
  <c r="N360" i="9"/>
  <c r="J360" i="9"/>
  <c r="O227" i="9"/>
  <c r="N227" i="9"/>
  <c r="J227" i="9"/>
  <c r="O102" i="9"/>
  <c r="N102" i="9"/>
  <c r="J102" i="9"/>
  <c r="O99" i="9"/>
  <c r="N99" i="9"/>
  <c r="J99" i="9"/>
  <c r="O61" i="9"/>
  <c r="N61" i="9"/>
  <c r="J61" i="9"/>
  <c r="O468" i="9"/>
  <c r="N468" i="9"/>
  <c r="J468" i="9"/>
  <c r="O117" i="9"/>
  <c r="N117" i="9"/>
  <c r="J117" i="9"/>
  <c r="O265" i="9"/>
  <c r="N265" i="9"/>
  <c r="J265" i="9"/>
  <c r="O459" i="9"/>
  <c r="N459" i="9"/>
  <c r="J459" i="9"/>
  <c r="O295" i="9"/>
  <c r="N295" i="9"/>
  <c r="J295" i="9"/>
  <c r="O409" i="9"/>
  <c r="N409" i="9"/>
  <c r="J409" i="9"/>
  <c r="N237" i="9"/>
  <c r="O237" i="9"/>
  <c r="J237" i="9"/>
  <c r="O390" i="9"/>
  <c r="N390" i="9"/>
  <c r="J390" i="9"/>
  <c r="O255" i="9"/>
  <c r="N255" i="9"/>
  <c r="J255" i="9"/>
  <c r="O478" i="9"/>
  <c r="N478" i="9"/>
  <c r="J478" i="9"/>
  <c r="O383" i="9"/>
  <c r="N383" i="9"/>
  <c r="J383" i="9"/>
  <c r="O86" i="9"/>
  <c r="N86" i="9"/>
  <c r="J86" i="9"/>
  <c r="O454" i="9"/>
  <c r="N454" i="9"/>
  <c r="J454" i="9"/>
  <c r="O196" i="9"/>
  <c r="N196" i="9"/>
  <c r="J196" i="9"/>
  <c r="O384" i="9"/>
  <c r="N384" i="9"/>
  <c r="J384" i="9"/>
  <c r="O215" i="9"/>
  <c r="N215" i="9"/>
  <c r="J215" i="9"/>
  <c r="O70" i="9"/>
  <c r="N70" i="9"/>
  <c r="J70" i="9"/>
  <c r="O320" i="9"/>
  <c r="N320" i="9"/>
  <c r="J320" i="9"/>
  <c r="O105" i="9"/>
  <c r="N105" i="9"/>
  <c r="J105" i="9"/>
  <c r="O318" i="9"/>
  <c r="N318" i="9"/>
  <c r="J318" i="9"/>
  <c r="O169" i="9"/>
  <c r="N169" i="9"/>
  <c r="J169" i="9"/>
  <c r="O453" i="9"/>
  <c r="N453" i="9"/>
  <c r="J453" i="9"/>
  <c r="O280" i="9"/>
  <c r="N280" i="9"/>
  <c r="J280" i="9"/>
  <c r="O55" i="9"/>
  <c r="N55" i="9"/>
  <c r="J55" i="9"/>
  <c r="O353" i="9"/>
  <c r="N353" i="9"/>
  <c r="J353" i="9"/>
  <c r="O230" i="9"/>
  <c r="N230" i="9"/>
  <c r="J230" i="9"/>
  <c r="O92" i="9"/>
  <c r="N92" i="9"/>
  <c r="J92" i="9"/>
  <c r="O352" i="9"/>
  <c r="N352" i="9"/>
  <c r="J352" i="9"/>
  <c r="O184" i="9"/>
  <c r="N184" i="9"/>
  <c r="J184" i="9"/>
  <c r="O473" i="9"/>
  <c r="N473" i="9"/>
  <c r="J473" i="9"/>
  <c r="O330" i="9"/>
  <c r="N330" i="9"/>
  <c r="J330" i="9"/>
  <c r="O217" i="9"/>
  <c r="N217" i="9"/>
  <c r="J217" i="9"/>
  <c r="O88" i="9"/>
  <c r="N88" i="9"/>
  <c r="J88" i="9"/>
  <c r="O426" i="9"/>
  <c r="N426" i="9"/>
  <c r="J426" i="9"/>
  <c r="O250" i="9"/>
  <c r="N250" i="9"/>
  <c r="J250" i="9"/>
  <c r="O95" i="9"/>
  <c r="N95" i="9"/>
  <c r="J95" i="9"/>
  <c r="O98" i="9"/>
  <c r="N98" i="9"/>
  <c r="J98" i="9"/>
  <c r="O303" i="9"/>
  <c r="N303" i="9"/>
  <c r="J303" i="9"/>
  <c r="O477" i="9"/>
  <c r="N477" i="9"/>
  <c r="J477" i="9"/>
  <c r="O214" i="9"/>
  <c r="N214" i="9"/>
  <c r="J214" i="9"/>
  <c r="O302" i="9"/>
  <c r="N302" i="9"/>
  <c r="J302" i="9"/>
  <c r="O262" i="9"/>
  <c r="N262" i="9"/>
  <c r="J262" i="9"/>
  <c r="O297" i="9"/>
  <c r="N297" i="9"/>
  <c r="J297" i="9"/>
  <c r="O83" i="9"/>
  <c r="N83" i="9"/>
  <c r="J83" i="9"/>
  <c r="O365" i="9"/>
  <c r="N365" i="9"/>
  <c r="J365" i="9"/>
  <c r="O136" i="9"/>
  <c r="N136" i="9"/>
  <c r="J136" i="9"/>
  <c r="O144" i="9"/>
  <c r="N144" i="9"/>
  <c r="J144" i="9"/>
  <c r="O197" i="9"/>
  <c r="N197" i="9"/>
  <c r="J197" i="9"/>
  <c r="O134" i="9"/>
  <c r="N134" i="9"/>
  <c r="J134" i="9"/>
  <c r="O67" i="9"/>
  <c r="N67" i="9"/>
  <c r="J67" i="9"/>
  <c r="O147" i="9"/>
  <c r="N147" i="9"/>
  <c r="J147" i="9"/>
  <c r="O358" i="9"/>
  <c r="N358" i="9"/>
  <c r="J358" i="9"/>
  <c r="O228" i="9"/>
  <c r="N228" i="9"/>
  <c r="J228" i="9"/>
  <c r="O264" i="9"/>
  <c r="N264" i="9"/>
  <c r="J264" i="9"/>
  <c r="O444" i="9"/>
  <c r="N444" i="9"/>
  <c r="J444" i="9"/>
  <c r="O363" i="9"/>
  <c r="N363" i="9"/>
  <c r="J363" i="9"/>
  <c r="O361" i="9"/>
  <c r="N361" i="9"/>
  <c r="J361" i="9"/>
  <c r="O386" i="9"/>
  <c r="N386" i="9"/>
  <c r="J386" i="9"/>
  <c r="O126" i="9"/>
  <c r="N126" i="9"/>
  <c r="J126" i="9"/>
  <c r="N247" i="9"/>
  <c r="O247" i="9"/>
  <c r="J247" i="9"/>
  <c r="N331" i="9"/>
  <c r="O331" i="9"/>
  <c r="J331" i="9"/>
  <c r="O253" i="9"/>
  <c r="N253" i="9"/>
  <c r="J253" i="9"/>
  <c r="O140" i="9"/>
  <c r="N140" i="9"/>
  <c r="J140" i="9"/>
  <c r="O345" i="9"/>
  <c r="N345" i="9"/>
  <c r="J345" i="9"/>
  <c r="O128" i="9"/>
  <c r="N128" i="9"/>
  <c r="J128" i="9"/>
  <c r="O351" i="9"/>
  <c r="N351" i="9"/>
  <c r="J351" i="9"/>
  <c r="O119" i="9"/>
  <c r="N119" i="9"/>
  <c r="J119" i="9"/>
  <c r="O246" i="9"/>
  <c r="N246" i="9"/>
  <c r="J246" i="9"/>
  <c r="O408" i="9"/>
  <c r="N408" i="9"/>
  <c r="J408" i="9"/>
  <c r="O312" i="9"/>
  <c r="N312" i="9"/>
  <c r="J312" i="9"/>
  <c r="O76" i="9"/>
  <c r="N76" i="9"/>
  <c r="J76" i="9"/>
  <c r="O338" i="9"/>
  <c r="N338" i="9"/>
  <c r="J338" i="9"/>
  <c r="O481" i="9"/>
  <c r="N481" i="9"/>
  <c r="J481" i="9"/>
  <c r="O387" i="9"/>
  <c r="N387" i="9"/>
  <c r="J387" i="9"/>
  <c r="O112" i="9"/>
  <c r="N112" i="9"/>
  <c r="J112" i="9"/>
  <c r="O174" i="9"/>
  <c r="N174" i="9"/>
  <c r="J174" i="9"/>
  <c r="O284" i="9"/>
  <c r="N284" i="9"/>
  <c r="J284" i="9"/>
  <c r="O256" i="9"/>
  <c r="N256" i="9"/>
  <c r="J256" i="9"/>
  <c r="O204" i="9"/>
  <c r="N204" i="9"/>
  <c r="J204" i="9"/>
  <c r="N91" i="9"/>
  <c r="O91" i="9"/>
  <c r="J91" i="9"/>
  <c r="O79" i="9"/>
  <c r="N79" i="9"/>
  <c r="J79" i="9"/>
  <c r="O328" i="9"/>
  <c r="N328" i="9"/>
  <c r="J328" i="9"/>
  <c r="O288" i="9"/>
  <c r="N288" i="9"/>
  <c r="J288" i="9"/>
  <c r="O240" i="9"/>
  <c r="N240" i="9"/>
  <c r="J240" i="9"/>
  <c r="O489" i="9"/>
  <c r="N489" i="9"/>
  <c r="J489" i="9"/>
  <c r="O103" i="9"/>
  <c r="N103" i="9"/>
  <c r="J103" i="9"/>
  <c r="N433" i="9"/>
  <c r="J433" i="9"/>
  <c r="O433" i="9"/>
  <c r="O191" i="9"/>
  <c r="N191" i="9"/>
  <c r="J191" i="9"/>
  <c r="O450" i="9"/>
  <c r="N450" i="9"/>
  <c r="J450" i="9"/>
  <c r="O447" i="9"/>
  <c r="N447" i="9"/>
  <c r="J447" i="9"/>
  <c r="O80" i="9"/>
  <c r="N80" i="9"/>
  <c r="J80" i="9"/>
  <c r="O225" i="9"/>
  <c r="N225" i="9"/>
  <c r="J225" i="9"/>
  <c r="O422" i="9"/>
  <c r="N422" i="9"/>
  <c r="J422" i="9"/>
  <c r="O277" i="9"/>
  <c r="N277" i="9"/>
  <c r="J277" i="9"/>
  <c r="O205" i="9"/>
  <c r="N205" i="9"/>
  <c r="J205" i="9"/>
  <c r="O182" i="9"/>
  <c r="N182" i="9"/>
  <c r="J182" i="9"/>
  <c r="O223" i="9"/>
  <c r="N223" i="9"/>
  <c r="J223" i="9"/>
  <c r="O180" i="9"/>
  <c r="N180" i="9"/>
  <c r="J180" i="9"/>
  <c r="O440" i="9"/>
  <c r="N440" i="9"/>
  <c r="J440" i="9"/>
  <c r="O347" i="9"/>
  <c r="N347" i="9"/>
  <c r="J347" i="9"/>
  <c r="O69" i="9"/>
  <c r="N69" i="9"/>
  <c r="J69" i="9"/>
  <c r="O417" i="9"/>
  <c r="N417" i="9"/>
  <c r="J417" i="9"/>
  <c r="O104" i="9"/>
  <c r="N104" i="9"/>
  <c r="J104" i="9"/>
  <c r="O375" i="9"/>
  <c r="N375" i="9"/>
  <c r="J375" i="9"/>
  <c r="O206" i="9"/>
  <c r="N206" i="9"/>
  <c r="J206" i="9"/>
  <c r="N60" i="9"/>
  <c r="O60" i="9"/>
  <c r="J60" i="9"/>
  <c r="O311" i="9"/>
  <c r="N311" i="9"/>
  <c r="J311" i="9"/>
  <c r="O68" i="9"/>
  <c r="N68" i="9"/>
  <c r="J68" i="9"/>
  <c r="O309" i="9"/>
  <c r="N309" i="9"/>
  <c r="J309" i="9"/>
  <c r="O160" i="9"/>
  <c r="N160" i="9"/>
  <c r="J160" i="9"/>
  <c r="O443" i="9"/>
  <c r="N443" i="9"/>
  <c r="J443" i="9"/>
  <c r="O271" i="9"/>
  <c r="N271" i="9"/>
  <c r="J271" i="9"/>
  <c r="N343" i="9"/>
  <c r="O343" i="9"/>
  <c r="J343" i="9"/>
  <c r="O221" i="9"/>
  <c r="N221" i="9"/>
  <c r="J221" i="9"/>
  <c r="O326" i="9"/>
  <c r="N326" i="9"/>
  <c r="J326" i="9"/>
  <c r="O176" i="9"/>
  <c r="N176" i="9"/>
  <c r="J176" i="9"/>
  <c r="O465" i="9"/>
  <c r="N465" i="9"/>
  <c r="J465" i="9"/>
  <c r="O314" i="9"/>
  <c r="N314" i="9"/>
  <c r="J314" i="9"/>
  <c r="O210" i="9"/>
  <c r="N210" i="9"/>
  <c r="J210" i="9"/>
  <c r="S66" i="9"/>
  <c r="B66" i="9" s="1"/>
  <c r="O66" i="9"/>
  <c r="N66" i="9"/>
  <c r="J66" i="9"/>
  <c r="O418" i="9"/>
  <c r="N418" i="9"/>
  <c r="J418" i="9"/>
  <c r="O233" i="9"/>
  <c r="N233" i="9"/>
  <c r="J233" i="9"/>
  <c r="O81" i="9"/>
  <c r="N81" i="9"/>
  <c r="J81" i="9"/>
  <c r="O137" i="9"/>
  <c r="J137" i="9"/>
  <c r="N137" i="9"/>
  <c r="O165" i="9"/>
  <c r="N165" i="9"/>
  <c r="J165" i="9"/>
  <c r="O339" i="9"/>
  <c r="N339" i="9"/>
  <c r="J339" i="9"/>
  <c r="O457" i="9"/>
  <c r="N457" i="9"/>
  <c r="J457" i="9"/>
  <c r="O435" i="9"/>
  <c r="N435" i="9"/>
  <c r="J435" i="9"/>
  <c r="O159" i="9"/>
  <c r="N159" i="9"/>
  <c r="J159" i="9"/>
  <c r="O260" i="9"/>
  <c r="N260" i="9"/>
  <c r="J260" i="9"/>
  <c r="O480" i="9"/>
  <c r="N480" i="9"/>
  <c r="J480" i="9"/>
  <c r="O359" i="9"/>
  <c r="N359" i="9"/>
  <c r="J359" i="9"/>
  <c r="O421" i="9"/>
  <c r="N421" i="9"/>
  <c r="J421" i="9"/>
  <c r="O224" i="9"/>
  <c r="N224" i="9"/>
  <c r="J224" i="9"/>
  <c r="O446" i="9"/>
  <c r="N446" i="9"/>
  <c r="J446" i="9"/>
  <c r="O161" i="9"/>
  <c r="N161" i="9"/>
  <c r="J161" i="9"/>
  <c r="O424" i="9"/>
  <c r="N424" i="9"/>
  <c r="J424" i="9"/>
  <c r="N259" i="9"/>
  <c r="O259" i="9"/>
  <c r="J259" i="9"/>
  <c r="O431" i="9"/>
  <c r="N431" i="9"/>
  <c r="J431" i="9"/>
  <c r="O405" i="9"/>
  <c r="N405" i="9"/>
  <c r="J405" i="9"/>
  <c r="O77" i="9"/>
  <c r="N77" i="9"/>
  <c r="J77" i="9"/>
  <c r="O273" i="9"/>
  <c r="N273" i="9"/>
  <c r="J273" i="9"/>
  <c r="O389" i="9"/>
  <c r="N389" i="9"/>
  <c r="J389" i="9"/>
  <c r="O270" i="9"/>
  <c r="N270" i="9"/>
  <c r="J270" i="9"/>
  <c r="O251" i="9"/>
  <c r="N251" i="9"/>
  <c r="J251" i="9"/>
  <c r="O340" i="9"/>
  <c r="N340" i="9"/>
  <c r="J340" i="9"/>
  <c r="N333" i="9"/>
  <c r="O333" i="9"/>
  <c r="J333" i="9"/>
  <c r="O142" i="9"/>
  <c r="N142" i="9"/>
  <c r="J142" i="9"/>
  <c r="O276" i="9"/>
  <c r="N276" i="9"/>
  <c r="J276" i="9"/>
  <c r="O212" i="9"/>
  <c r="N212" i="9"/>
  <c r="J212" i="9"/>
  <c r="O261" i="9"/>
  <c r="N261" i="9"/>
  <c r="J261" i="9"/>
  <c r="O54" i="9"/>
  <c r="N54" i="9"/>
  <c r="J54" i="9"/>
  <c r="O322" i="9"/>
  <c r="N322" i="9"/>
  <c r="J322" i="9"/>
  <c r="O301" i="9"/>
  <c r="N301" i="9"/>
  <c r="J301" i="9"/>
  <c r="O59" i="9"/>
  <c r="N59" i="9"/>
  <c r="J59" i="9"/>
  <c r="O123" i="9"/>
  <c r="N123" i="9"/>
  <c r="J123" i="9"/>
  <c r="O245" i="9"/>
  <c r="N245" i="9"/>
  <c r="J245" i="9"/>
  <c r="O336" i="9"/>
  <c r="N336" i="9"/>
  <c r="J336" i="9"/>
  <c r="O84" i="9"/>
  <c r="N84" i="9"/>
  <c r="J84" i="9"/>
  <c r="O120" i="9"/>
  <c r="N120" i="9"/>
  <c r="J120" i="9"/>
  <c r="O200" i="9"/>
  <c r="N200" i="9"/>
  <c r="J200" i="9"/>
  <c r="O344" i="9"/>
  <c r="N344" i="9"/>
  <c r="J344" i="9"/>
  <c r="O441" i="9"/>
  <c r="N441" i="9"/>
  <c r="J441" i="9"/>
  <c r="O133" i="9"/>
  <c r="N133" i="9"/>
  <c r="J133" i="9"/>
  <c r="O445" i="9"/>
  <c r="N445" i="9"/>
  <c r="J445" i="9"/>
  <c r="O293" i="9"/>
  <c r="N293" i="9"/>
  <c r="J293" i="9"/>
  <c r="O401" i="9"/>
  <c r="N401" i="9"/>
  <c r="J401" i="9"/>
  <c r="O213" i="9"/>
  <c r="N213" i="9"/>
  <c r="J213" i="9"/>
  <c r="N236" i="9"/>
  <c r="O236" i="9"/>
  <c r="J236" i="9"/>
  <c r="O329" i="9"/>
  <c r="N329" i="9"/>
  <c r="J329" i="9"/>
  <c r="O178" i="9"/>
  <c r="N178" i="9"/>
  <c r="J178" i="9"/>
  <c r="O74" i="9"/>
  <c r="N74" i="9"/>
  <c r="J74" i="9"/>
  <c r="O111" i="9"/>
  <c r="N111" i="9"/>
  <c r="J111" i="9"/>
  <c r="O192" i="9"/>
  <c r="N192" i="9"/>
  <c r="J192" i="9"/>
  <c r="N337" i="9"/>
  <c r="O337" i="9"/>
  <c r="J337" i="9"/>
  <c r="O267" i="9"/>
  <c r="N267" i="9"/>
  <c r="J267" i="9"/>
  <c r="O82" i="9"/>
  <c r="N82" i="9"/>
  <c r="J82" i="9"/>
  <c r="O208" i="9"/>
  <c r="N208" i="9"/>
  <c r="J208" i="9"/>
  <c r="O413" i="9"/>
  <c r="N413" i="9"/>
  <c r="J413" i="9"/>
  <c r="O153" i="9"/>
  <c r="N153" i="9"/>
  <c r="J153" i="9"/>
  <c r="O334" i="9"/>
  <c r="N334" i="9"/>
  <c r="J334" i="9"/>
  <c r="O257" i="9"/>
  <c r="N257" i="9"/>
  <c r="J257" i="9"/>
  <c r="O96" i="9"/>
  <c r="N96" i="9"/>
  <c r="J96" i="9"/>
  <c r="O164" i="9"/>
  <c r="N164" i="9"/>
  <c r="J164" i="9"/>
  <c r="O186" i="9"/>
  <c r="N186" i="9"/>
  <c r="J186" i="9"/>
  <c r="N163" i="9"/>
  <c r="O163" i="9"/>
  <c r="J163" i="9"/>
  <c r="O368" i="9"/>
  <c r="N368" i="9"/>
  <c r="J368" i="9"/>
  <c r="O292" i="9"/>
  <c r="N292" i="9"/>
  <c r="J292" i="9"/>
  <c r="O51" i="9"/>
  <c r="N51" i="9"/>
  <c r="J51" i="9"/>
  <c r="O400" i="9"/>
  <c r="N400" i="9"/>
  <c r="J400" i="9"/>
  <c r="O85" i="9"/>
  <c r="N85" i="9"/>
  <c r="J85" i="9"/>
  <c r="O357" i="9"/>
  <c r="N357" i="9"/>
  <c r="J357" i="9"/>
  <c r="O198" i="9"/>
  <c r="N198" i="9"/>
  <c r="J198" i="9"/>
  <c r="O492" i="9"/>
  <c r="N492" i="9"/>
  <c r="J492" i="9"/>
  <c r="O300" i="9"/>
  <c r="N300" i="9"/>
  <c r="J300" i="9"/>
  <c r="O299" i="9"/>
  <c r="N299" i="9"/>
  <c r="J299" i="9"/>
  <c r="O148" i="9"/>
  <c r="N148" i="9"/>
  <c r="J148" i="9"/>
  <c r="O434" i="9"/>
  <c r="N434" i="9"/>
  <c r="J434" i="9"/>
  <c r="O231" i="9"/>
  <c r="N231" i="9"/>
  <c r="J231" i="9"/>
  <c r="O335" i="9"/>
  <c r="N335" i="9"/>
  <c r="J335" i="9"/>
  <c r="N211" i="9"/>
  <c r="O211" i="9"/>
  <c r="J211" i="9"/>
  <c r="O306" i="9"/>
  <c r="N306" i="9"/>
  <c r="J306" i="9"/>
  <c r="O167" i="9"/>
  <c r="N167" i="9"/>
  <c r="J167" i="9"/>
  <c r="S449" i="9"/>
  <c r="R449" i="9" s="1"/>
  <c r="O449" i="9"/>
  <c r="N449" i="9"/>
  <c r="J449" i="9"/>
  <c r="O305" i="9"/>
  <c r="N305" i="9"/>
  <c r="J305" i="9"/>
  <c r="O202" i="9"/>
  <c r="N202" i="9"/>
  <c r="J202" i="9"/>
  <c r="O57" i="9"/>
  <c r="N57" i="9"/>
  <c r="J57" i="9"/>
  <c r="S410" i="9"/>
  <c r="A410" i="9" s="1"/>
  <c r="O410" i="9"/>
  <c r="N410" i="9"/>
  <c r="J410" i="9"/>
  <c r="O226" i="9"/>
  <c r="N226" i="9"/>
  <c r="J226" i="9"/>
  <c r="O72" i="9"/>
  <c r="N72" i="9"/>
  <c r="J72" i="9"/>
  <c r="O175" i="9"/>
  <c r="N175" i="9"/>
  <c r="J175" i="9"/>
  <c r="O484" i="9"/>
  <c r="N484" i="9"/>
  <c r="J484" i="9"/>
  <c r="O152" i="9"/>
  <c r="N152" i="9"/>
  <c r="J152" i="9"/>
  <c r="O143" i="9"/>
  <c r="N143" i="9"/>
  <c r="J143" i="9"/>
  <c r="O75" i="9"/>
  <c r="N75" i="9"/>
  <c r="J75" i="9"/>
  <c r="O423" i="9"/>
  <c r="N423" i="9"/>
  <c r="J423" i="9"/>
  <c r="O158" i="9"/>
  <c r="N158" i="9"/>
  <c r="J158" i="9"/>
  <c r="O414" i="9"/>
  <c r="N414" i="9"/>
  <c r="J414" i="9"/>
  <c r="O373" i="9"/>
  <c r="N373" i="9"/>
  <c r="J373" i="9"/>
  <c r="O438" i="9"/>
  <c r="N438" i="9"/>
  <c r="J438" i="9"/>
  <c r="O131" i="9"/>
  <c r="N131" i="9"/>
  <c r="J131" i="9"/>
  <c r="O391" i="9"/>
  <c r="N391" i="9"/>
  <c r="J391" i="9"/>
  <c r="O370" i="9"/>
  <c r="N370" i="9"/>
  <c r="J370" i="9"/>
  <c r="O248" i="9"/>
  <c r="N248" i="9"/>
  <c r="J248" i="9"/>
  <c r="O166" i="9"/>
  <c r="N166" i="9"/>
  <c r="J166" i="9"/>
  <c r="O451" i="9"/>
  <c r="N451" i="9"/>
  <c r="J451" i="9"/>
  <c r="O109" i="9"/>
  <c r="N109" i="9"/>
  <c r="J109" i="9"/>
  <c r="O455" i="9"/>
  <c r="N455" i="9"/>
  <c r="J455" i="9"/>
  <c r="O285" i="9"/>
  <c r="N285" i="9"/>
  <c r="J285" i="9"/>
  <c r="N151" i="9"/>
  <c r="O151" i="9"/>
  <c r="J151" i="9"/>
  <c r="O101" i="9"/>
  <c r="N101" i="9"/>
  <c r="J101" i="9"/>
  <c r="O239" i="9"/>
  <c r="N239" i="9"/>
  <c r="J239" i="9"/>
  <c r="O456" i="9"/>
  <c r="N456" i="9"/>
  <c r="J456" i="9"/>
  <c r="O395" i="9"/>
  <c r="N395" i="9"/>
  <c r="J395" i="9"/>
  <c r="O385" i="9"/>
  <c r="N385" i="9"/>
  <c r="J385" i="9"/>
  <c r="O462" i="9"/>
  <c r="N462" i="9"/>
  <c r="J462" i="9"/>
  <c r="O107" i="9"/>
  <c r="N107" i="9"/>
  <c r="J107" i="9"/>
  <c r="O377" i="9"/>
  <c r="N377" i="9"/>
  <c r="J377" i="9"/>
  <c r="O448" i="9"/>
  <c r="N448" i="9"/>
  <c r="J448" i="9"/>
  <c r="O286" i="9"/>
  <c r="N286" i="9"/>
  <c r="J286" i="9"/>
  <c r="O349" i="9"/>
  <c r="N349" i="9"/>
  <c r="J349" i="9"/>
  <c r="O371" i="9"/>
  <c r="N371" i="9"/>
  <c r="J371" i="9"/>
  <c r="O97" i="9"/>
  <c r="N97" i="9"/>
  <c r="J97" i="9"/>
  <c r="O466" i="9"/>
  <c r="N466" i="9"/>
  <c r="J466" i="9"/>
  <c r="O487" i="9"/>
  <c r="N487" i="9"/>
  <c r="J487" i="9"/>
  <c r="O485" i="9"/>
  <c r="N485" i="9"/>
  <c r="J485" i="9"/>
  <c r="O132" i="9"/>
  <c r="N132" i="9"/>
  <c r="J132" i="9"/>
  <c r="O218" i="9"/>
  <c r="N218" i="9"/>
  <c r="J218" i="9"/>
  <c r="N427" i="9"/>
  <c r="O427" i="9"/>
  <c r="J427" i="9"/>
  <c r="S130" i="9"/>
  <c r="A130" i="9" s="1"/>
  <c r="O130" i="9"/>
  <c r="N130" i="9"/>
  <c r="J130" i="9"/>
  <c r="O316" i="9"/>
  <c r="N316" i="9"/>
  <c r="J316" i="9"/>
  <c r="O428" i="9"/>
  <c r="N428" i="9"/>
  <c r="J428" i="9"/>
  <c r="O348" i="9"/>
  <c r="N348" i="9"/>
  <c r="J348" i="9"/>
  <c r="O483" i="9"/>
  <c r="J483" i="9"/>
  <c r="N483" i="9"/>
  <c r="O491" i="9"/>
  <c r="N491" i="9"/>
  <c r="J491" i="9"/>
  <c r="S139" i="9"/>
  <c r="R139" i="9" s="1"/>
  <c r="N139" i="9"/>
  <c r="O139" i="9"/>
  <c r="J139" i="9"/>
  <c r="O425" i="9"/>
  <c r="N425" i="9"/>
  <c r="J425" i="9"/>
  <c r="O490" i="9"/>
  <c r="N490" i="9"/>
  <c r="J490" i="9"/>
  <c r="O327" i="9"/>
  <c r="J327" i="9"/>
  <c r="N327" i="9"/>
  <c r="O201" i="9"/>
  <c r="N201" i="9"/>
  <c r="J201" i="9"/>
  <c r="O296" i="9"/>
  <c r="N296" i="9"/>
  <c r="J296" i="9"/>
  <c r="O146" i="9"/>
  <c r="N146" i="9"/>
  <c r="J146" i="9"/>
  <c r="S411" i="9"/>
  <c r="R411" i="9" s="1"/>
  <c r="O411" i="9"/>
  <c r="N411" i="9"/>
  <c r="J411" i="9"/>
  <c r="O298" i="9"/>
  <c r="N298" i="9"/>
  <c r="J298" i="9"/>
  <c r="O195" i="9"/>
  <c r="N195" i="9"/>
  <c r="J195" i="9"/>
  <c r="S403" i="9"/>
  <c r="R403" i="9" s="1"/>
  <c r="N403" i="9"/>
  <c r="O403" i="9"/>
  <c r="J403" i="9"/>
  <c r="O65" i="9"/>
  <c r="N65" i="9"/>
  <c r="J65" i="9"/>
  <c r="O342" i="9"/>
  <c r="N342" i="9"/>
  <c r="J342" i="9"/>
  <c r="O325" i="9"/>
  <c r="N325" i="9"/>
  <c r="J325" i="9"/>
  <c r="O269" i="9"/>
  <c r="N269" i="9"/>
  <c r="J269" i="9"/>
  <c r="O341" i="9"/>
  <c r="N341" i="9"/>
  <c r="J341" i="9"/>
  <c r="O467" i="9"/>
  <c r="J467" i="9"/>
  <c r="N467" i="9"/>
  <c r="N115" i="9"/>
  <c r="O115" i="9"/>
  <c r="J115" i="9"/>
  <c r="O219" i="9"/>
  <c r="N219" i="9"/>
  <c r="J219" i="9"/>
  <c r="O199" i="9"/>
  <c r="N199" i="9"/>
  <c r="J199" i="9"/>
  <c r="O243" i="9"/>
  <c r="N243" i="9"/>
  <c r="J243" i="9"/>
  <c r="O108" i="9"/>
  <c r="N108" i="9"/>
  <c r="J108" i="9"/>
  <c r="O58" i="9"/>
  <c r="N58" i="9"/>
  <c r="J58" i="9"/>
  <c r="O87" i="9"/>
  <c r="N87" i="9"/>
  <c r="J87" i="9"/>
  <c r="O238" i="9"/>
  <c r="N238" i="9"/>
  <c r="J238" i="9"/>
  <c r="S254" i="9"/>
  <c r="R254" i="9" s="1"/>
  <c r="O254" i="9"/>
  <c r="N254" i="9"/>
  <c r="J254" i="9"/>
  <c r="O321" i="9"/>
  <c r="N321" i="9"/>
  <c r="J321" i="9"/>
  <c r="O362" i="9"/>
  <c r="N362" i="9"/>
  <c r="J362" i="9"/>
  <c r="S486" i="9"/>
  <c r="B486" i="9" s="1"/>
  <c r="O486" i="9"/>
  <c r="N486" i="9"/>
  <c r="J486" i="9"/>
  <c r="O332" i="9"/>
  <c r="N332" i="9"/>
  <c r="J332" i="9"/>
  <c r="O172" i="9"/>
  <c r="N172" i="9"/>
  <c r="J172" i="9"/>
  <c r="O474" i="9"/>
  <c r="N474" i="9"/>
  <c r="J474" i="9"/>
  <c r="O263" i="9"/>
  <c r="N263" i="9"/>
  <c r="J263" i="9"/>
  <c r="S472" i="9"/>
  <c r="R472" i="9" s="1"/>
  <c r="O472" i="9"/>
  <c r="N472" i="9"/>
  <c r="J472" i="9"/>
  <c r="O281" i="9"/>
  <c r="N281" i="9"/>
  <c r="J281" i="9"/>
  <c r="S121" i="9"/>
  <c r="A121" i="9" s="1"/>
  <c r="O121" i="9"/>
  <c r="N121" i="9"/>
  <c r="J121" i="9"/>
  <c r="O407" i="9"/>
  <c r="N407" i="9"/>
  <c r="J407" i="9"/>
  <c r="O193" i="9"/>
  <c r="N193" i="9"/>
  <c r="J193" i="9"/>
  <c r="O470" i="9"/>
  <c r="N470" i="9"/>
  <c r="J470" i="9"/>
  <c r="O317" i="9"/>
  <c r="N317" i="9"/>
  <c r="J317" i="9"/>
  <c r="O177" i="9"/>
  <c r="N177" i="9"/>
  <c r="J177" i="9"/>
  <c r="S442" i="9"/>
  <c r="B442" i="9" s="1"/>
  <c r="O442" i="9"/>
  <c r="N442" i="9"/>
  <c r="J442" i="9"/>
  <c r="O287" i="9"/>
  <c r="N287" i="9"/>
  <c r="J287" i="9"/>
  <c r="O110" i="9"/>
  <c r="N110" i="9"/>
  <c r="J110" i="9"/>
  <c r="S404" i="9"/>
  <c r="R404" i="9" s="1"/>
  <c r="O404" i="9"/>
  <c r="N404" i="9"/>
  <c r="J404" i="9"/>
  <c r="O290" i="9"/>
  <c r="N290" i="9"/>
  <c r="J290" i="9"/>
  <c r="S188" i="9"/>
  <c r="B188" i="9" s="1"/>
  <c r="O188" i="9"/>
  <c r="N188" i="9"/>
  <c r="J188" i="9"/>
  <c r="S380" i="9"/>
  <c r="B380" i="9" s="1"/>
  <c r="O380" i="9"/>
  <c r="N380" i="9"/>
  <c r="J380" i="9"/>
  <c r="S194" i="9"/>
  <c r="R194" i="9" s="1"/>
  <c r="O194" i="9"/>
  <c r="N194" i="9"/>
  <c r="J194" i="9"/>
  <c r="O56" i="9"/>
  <c r="N56" i="9"/>
  <c r="J56" i="9"/>
  <c r="O458" i="9"/>
  <c r="N458" i="9"/>
  <c r="J458" i="9"/>
  <c r="O127" i="9"/>
  <c r="N127" i="9"/>
  <c r="J127" i="9"/>
  <c r="O436" i="9"/>
  <c r="N436" i="9"/>
  <c r="J436" i="9"/>
  <c r="O452" i="9"/>
  <c r="N452" i="9"/>
  <c r="J452" i="9"/>
  <c r="O268" i="9"/>
  <c r="N268" i="9"/>
  <c r="J268" i="9"/>
  <c r="O374" i="9"/>
  <c r="N374" i="9"/>
  <c r="J374" i="9"/>
  <c r="O392" i="9"/>
  <c r="N392" i="9"/>
  <c r="J392" i="9"/>
  <c r="O291" i="9"/>
  <c r="N291" i="9"/>
  <c r="J291" i="9"/>
  <c r="O416" i="9"/>
  <c r="N416" i="9"/>
  <c r="J416" i="9"/>
  <c r="O129" i="9"/>
  <c r="N129" i="9"/>
  <c r="J129" i="9"/>
  <c r="O406" i="9"/>
  <c r="N406" i="9"/>
  <c r="J406" i="9"/>
  <c r="O381" i="9"/>
  <c r="N381" i="9"/>
  <c r="J381" i="9"/>
  <c r="O464" i="9"/>
  <c r="N464" i="9"/>
  <c r="J464" i="9"/>
  <c r="O356" i="9"/>
  <c r="N356" i="9"/>
  <c r="J356" i="9"/>
  <c r="O367" i="9"/>
  <c r="N367" i="9"/>
  <c r="J367" i="9"/>
  <c r="O162" i="9"/>
  <c r="N162" i="9"/>
  <c r="J162" i="9"/>
  <c r="O116" i="9"/>
  <c r="N116" i="9"/>
  <c r="J116" i="9"/>
  <c r="O138" i="9"/>
  <c r="N138" i="9"/>
  <c r="J138" i="9"/>
  <c r="O366" i="9"/>
  <c r="N366" i="9"/>
  <c r="J366" i="9"/>
  <c r="O149" i="9"/>
  <c r="N149" i="9"/>
  <c r="J149" i="9"/>
  <c r="O207" i="9"/>
  <c r="N207" i="9"/>
  <c r="J207" i="9"/>
  <c r="O171" i="9"/>
  <c r="N171" i="9"/>
  <c r="J171" i="9"/>
  <c r="O319" i="9"/>
  <c r="N319" i="9"/>
  <c r="J319" i="9"/>
  <c r="N355" i="9"/>
  <c r="O355" i="9"/>
  <c r="J355" i="9"/>
  <c r="O93" i="9"/>
  <c r="N93" i="9"/>
  <c r="J93" i="9"/>
  <c r="O220" i="9"/>
  <c r="N220" i="9"/>
  <c r="J220" i="9"/>
  <c r="O141" i="9"/>
  <c r="N141" i="9"/>
  <c r="J141" i="9"/>
  <c r="O155" i="9"/>
  <c r="N155" i="9"/>
  <c r="J155" i="9"/>
  <c r="O313" i="9"/>
  <c r="N313" i="9"/>
  <c r="J313" i="9"/>
  <c r="O412" i="9"/>
  <c r="N412" i="9"/>
  <c r="J412" i="9"/>
  <c r="O118" i="9"/>
  <c r="N118" i="9"/>
  <c r="J118" i="9"/>
  <c r="O394" i="9"/>
  <c r="N394" i="9"/>
  <c r="J394" i="9"/>
  <c r="O258" i="9"/>
  <c r="J258" i="9"/>
  <c r="N258" i="9"/>
  <c r="O125" i="9"/>
  <c r="N125" i="9"/>
  <c r="J125" i="9"/>
  <c r="O124" i="9"/>
  <c r="N124" i="9"/>
  <c r="J124" i="9"/>
  <c r="O274" i="9"/>
  <c r="N274" i="9"/>
  <c r="J274" i="9"/>
  <c r="O382" i="9"/>
  <c r="N382" i="9"/>
  <c r="J382" i="9"/>
  <c r="O190" i="9"/>
  <c r="N190" i="9"/>
  <c r="J190" i="9"/>
  <c r="O282" i="9"/>
  <c r="N282" i="9"/>
  <c r="J282" i="9"/>
  <c r="O289" i="9"/>
  <c r="N289" i="9"/>
  <c r="J289" i="9"/>
  <c r="O222" i="9"/>
  <c r="N222" i="9"/>
  <c r="J222" i="9"/>
  <c r="O479" i="9"/>
  <c r="N479" i="9"/>
  <c r="J479" i="9"/>
  <c r="O216" i="9"/>
  <c r="N216" i="9"/>
  <c r="J216" i="9"/>
  <c r="S209" i="9"/>
  <c r="R209" i="9" s="1"/>
  <c r="O209" i="9"/>
  <c r="N209" i="9"/>
  <c r="J209" i="9"/>
  <c r="S396" i="9"/>
  <c r="A396" i="9" s="1"/>
  <c r="O396" i="9"/>
  <c r="N396" i="9"/>
  <c r="J396" i="9"/>
  <c r="O156" i="9"/>
  <c r="N156" i="9"/>
  <c r="J156" i="9"/>
  <c r="S324" i="9"/>
  <c r="A324" i="9" s="1"/>
  <c r="O324" i="9"/>
  <c r="N324" i="9"/>
  <c r="J324" i="9"/>
  <c r="N429" i="9"/>
  <c r="O429" i="9"/>
  <c r="J429" i="9"/>
  <c r="O78" i="9"/>
  <c r="N78" i="9"/>
  <c r="J78" i="9"/>
  <c r="S183" i="9"/>
  <c r="A183" i="9" s="1"/>
  <c r="O183" i="9"/>
  <c r="N183" i="9"/>
  <c r="J183" i="9"/>
  <c r="S94" i="9"/>
  <c r="A94" i="9" s="1"/>
  <c r="O94" i="9"/>
  <c r="N94" i="9"/>
  <c r="J94" i="9"/>
  <c r="S89" i="9"/>
  <c r="A89" i="9" s="1"/>
  <c r="O89" i="9"/>
  <c r="N89" i="9"/>
  <c r="J89" i="9"/>
  <c r="S494" i="9"/>
  <c r="B494" i="9" s="1"/>
  <c r="O494" i="9"/>
  <c r="N494" i="9"/>
  <c r="J494" i="9"/>
  <c r="N145" i="9"/>
  <c r="O145" i="9"/>
  <c r="J145" i="9"/>
  <c r="S235" i="9"/>
  <c r="A235" i="9" s="1"/>
  <c r="N235" i="9"/>
  <c r="O235" i="9"/>
  <c r="J235" i="9"/>
  <c r="S189" i="9"/>
  <c r="B189" i="9" s="1"/>
  <c r="O189" i="9"/>
  <c r="N189" i="9"/>
  <c r="J189" i="9"/>
  <c r="O346" i="9"/>
  <c r="N346" i="9"/>
  <c r="J346" i="9"/>
  <c r="O476" i="9"/>
  <c r="N476" i="9"/>
  <c r="J476" i="9"/>
  <c r="S323" i="9"/>
  <c r="A323" i="9" s="1"/>
  <c r="O323" i="9"/>
  <c r="N323" i="9"/>
  <c r="J323" i="9"/>
  <c r="S154" i="9"/>
  <c r="B154" i="9" s="1"/>
  <c r="O154" i="9"/>
  <c r="N154" i="9"/>
  <c r="J154" i="9"/>
  <c r="S463" i="9"/>
  <c r="B463" i="9" s="1"/>
  <c r="O463" i="9"/>
  <c r="N463" i="9"/>
  <c r="J463" i="9"/>
  <c r="S179" i="9"/>
  <c r="R179" i="9" s="1"/>
  <c r="O179" i="9"/>
  <c r="N179" i="9"/>
  <c r="J179" i="9"/>
  <c r="S461" i="9"/>
  <c r="R461" i="9" s="1"/>
  <c r="O461" i="9"/>
  <c r="N461" i="9"/>
  <c r="J461" i="9"/>
  <c r="S272" i="9"/>
  <c r="R272" i="9" s="1"/>
  <c r="O272" i="9"/>
  <c r="N272" i="9"/>
  <c r="J272" i="9"/>
  <c r="S113" i="9"/>
  <c r="R113" i="9" s="1"/>
  <c r="O113" i="9"/>
  <c r="N113" i="9"/>
  <c r="J113" i="9"/>
  <c r="S399" i="9"/>
  <c r="A399" i="9" s="1"/>
  <c r="O399" i="9"/>
  <c r="N399" i="9"/>
  <c r="J399" i="9"/>
  <c r="S185" i="9"/>
  <c r="A185" i="9" s="1"/>
  <c r="O185" i="9"/>
  <c r="N185" i="9"/>
  <c r="J185" i="9"/>
  <c r="S460" i="9"/>
  <c r="B460" i="9" s="1"/>
  <c r="O460" i="9"/>
  <c r="N460" i="9"/>
  <c r="J460" i="9"/>
  <c r="S307" i="9"/>
  <c r="B307" i="9" s="1"/>
  <c r="N307" i="9"/>
  <c r="O307" i="9"/>
  <c r="J307" i="9"/>
  <c r="O168" i="9"/>
  <c r="N168" i="9"/>
  <c r="J168" i="9"/>
  <c r="S432" i="9"/>
  <c r="B432" i="9" s="1"/>
  <c r="O432" i="9"/>
  <c r="N432" i="9"/>
  <c r="J432" i="9"/>
  <c r="O278" i="9"/>
  <c r="N278" i="9"/>
  <c r="J278" i="9"/>
  <c r="S100" i="9"/>
  <c r="R100" i="9" s="1"/>
  <c r="O100" i="9"/>
  <c r="N100" i="9"/>
  <c r="J100" i="9"/>
  <c r="S397" i="9"/>
  <c r="B397" i="9" s="1"/>
  <c r="O397" i="9"/>
  <c r="N397" i="9"/>
  <c r="J397" i="9"/>
  <c r="S283" i="9"/>
  <c r="A283" i="9" s="1"/>
  <c r="N283" i="9"/>
  <c r="O283" i="9"/>
  <c r="J283" i="9"/>
  <c r="S181" i="9"/>
  <c r="R181" i="9" s="1"/>
  <c r="O181" i="9"/>
  <c r="N181" i="9"/>
  <c r="J181" i="9"/>
  <c r="S488" i="9"/>
  <c r="R488" i="9" s="1"/>
  <c r="O488" i="9"/>
  <c r="N488" i="9"/>
  <c r="J488" i="9"/>
  <c r="S372" i="9"/>
  <c r="A372" i="9" s="1"/>
  <c r="O372" i="9"/>
  <c r="N372" i="9"/>
  <c r="J372" i="9"/>
  <c r="S187" i="9"/>
  <c r="B187" i="9" s="1"/>
  <c r="N187" i="9"/>
  <c r="O187" i="9"/>
  <c r="J187" i="9"/>
  <c r="S303" i="9"/>
  <c r="A303" i="9" s="1"/>
  <c r="S477" i="9"/>
  <c r="R477" i="9" s="1"/>
  <c r="S152" i="9"/>
  <c r="B152" i="9" s="1"/>
  <c r="S170" i="9"/>
  <c r="B170" i="9" s="1"/>
  <c r="S452" i="9"/>
  <c r="R452" i="9" s="1"/>
  <c r="S158" i="9"/>
  <c r="A158" i="9" s="1"/>
  <c r="S414" i="9"/>
  <c r="A414" i="9" s="1"/>
  <c r="S421" i="9"/>
  <c r="B421" i="9" s="1"/>
  <c r="S224" i="9"/>
  <c r="B224" i="9" s="1"/>
  <c r="S291" i="9"/>
  <c r="R291" i="9" s="1"/>
  <c r="S416" i="9"/>
  <c r="B416" i="9" s="1"/>
  <c r="S279" i="9"/>
  <c r="S259" i="9"/>
  <c r="A259" i="9" s="1"/>
  <c r="S356" i="9"/>
  <c r="A356" i="9" s="1"/>
  <c r="S264" i="9"/>
  <c r="B264" i="9" s="1"/>
  <c r="S273" i="9"/>
  <c r="S151" i="9"/>
  <c r="R151" i="9" s="1"/>
  <c r="S415" i="9"/>
  <c r="S126" i="9"/>
  <c r="B126" i="9" s="1"/>
  <c r="S469" i="9"/>
  <c r="B469" i="9" s="1"/>
  <c r="S333" i="9"/>
  <c r="A333" i="9" s="1"/>
  <c r="S319" i="9"/>
  <c r="S355" i="9"/>
  <c r="B355" i="9" s="1"/>
  <c r="S93" i="9"/>
  <c r="S220" i="9"/>
  <c r="B220" i="9" s="1"/>
  <c r="S448" i="9"/>
  <c r="B448" i="9" s="1"/>
  <c r="S408" i="9"/>
  <c r="A408" i="9" s="1"/>
  <c r="S371" i="9"/>
  <c r="R371" i="9" s="1"/>
  <c r="S412" i="9"/>
  <c r="R412" i="9" s="1"/>
  <c r="S481" i="9"/>
  <c r="S120" i="9"/>
  <c r="R120" i="9" s="1"/>
  <c r="S344" i="9"/>
  <c r="R344" i="9" s="1"/>
  <c r="S445" i="9"/>
  <c r="R445" i="9" s="1"/>
  <c r="S106" i="9"/>
  <c r="S79" i="9"/>
  <c r="A79" i="9" s="1"/>
  <c r="S178" i="9"/>
  <c r="S74" i="9"/>
  <c r="A74" i="9" s="1"/>
  <c r="S192" i="9"/>
  <c r="A192" i="9" s="1"/>
  <c r="S103" i="9"/>
  <c r="A103" i="9" s="1"/>
  <c r="S99" i="9"/>
  <c r="S468" i="9"/>
  <c r="R468" i="9" s="1"/>
  <c r="S117" i="9"/>
  <c r="A117" i="9" s="1"/>
  <c r="S265" i="9"/>
  <c r="A265" i="9" s="1"/>
  <c r="S459" i="9"/>
  <c r="A459" i="9" s="1"/>
  <c r="S295" i="9"/>
  <c r="R295" i="9" s="1"/>
  <c r="S409" i="9"/>
  <c r="B409" i="9" s="1"/>
  <c r="S237" i="9"/>
  <c r="R237" i="9" s="1"/>
  <c r="S390" i="9"/>
  <c r="S255" i="9"/>
  <c r="R255" i="9" s="1"/>
  <c r="S478" i="9"/>
  <c r="B478" i="9" s="1"/>
  <c r="S383" i="9"/>
  <c r="B383" i="9" s="1"/>
  <c r="S86" i="9"/>
  <c r="R86" i="9" s="1"/>
  <c r="S454" i="9"/>
  <c r="B454" i="9" s="1"/>
  <c r="S196" i="9"/>
  <c r="S384" i="9"/>
  <c r="A384" i="9" s="1"/>
  <c r="S215" i="9"/>
  <c r="B215" i="9" s="1"/>
  <c r="S70" i="9"/>
  <c r="B70" i="9" s="1"/>
  <c r="S320" i="9"/>
  <c r="S105" i="9"/>
  <c r="B105" i="9" s="1"/>
  <c r="S318" i="9"/>
  <c r="S169" i="9"/>
  <c r="B169" i="9" s="1"/>
  <c r="S453" i="9"/>
  <c r="A453" i="9" s="1"/>
  <c r="S280" i="9"/>
  <c r="R280" i="9" s="1"/>
  <c r="S353" i="9"/>
  <c r="B353" i="9" s="1"/>
  <c r="S230" i="9"/>
  <c r="A230" i="9" s="1"/>
  <c r="S92" i="9"/>
  <c r="S352" i="9"/>
  <c r="A352" i="9" s="1"/>
  <c r="S184" i="9"/>
  <c r="R184" i="9" s="1"/>
  <c r="S473" i="9"/>
  <c r="B473" i="9" s="1"/>
  <c r="S330" i="9"/>
  <c r="S217" i="9"/>
  <c r="A217" i="9" s="1"/>
  <c r="S88" i="9"/>
  <c r="S426" i="9"/>
  <c r="B426" i="9" s="1"/>
  <c r="S250" i="9"/>
  <c r="R250" i="9" s="1"/>
  <c r="S95" i="9"/>
  <c r="R95" i="9" s="1"/>
  <c r="S98" i="9"/>
  <c r="R98" i="9" s="1"/>
  <c r="S484" i="9"/>
  <c r="A484" i="9" s="1"/>
  <c r="S127" i="9"/>
  <c r="S143" i="9"/>
  <c r="B143" i="9" s="1"/>
  <c r="S379" i="9"/>
  <c r="A379" i="9" s="1"/>
  <c r="S423" i="9"/>
  <c r="S268" i="9"/>
  <c r="R268" i="9" s="1"/>
  <c r="S266" i="9"/>
  <c r="B266" i="9" s="1"/>
  <c r="S392" i="9"/>
  <c r="S446" i="9"/>
  <c r="A446" i="9" s="1"/>
  <c r="S129" i="9"/>
  <c r="A129" i="9" s="1"/>
  <c r="S73" i="9"/>
  <c r="B73" i="9" s="1"/>
  <c r="S358" i="9"/>
  <c r="S451" i="9"/>
  <c r="A451" i="9" s="1"/>
  <c r="S367" i="9"/>
  <c r="S444" i="9"/>
  <c r="R444" i="9" s="1"/>
  <c r="S270" i="9"/>
  <c r="A270" i="9" s="1"/>
  <c r="S366" i="9"/>
  <c r="R366" i="9" s="1"/>
  <c r="S207" i="9"/>
  <c r="A207" i="9" s="1"/>
  <c r="S171" i="9"/>
  <c r="B171" i="9" s="1"/>
  <c r="S253" i="9"/>
  <c r="S140" i="9"/>
  <c r="R140" i="9" s="1"/>
  <c r="S322" i="9"/>
  <c r="R322" i="9" s="1"/>
  <c r="S286" i="9"/>
  <c r="S349" i="9"/>
  <c r="S312" i="9"/>
  <c r="B312" i="9" s="1"/>
  <c r="S232" i="9"/>
  <c r="S336" i="9"/>
  <c r="R336" i="9" s="1"/>
  <c r="S387" i="9"/>
  <c r="R387" i="9" s="1"/>
  <c r="S234" i="9"/>
  <c r="B234" i="9" s="1"/>
  <c r="S482" i="9"/>
  <c r="S213" i="9"/>
  <c r="B213" i="9" s="1"/>
  <c r="S328" i="9"/>
  <c r="S111" i="9"/>
  <c r="R111" i="9" s="1"/>
  <c r="S267" i="9"/>
  <c r="B267" i="9" s="1"/>
  <c r="S191" i="9"/>
  <c r="A191" i="9" s="1"/>
  <c r="S450" i="9"/>
  <c r="B450" i="9" s="1"/>
  <c r="S447" i="9"/>
  <c r="R447" i="9" s="1"/>
  <c r="S80" i="9"/>
  <c r="S225" i="9"/>
  <c r="B225" i="9" s="1"/>
  <c r="S422" i="9"/>
  <c r="A422" i="9" s="1"/>
  <c r="S277" i="9"/>
  <c r="B277" i="9" s="1"/>
  <c r="S205" i="9"/>
  <c r="S182" i="9"/>
  <c r="R182" i="9" s="1"/>
  <c r="S223" i="9"/>
  <c r="S180" i="9"/>
  <c r="B180" i="9" s="1"/>
  <c r="S440" i="9"/>
  <c r="B440" i="9" s="1"/>
  <c r="S347" i="9"/>
  <c r="R347" i="9" s="1"/>
  <c r="S69" i="9"/>
  <c r="A69" i="9" s="1"/>
  <c r="S417" i="9"/>
  <c r="R417" i="9" s="1"/>
  <c r="S104" i="9"/>
  <c r="S375" i="9"/>
  <c r="R375" i="9" s="1"/>
  <c r="S206" i="9"/>
  <c r="R206" i="9" s="1"/>
  <c r="S311" i="9"/>
  <c r="B311" i="9" s="1"/>
  <c r="S68" i="9"/>
  <c r="A68" i="9" s="1"/>
  <c r="S309" i="9"/>
  <c r="B309" i="9" s="1"/>
  <c r="S160" i="9"/>
  <c r="A160" i="9" s="1"/>
  <c r="S443" i="9"/>
  <c r="A443" i="9" s="1"/>
  <c r="S271" i="9"/>
  <c r="A271" i="9" s="1"/>
  <c r="S343" i="9"/>
  <c r="S221" i="9"/>
  <c r="R221" i="9" s="1"/>
  <c r="S326" i="9"/>
  <c r="R326" i="9" s="1"/>
  <c r="S176" i="9"/>
  <c r="S465" i="9"/>
  <c r="A465" i="9" s="1"/>
  <c r="S314" i="9"/>
  <c r="B314" i="9" s="1"/>
  <c r="S210" i="9"/>
  <c r="B210" i="9" s="1"/>
  <c r="S418" i="9"/>
  <c r="S233" i="9"/>
  <c r="R233" i="9" s="1"/>
  <c r="S81" i="9"/>
  <c r="S137" i="9"/>
  <c r="B137" i="9" s="1"/>
  <c r="S165" i="9"/>
  <c r="B165" i="9" s="1"/>
  <c r="S214" i="9"/>
  <c r="R214" i="9" s="1"/>
  <c r="S436" i="9"/>
  <c r="S159" i="9"/>
  <c r="R159" i="9" s="1"/>
  <c r="S83" i="9"/>
  <c r="B83" i="9" s="1"/>
  <c r="S365" i="9"/>
  <c r="R365" i="9" s="1"/>
  <c r="S374" i="9"/>
  <c r="A374" i="9" s="1"/>
  <c r="S438" i="9"/>
  <c r="A438" i="9" s="1"/>
  <c r="S131" i="9"/>
  <c r="S161" i="9"/>
  <c r="A161" i="9" s="1"/>
  <c r="S424" i="9"/>
  <c r="S381" i="9"/>
  <c r="R381" i="9" s="1"/>
  <c r="S228" i="9"/>
  <c r="R228" i="9" s="1"/>
  <c r="S364" i="9"/>
  <c r="R364" i="9" s="1"/>
  <c r="S285" i="9"/>
  <c r="B285" i="9" s="1"/>
  <c r="S241" i="9"/>
  <c r="R241" i="9" s="1"/>
  <c r="S239" i="9"/>
  <c r="S149" i="9"/>
  <c r="R149" i="9" s="1"/>
  <c r="S395" i="9"/>
  <c r="R395" i="9" s="1"/>
  <c r="S90" i="9"/>
  <c r="A90" i="9" s="1"/>
  <c r="S437" i="9"/>
  <c r="R437" i="9" s="1"/>
  <c r="S107" i="9"/>
  <c r="R107" i="9" s="1"/>
  <c r="S212" i="9"/>
  <c r="B212" i="9" s="1"/>
  <c r="S398" i="9"/>
  <c r="A398" i="9" s="1"/>
  <c r="S351" i="9"/>
  <c r="A351" i="9" s="1"/>
  <c r="S376" i="9"/>
  <c r="S71" i="9"/>
  <c r="R71" i="9" s="1"/>
  <c r="S123" i="9"/>
  <c r="B123" i="9" s="1"/>
  <c r="S97" i="9"/>
  <c r="S203" i="9"/>
  <c r="R203" i="9" s="1"/>
  <c r="S249" i="9"/>
  <c r="B249" i="9" s="1"/>
  <c r="S441" i="9"/>
  <c r="A441" i="9" s="1"/>
  <c r="S229" i="9"/>
  <c r="S284" i="9"/>
  <c r="A284" i="9" s="1"/>
  <c r="S256" i="9"/>
  <c r="S401" i="9"/>
  <c r="R401" i="9" s="1"/>
  <c r="S236" i="9"/>
  <c r="A236" i="9" s="1"/>
  <c r="S471" i="9"/>
  <c r="R471" i="9" s="1"/>
  <c r="S240" i="9"/>
  <c r="A240" i="9" s="1"/>
  <c r="S489" i="9"/>
  <c r="A489" i="9" s="1"/>
  <c r="S227" i="9"/>
  <c r="S82" i="9"/>
  <c r="R82" i="9" s="1"/>
  <c r="S208" i="9"/>
  <c r="A208" i="9" s="1"/>
  <c r="S413" i="9"/>
  <c r="S153" i="9"/>
  <c r="B153" i="9" s="1"/>
  <c r="S334" i="9"/>
  <c r="B334" i="9" s="1"/>
  <c r="S257" i="9"/>
  <c r="S96" i="9"/>
  <c r="A96" i="9" s="1"/>
  <c r="S164" i="9"/>
  <c r="B164" i="9" s="1"/>
  <c r="S186" i="9"/>
  <c r="A186" i="9" s="1"/>
  <c r="S163" i="9"/>
  <c r="A163" i="9" s="1"/>
  <c r="S368" i="9"/>
  <c r="R368" i="9" s="1"/>
  <c r="S292" i="9"/>
  <c r="S400" i="9"/>
  <c r="B400" i="9" s="1"/>
  <c r="S85" i="9"/>
  <c r="B85" i="9" s="1"/>
  <c r="S357" i="9"/>
  <c r="B357" i="9" s="1"/>
  <c r="S198" i="9"/>
  <c r="S492" i="9"/>
  <c r="A492" i="9" s="1"/>
  <c r="S300" i="9"/>
  <c r="B300" i="9" s="1"/>
  <c r="S299" i="9"/>
  <c r="B299" i="9" s="1"/>
  <c r="S148" i="9"/>
  <c r="B148" i="9" s="1"/>
  <c r="S434" i="9"/>
  <c r="S231" i="9"/>
  <c r="A231" i="9" s="1"/>
  <c r="S335" i="9"/>
  <c r="A335" i="9" s="1"/>
  <c r="S211" i="9"/>
  <c r="S306" i="9"/>
  <c r="B306" i="9" s="1"/>
  <c r="S167" i="9"/>
  <c r="R167" i="9" s="1"/>
  <c r="S305" i="9"/>
  <c r="R305" i="9" s="1"/>
  <c r="S202" i="9"/>
  <c r="S226" i="9"/>
  <c r="A226" i="9" s="1"/>
  <c r="S72" i="9"/>
  <c r="S393" i="9"/>
  <c r="R393" i="9" s="1"/>
  <c r="S475" i="9"/>
  <c r="B475" i="9" s="1"/>
  <c r="S457" i="9"/>
  <c r="B457" i="9" s="1"/>
  <c r="S435" i="9"/>
  <c r="S157" i="9"/>
  <c r="B157" i="9" s="1"/>
  <c r="S173" i="9"/>
  <c r="S359" i="9"/>
  <c r="R359" i="9" s="1"/>
  <c r="S144" i="9"/>
  <c r="A144" i="9" s="1"/>
  <c r="S197" i="9"/>
  <c r="S391" i="9"/>
  <c r="S67" i="9"/>
  <c r="B67" i="9" s="1"/>
  <c r="S147" i="9"/>
  <c r="S464" i="9"/>
  <c r="B464" i="9" s="1"/>
  <c r="S244" i="9"/>
  <c r="R244" i="9" s="1"/>
  <c r="S77" i="9"/>
  <c r="A77" i="9" s="1"/>
  <c r="S430" i="9"/>
  <c r="S389" i="9"/>
  <c r="A389" i="9" s="1"/>
  <c r="S386" i="9"/>
  <c r="S350" i="9"/>
  <c r="B350" i="9" s="1"/>
  <c r="S247" i="9"/>
  <c r="A247" i="9" s="1"/>
  <c r="S340" i="9"/>
  <c r="A340" i="9" s="1"/>
  <c r="S462" i="9"/>
  <c r="R462" i="9" s="1"/>
  <c r="S276" i="9"/>
  <c r="B276" i="9" s="1"/>
  <c r="S345" i="9"/>
  <c r="S377" i="9"/>
  <c r="B377" i="9" s="1"/>
  <c r="S141" i="9"/>
  <c r="A141" i="9" s="1"/>
  <c r="S301" i="9"/>
  <c r="S419" i="9"/>
  <c r="S122" i="9"/>
  <c r="B122" i="9" s="1"/>
  <c r="S275" i="9"/>
  <c r="S135" i="9"/>
  <c r="R135" i="9" s="1"/>
  <c r="S293" i="9"/>
  <c r="R293" i="9" s="1"/>
  <c r="S402" i="9"/>
  <c r="R402" i="9" s="1"/>
  <c r="S114" i="9"/>
  <c r="S288" i="9"/>
  <c r="A288" i="9" s="1"/>
  <c r="S360" i="9"/>
  <c r="S337" i="9"/>
  <c r="B337" i="9" s="1"/>
  <c r="S433" i="9"/>
  <c r="R433" i="9" s="1"/>
  <c r="S466" i="9"/>
  <c r="R466" i="9" s="1"/>
  <c r="S118" i="9"/>
  <c r="S487" i="9"/>
  <c r="A487" i="9" s="1"/>
  <c r="S394" i="9"/>
  <c r="A394" i="9" s="1"/>
  <c r="S485" i="9"/>
  <c r="B485" i="9" s="1"/>
  <c r="S132" i="9"/>
  <c r="A132" i="9" s="1"/>
  <c r="S258" i="9"/>
  <c r="A258" i="9" s="1"/>
  <c r="S218" i="9"/>
  <c r="S427" i="9"/>
  <c r="A427" i="9" s="1"/>
  <c r="S125" i="9"/>
  <c r="S124" i="9"/>
  <c r="R124" i="9" s="1"/>
  <c r="S316" i="9"/>
  <c r="A316" i="9" s="1"/>
  <c r="S274" i="9"/>
  <c r="B274" i="9" s="1"/>
  <c r="S428" i="9"/>
  <c r="B428" i="9" s="1"/>
  <c r="S382" i="9"/>
  <c r="A382" i="9" s="1"/>
  <c r="S348" i="9"/>
  <c r="S190" i="9"/>
  <c r="A190" i="9" s="1"/>
  <c r="S483" i="9"/>
  <c r="R483" i="9" s="1"/>
  <c r="S282" i="9"/>
  <c r="B282" i="9" s="1"/>
  <c r="S491" i="9"/>
  <c r="B491" i="9" s="1"/>
  <c r="S289" i="9"/>
  <c r="R289" i="9" s="1"/>
  <c r="S425" i="9"/>
  <c r="S222" i="9"/>
  <c r="B222" i="9" s="1"/>
  <c r="S490" i="9"/>
  <c r="R490" i="9" s="1"/>
  <c r="S327" i="9"/>
  <c r="R327" i="9" s="1"/>
  <c r="S201" i="9"/>
  <c r="S479" i="9"/>
  <c r="B479" i="9" s="1"/>
  <c r="S296" i="9"/>
  <c r="S146" i="9"/>
  <c r="B146" i="9" s="1"/>
  <c r="S298" i="9"/>
  <c r="A298" i="9" s="1"/>
  <c r="S195" i="9"/>
  <c r="R195" i="9" s="1"/>
  <c r="S216" i="9"/>
  <c r="B216" i="9" s="1"/>
  <c r="S65" i="9"/>
  <c r="R65" i="9" s="1"/>
  <c r="S175" i="9"/>
  <c r="S458" i="9"/>
  <c r="B458" i="9" s="1"/>
  <c r="S339" i="9"/>
  <c r="A339" i="9" s="1"/>
  <c r="S302" i="9"/>
  <c r="R302" i="9" s="1"/>
  <c r="S75" i="9"/>
  <c r="R75" i="9" s="1"/>
  <c r="S297" i="9"/>
  <c r="A297" i="9" s="1"/>
  <c r="S388" i="9"/>
  <c r="R388" i="9" s="1"/>
  <c r="S136" i="9"/>
  <c r="A136" i="9" s="1"/>
  <c r="S439" i="9"/>
  <c r="R439" i="9" s="1"/>
  <c r="S134" i="9"/>
  <c r="B134" i="9" s="1"/>
  <c r="S370" i="9"/>
  <c r="S248" i="9"/>
  <c r="B248" i="9" s="1"/>
  <c r="S166" i="9"/>
  <c r="S304" i="9"/>
  <c r="B304" i="9" s="1"/>
  <c r="S405" i="9"/>
  <c r="A405" i="9" s="1"/>
  <c r="S455" i="9"/>
  <c r="B455" i="9" s="1"/>
  <c r="S116" i="9"/>
  <c r="S361" i="9"/>
  <c r="A361" i="9" s="1"/>
  <c r="S138" i="9"/>
  <c r="S251" i="9"/>
  <c r="B251" i="9" s="1"/>
  <c r="S331" i="9"/>
  <c r="R331" i="9" s="1"/>
  <c r="S420" i="9"/>
  <c r="A420" i="9" s="1"/>
  <c r="S354" i="9"/>
  <c r="R354" i="9" s="1"/>
  <c r="S128" i="9"/>
  <c r="B128" i="9" s="1"/>
  <c r="S119" i="9"/>
  <c r="A119" i="9" s="1"/>
  <c r="S246" i="9"/>
  <c r="A246" i="9" s="1"/>
  <c r="S245" i="9"/>
  <c r="B245" i="9" s="1"/>
  <c r="S308" i="9"/>
  <c r="S369" i="9"/>
  <c r="B369" i="9" s="1"/>
  <c r="S112" i="9"/>
  <c r="R112" i="9" s="1"/>
  <c r="S174" i="9"/>
  <c r="S315" i="9"/>
  <c r="R315" i="9" s="1"/>
  <c r="S204" i="9"/>
  <c r="R204" i="9" s="1"/>
  <c r="S91" i="9"/>
  <c r="A91" i="9" s="1"/>
  <c r="S329" i="9"/>
  <c r="S378" i="9"/>
  <c r="B378" i="9" s="1"/>
  <c r="S102" i="9"/>
  <c r="S342" i="9"/>
  <c r="R342" i="9" s="1"/>
  <c r="S325" i="9"/>
  <c r="A325" i="9" s="1"/>
  <c r="S269" i="9"/>
  <c r="R269" i="9" s="1"/>
  <c r="S341" i="9"/>
  <c r="A341" i="9" s="1"/>
  <c r="S467" i="9"/>
  <c r="A467" i="9" s="1"/>
  <c r="S115" i="9"/>
  <c r="A115" i="9" s="1"/>
  <c r="S219" i="9"/>
  <c r="R219" i="9" s="1"/>
  <c r="S199" i="9"/>
  <c r="R199" i="9" s="1"/>
  <c r="S243" i="9"/>
  <c r="B243" i="9" s="1"/>
  <c r="S108" i="9"/>
  <c r="S87" i="9"/>
  <c r="B87" i="9" s="1"/>
  <c r="S238" i="9"/>
  <c r="S321" i="9"/>
  <c r="B321" i="9" s="1"/>
  <c r="S362" i="9"/>
  <c r="R362" i="9" s="1"/>
  <c r="S332" i="9"/>
  <c r="R332" i="9" s="1"/>
  <c r="S172" i="9"/>
  <c r="A172" i="9" s="1"/>
  <c r="S474" i="9"/>
  <c r="A474" i="9" s="1"/>
  <c r="S263" i="9"/>
  <c r="S281" i="9"/>
  <c r="A281" i="9" s="1"/>
  <c r="S407" i="9"/>
  <c r="A407" i="9" s="1"/>
  <c r="S193" i="9"/>
  <c r="A193" i="9" s="1"/>
  <c r="S470" i="9"/>
  <c r="S317" i="9"/>
  <c r="A317" i="9" s="1"/>
  <c r="S177" i="9"/>
  <c r="A177" i="9" s="1"/>
  <c r="S287" i="9"/>
  <c r="R287" i="9" s="1"/>
  <c r="S110" i="9"/>
  <c r="B110" i="9" s="1"/>
  <c r="S290" i="9"/>
  <c r="S310" i="9"/>
  <c r="R310" i="9" s="1"/>
  <c r="S262" i="9"/>
  <c r="B262" i="9" s="1"/>
  <c r="S260" i="9"/>
  <c r="S480" i="9"/>
  <c r="R480" i="9" s="1"/>
  <c r="S373" i="9"/>
  <c r="B373" i="9" s="1"/>
  <c r="S493" i="9"/>
  <c r="B493" i="9" s="1"/>
  <c r="S294" i="9"/>
  <c r="R294" i="9" s="1"/>
  <c r="S252" i="9"/>
  <c r="R252" i="9" s="1"/>
  <c r="S406" i="9"/>
  <c r="S150" i="9"/>
  <c r="B150" i="9" s="1"/>
  <c r="S431" i="9"/>
  <c r="A431" i="9" s="1"/>
  <c r="S109" i="9"/>
  <c r="B109" i="9" s="1"/>
  <c r="S162" i="9"/>
  <c r="S363" i="9"/>
  <c r="R363" i="9" s="1"/>
  <c r="S101" i="9"/>
  <c r="S64" i="9"/>
  <c r="R64" i="9" s="1"/>
  <c r="S456" i="9"/>
  <c r="R456" i="9" s="1"/>
  <c r="S385" i="9"/>
  <c r="B385" i="9" s="1"/>
  <c r="S142" i="9"/>
  <c r="A142" i="9" s="1"/>
  <c r="S261" i="9"/>
  <c r="A261" i="9" s="1"/>
  <c r="S242" i="9"/>
  <c r="S155" i="9"/>
  <c r="R155" i="9" s="1"/>
  <c r="S313" i="9"/>
  <c r="A313" i="9" s="1"/>
  <c r="S76" i="9"/>
  <c r="A76" i="9" s="1"/>
  <c r="S338" i="9"/>
  <c r="S84" i="9"/>
  <c r="A84" i="9" s="1"/>
  <c r="S200" i="9"/>
  <c r="S133" i="9"/>
  <c r="A133" i="9" s="1"/>
  <c r="S156" i="9"/>
  <c r="A156" i="9" s="1"/>
  <c r="S429" i="9"/>
  <c r="B429" i="9" s="1"/>
  <c r="S78" i="9"/>
  <c r="B78" i="9" s="1"/>
  <c r="S145" i="9"/>
  <c r="A145" i="9" s="1"/>
  <c r="S346" i="9"/>
  <c r="R346" i="9" s="1"/>
  <c r="S476" i="9"/>
  <c r="A476" i="9" s="1"/>
  <c r="S168" i="9"/>
  <c r="A168" i="9" s="1"/>
  <c r="S278" i="9"/>
  <c r="R278" i="9" s="1"/>
  <c r="A143" i="9" l="1"/>
  <c r="R66" i="9"/>
  <c r="B219" i="9"/>
  <c r="A66" i="9"/>
  <c r="R432" i="9"/>
  <c r="R189" i="9"/>
  <c r="B89" i="9"/>
  <c r="B183" i="9"/>
  <c r="R183" i="9"/>
  <c r="R397" i="9"/>
  <c r="B204" i="9"/>
  <c r="A472" i="9"/>
  <c r="R89" i="9"/>
  <c r="R372" i="9"/>
  <c r="A344" i="9"/>
  <c r="A432" i="9"/>
  <c r="A146" i="9"/>
  <c r="R146" i="9"/>
  <c r="R143" i="9"/>
  <c r="B472" i="9"/>
  <c r="A209" i="9"/>
  <c r="R407" i="9"/>
  <c r="A188" i="9"/>
  <c r="B461" i="9"/>
  <c r="B179" i="9"/>
  <c r="B194" i="9"/>
  <c r="B209" i="9"/>
  <c r="A189" i="9"/>
  <c r="B411" i="9"/>
  <c r="B113" i="9"/>
  <c r="A461" i="9"/>
  <c r="A179" i="9"/>
  <c r="A194" i="9"/>
  <c r="A113" i="9"/>
  <c r="A126" i="9"/>
  <c r="R188" i="9"/>
  <c r="A404" i="9"/>
  <c r="R187" i="9"/>
  <c r="B465" i="9"/>
  <c r="R465" i="9"/>
  <c r="B185" i="9"/>
  <c r="R398" i="9"/>
  <c r="R180" i="9"/>
  <c r="R454" i="9"/>
  <c r="A377" i="9"/>
  <c r="B140" i="9"/>
  <c r="A140" i="9"/>
  <c r="A460" i="9"/>
  <c r="R442" i="9"/>
  <c r="B324" i="9"/>
  <c r="R460" i="9"/>
  <c r="R324" i="9"/>
  <c r="R351" i="9"/>
  <c r="A426" i="9"/>
  <c r="A272" i="9"/>
  <c r="B129" i="9"/>
  <c r="B272" i="9"/>
  <c r="R129" i="9"/>
  <c r="A100" i="9"/>
  <c r="R94" i="9"/>
  <c r="A486" i="9"/>
  <c r="B94" i="9"/>
  <c r="R486" i="9"/>
  <c r="B446" i="9"/>
  <c r="A411" i="9"/>
  <c r="A463" i="9"/>
  <c r="R307" i="9"/>
  <c r="B412" i="9"/>
  <c r="A181" i="9"/>
  <c r="B381" i="9"/>
  <c r="B449" i="9"/>
  <c r="A307" i="9"/>
  <c r="B181" i="9"/>
  <c r="R446" i="9"/>
  <c r="A454" i="9"/>
  <c r="R463" i="9"/>
  <c r="A381" i="9"/>
  <c r="B139" i="9"/>
  <c r="B323" i="9"/>
  <c r="A449" i="9"/>
  <c r="R121" i="9"/>
  <c r="B100" i="9"/>
  <c r="A412" i="9"/>
  <c r="A442" i="9"/>
  <c r="R377" i="9"/>
  <c r="A139" i="9"/>
  <c r="R323" i="9"/>
  <c r="B121" i="9"/>
  <c r="A165" i="9"/>
  <c r="R259" i="9"/>
  <c r="B398" i="9"/>
  <c r="B401" i="9"/>
  <c r="R458" i="9"/>
  <c r="B372" i="9"/>
  <c r="B255" i="9"/>
  <c r="A137" i="9"/>
  <c r="A180" i="9"/>
  <c r="A250" i="9"/>
  <c r="A458" i="9"/>
  <c r="R246" i="9"/>
  <c r="R303" i="9"/>
  <c r="A95" i="9"/>
  <c r="B250" i="9"/>
  <c r="A401" i="9"/>
  <c r="A299" i="9"/>
  <c r="R137" i="9"/>
  <c r="R169" i="9"/>
  <c r="R220" i="9"/>
  <c r="R399" i="9"/>
  <c r="B130" i="9"/>
  <c r="R185" i="9"/>
  <c r="R283" i="9"/>
  <c r="R165" i="9"/>
  <c r="R74" i="9"/>
  <c r="A255" i="9"/>
  <c r="R299" i="9"/>
  <c r="A169" i="9"/>
  <c r="B283" i="9"/>
  <c r="A464" i="9"/>
  <c r="B96" i="9"/>
  <c r="A322" i="9"/>
  <c r="B393" i="9"/>
  <c r="R464" i="9"/>
  <c r="B322" i="9"/>
  <c r="B339" i="9"/>
  <c r="B488" i="9"/>
  <c r="R485" i="9"/>
  <c r="B399" i="9"/>
  <c r="B246" i="9"/>
  <c r="R154" i="9"/>
  <c r="A448" i="9"/>
  <c r="A254" i="9"/>
  <c r="R96" i="9"/>
  <c r="A154" i="9"/>
  <c r="B471" i="9"/>
  <c r="B254" i="9"/>
  <c r="B476" i="9"/>
  <c r="A220" i="9"/>
  <c r="R410" i="9"/>
  <c r="B477" i="9"/>
  <c r="R396" i="9"/>
  <c r="A380" i="9"/>
  <c r="B235" i="9"/>
  <c r="A393" i="9"/>
  <c r="R130" i="9"/>
  <c r="A477" i="9"/>
  <c r="A397" i="9"/>
  <c r="A219" i="9"/>
  <c r="B396" i="9"/>
  <c r="B259" i="9"/>
  <c r="R380" i="9"/>
  <c r="R235" i="9"/>
  <c r="B403" i="9"/>
  <c r="B404" i="9"/>
  <c r="B336" i="9"/>
  <c r="B410" i="9"/>
  <c r="R339" i="9"/>
  <c r="A187" i="9"/>
  <c r="A215" i="9"/>
  <c r="A488" i="9"/>
  <c r="R494" i="9"/>
  <c r="B77" i="9"/>
  <c r="B74" i="9"/>
  <c r="A111" i="9"/>
  <c r="B303" i="9"/>
  <c r="R85" i="9"/>
  <c r="A403" i="9"/>
  <c r="R215" i="9"/>
  <c r="R426" i="9"/>
  <c r="A222" i="9"/>
  <c r="A494" i="9"/>
  <c r="R152" i="9"/>
  <c r="R312" i="9"/>
  <c r="B407" i="9"/>
  <c r="A123" i="9"/>
  <c r="A85" i="9"/>
  <c r="R382" i="9"/>
  <c r="A363" i="9"/>
  <c r="B363" i="9"/>
  <c r="R77" i="9"/>
  <c r="A471" i="9"/>
  <c r="B95" i="9"/>
  <c r="A214" i="9"/>
  <c r="A311" i="9"/>
  <c r="A204" i="9"/>
  <c r="B214" i="9"/>
  <c r="A264" i="9"/>
  <c r="R234" i="9"/>
  <c r="B191" i="9"/>
  <c r="R103" i="9"/>
  <c r="B228" i="9"/>
  <c r="R475" i="9"/>
  <c r="A234" i="9"/>
  <c r="R191" i="9"/>
  <c r="R264" i="9"/>
  <c r="A269" i="9"/>
  <c r="B103" i="9"/>
  <c r="B351" i="9"/>
  <c r="R236" i="9"/>
  <c r="A475" i="9"/>
  <c r="A466" i="9"/>
  <c r="B466" i="9"/>
  <c r="B269" i="9"/>
  <c r="R448" i="9"/>
  <c r="B236" i="9"/>
  <c r="A152" i="9"/>
  <c r="A182" i="9"/>
  <c r="B182" i="9"/>
  <c r="B452" i="9"/>
  <c r="B195" i="9"/>
  <c r="R123" i="9"/>
  <c r="R87" i="9"/>
  <c r="A312" i="9"/>
  <c r="R230" i="9"/>
  <c r="R484" i="9"/>
  <c r="A87" i="9"/>
  <c r="R427" i="9"/>
  <c r="A357" i="9"/>
  <c r="B230" i="9"/>
  <c r="B484" i="9"/>
  <c r="R357" i="9"/>
  <c r="B417" i="9"/>
  <c r="B151" i="9"/>
  <c r="A334" i="9"/>
  <c r="R276" i="9"/>
  <c r="B480" i="9"/>
  <c r="B402" i="9"/>
  <c r="A480" i="9"/>
  <c r="A483" i="9"/>
  <c r="A402" i="9"/>
  <c r="B340" i="9"/>
  <c r="R459" i="9"/>
  <c r="B281" i="9"/>
  <c r="A107" i="9"/>
  <c r="R334" i="9"/>
  <c r="B359" i="9"/>
  <c r="B483" i="9"/>
  <c r="A67" i="9"/>
  <c r="A149" i="9"/>
  <c r="A262" i="9"/>
  <c r="B431" i="9"/>
  <c r="A251" i="9"/>
  <c r="B156" i="9"/>
  <c r="R352" i="9"/>
  <c r="R281" i="9"/>
  <c r="B247" i="9"/>
  <c r="B190" i="9"/>
  <c r="B293" i="9"/>
  <c r="R265" i="9"/>
  <c r="B284" i="9"/>
  <c r="B149" i="9"/>
  <c r="R262" i="9"/>
  <c r="A355" i="9"/>
  <c r="R249" i="9"/>
  <c r="B474" i="9"/>
  <c r="A305" i="9"/>
  <c r="R190" i="9"/>
  <c r="A293" i="9"/>
  <c r="R309" i="9"/>
  <c r="B265" i="9"/>
  <c r="A331" i="9"/>
  <c r="R105" i="9"/>
  <c r="R128" i="9"/>
  <c r="R247" i="9"/>
  <c r="R355" i="9"/>
  <c r="A249" i="9"/>
  <c r="R133" i="9"/>
  <c r="R474" i="9"/>
  <c r="B427" i="9"/>
  <c r="A485" i="9"/>
  <c r="B229" i="9"/>
  <c r="A229" i="9"/>
  <c r="A114" i="9"/>
  <c r="B114" i="9"/>
  <c r="A482" i="9"/>
  <c r="B482" i="9"/>
  <c r="R329" i="9"/>
  <c r="B329" i="9"/>
  <c r="A329" i="9"/>
  <c r="R431" i="9"/>
  <c r="B208" i="9"/>
  <c r="B433" i="9"/>
  <c r="B489" i="9"/>
  <c r="B302" i="9"/>
  <c r="A122" i="9"/>
  <c r="A445" i="9"/>
  <c r="A375" i="9"/>
  <c r="R304" i="9"/>
  <c r="R374" i="9"/>
  <c r="B335" i="9"/>
  <c r="A237" i="9"/>
  <c r="A120" i="9"/>
  <c r="R457" i="9"/>
  <c r="R150" i="9"/>
  <c r="R313" i="9"/>
  <c r="B382" i="9"/>
  <c r="A155" i="9"/>
  <c r="A82" i="9"/>
  <c r="A302" i="9"/>
  <c r="B155" i="9"/>
  <c r="B445" i="9"/>
  <c r="R122" i="9"/>
  <c r="A326" i="9"/>
  <c r="B244" i="9"/>
  <c r="B375" i="9"/>
  <c r="A304" i="9"/>
  <c r="R335" i="9"/>
  <c r="R384" i="9"/>
  <c r="B237" i="9"/>
  <c r="B124" i="9"/>
  <c r="B145" i="9"/>
  <c r="A150" i="9"/>
  <c r="A479" i="9"/>
  <c r="R311" i="9"/>
  <c r="R333" i="9"/>
  <c r="A469" i="9"/>
  <c r="B444" i="9"/>
  <c r="A112" i="9"/>
  <c r="A206" i="9"/>
  <c r="B326" i="9"/>
  <c r="A244" i="9"/>
  <c r="B384" i="9"/>
  <c r="A124" i="9"/>
  <c r="A171" i="9"/>
  <c r="B342" i="9"/>
  <c r="R297" i="9"/>
  <c r="B76" i="9"/>
  <c r="R476" i="9"/>
  <c r="A400" i="9"/>
  <c r="B82" i="9"/>
  <c r="A457" i="9"/>
  <c r="R109" i="9"/>
  <c r="B112" i="9"/>
  <c r="A306" i="9"/>
  <c r="A455" i="9"/>
  <c r="B206" i="9"/>
  <c r="B365" i="9"/>
  <c r="B362" i="9"/>
  <c r="R171" i="9"/>
  <c r="A342" i="9"/>
  <c r="B297" i="9"/>
  <c r="R400" i="9"/>
  <c r="R422" i="9"/>
  <c r="R70" i="9"/>
  <c r="A70" i="9"/>
  <c r="R245" i="9"/>
  <c r="A109" i="9"/>
  <c r="R306" i="9"/>
  <c r="R455" i="9"/>
  <c r="R222" i="9"/>
  <c r="R317" i="9"/>
  <c r="A365" i="9"/>
  <c r="B459" i="9"/>
  <c r="R337" i="9"/>
  <c r="A350" i="9"/>
  <c r="A225" i="9"/>
  <c r="R487" i="9"/>
  <c r="B64" i="9"/>
  <c r="A105" i="9"/>
  <c r="R208" i="9"/>
  <c r="R76" i="9"/>
  <c r="R217" i="9"/>
  <c r="R441" i="9"/>
  <c r="A245" i="9"/>
  <c r="A387" i="9"/>
  <c r="A337" i="9"/>
  <c r="B352" i="9"/>
  <c r="R350" i="9"/>
  <c r="R225" i="9"/>
  <c r="B344" i="9"/>
  <c r="A64" i="9"/>
  <c r="A321" i="9"/>
  <c r="R330" i="9"/>
  <c r="B330" i="9"/>
  <c r="B125" i="9"/>
  <c r="A125" i="9"/>
  <c r="R125" i="9"/>
  <c r="A481" i="9"/>
  <c r="R481" i="9"/>
  <c r="B481" i="9"/>
  <c r="A106" i="9"/>
  <c r="R106" i="9"/>
  <c r="A238" i="9"/>
  <c r="R238" i="9"/>
  <c r="B238" i="9"/>
  <c r="A166" i="9"/>
  <c r="R166" i="9"/>
  <c r="B166" i="9"/>
  <c r="A232" i="9"/>
  <c r="B232" i="9"/>
  <c r="R232" i="9"/>
  <c r="B147" i="9"/>
  <c r="R147" i="9"/>
  <c r="A147" i="9"/>
  <c r="R358" i="9"/>
  <c r="B358" i="9"/>
  <c r="R116" i="9"/>
  <c r="A116" i="9"/>
  <c r="R275" i="9"/>
  <c r="B275" i="9"/>
  <c r="A275" i="9"/>
  <c r="R92" i="9"/>
  <c r="B92" i="9"/>
  <c r="A92" i="9"/>
  <c r="A257" i="9"/>
  <c r="R257" i="9"/>
  <c r="B257" i="9"/>
  <c r="B273" i="9"/>
  <c r="A273" i="9"/>
  <c r="A390" i="9"/>
  <c r="R390" i="9"/>
  <c r="B390" i="9"/>
  <c r="B211" i="9"/>
  <c r="R211" i="9"/>
  <c r="A211" i="9"/>
  <c r="B430" i="9"/>
  <c r="R430" i="9"/>
  <c r="B260" i="9"/>
  <c r="A260" i="9"/>
  <c r="R260" i="9"/>
  <c r="B202" i="9"/>
  <c r="A202" i="9"/>
  <c r="R424" i="9"/>
  <c r="A424" i="9"/>
  <c r="B424" i="9"/>
  <c r="B242" i="9"/>
  <c r="A242" i="9"/>
  <c r="R242" i="9"/>
  <c r="B176" i="9"/>
  <c r="R176" i="9"/>
  <c r="A176" i="9"/>
  <c r="R223" i="9"/>
  <c r="B223" i="9"/>
  <c r="A223" i="9"/>
  <c r="A279" i="9"/>
  <c r="B279" i="9"/>
  <c r="R279" i="9"/>
  <c r="R97" i="9"/>
  <c r="B97" i="9"/>
  <c r="A97" i="9"/>
  <c r="R338" i="9"/>
  <c r="A338" i="9"/>
  <c r="R174" i="9"/>
  <c r="A174" i="9"/>
  <c r="B174" i="9"/>
  <c r="R296" i="9"/>
  <c r="B296" i="9"/>
  <c r="A296" i="9"/>
  <c r="A418" i="9"/>
  <c r="R418" i="9"/>
  <c r="A392" i="9"/>
  <c r="R392" i="9"/>
  <c r="B392" i="9"/>
  <c r="B203" i="9"/>
  <c r="B163" i="9"/>
  <c r="A383" i="9"/>
  <c r="R340" i="9"/>
  <c r="B374" i="9"/>
  <c r="R84" i="9"/>
  <c r="A429" i="9"/>
  <c r="R156" i="9"/>
  <c r="B333" i="9"/>
  <c r="B217" i="9"/>
  <c r="A110" i="9"/>
  <c r="A167" i="9"/>
  <c r="A203" i="9"/>
  <c r="A493" i="9"/>
  <c r="R383" i="9"/>
  <c r="B305" i="9"/>
  <c r="B84" i="9"/>
  <c r="R429" i="9"/>
  <c r="R469" i="9"/>
  <c r="R210" i="9"/>
  <c r="R428" i="9"/>
  <c r="A266" i="9"/>
  <c r="B347" i="9"/>
  <c r="R192" i="9"/>
  <c r="B133" i="9"/>
  <c r="B172" i="9"/>
  <c r="R251" i="9"/>
  <c r="R267" i="9"/>
  <c r="R270" i="9"/>
  <c r="A359" i="9"/>
  <c r="A86" i="9"/>
  <c r="B192" i="9"/>
  <c r="A447" i="9"/>
  <c r="B420" i="9"/>
  <c r="A287" i="9"/>
  <c r="B144" i="9"/>
  <c r="B111" i="9"/>
  <c r="R248" i="9"/>
  <c r="A373" i="9"/>
  <c r="B193" i="9"/>
  <c r="R451" i="9"/>
  <c r="B467" i="9"/>
  <c r="B261" i="9"/>
  <c r="B316" i="9"/>
  <c r="R266" i="9"/>
  <c r="A195" i="9"/>
  <c r="B332" i="9"/>
  <c r="R373" i="9"/>
  <c r="R261" i="9"/>
  <c r="R325" i="9"/>
  <c r="B69" i="9"/>
  <c r="A267" i="9"/>
  <c r="B270" i="9"/>
  <c r="B361" i="9"/>
  <c r="B414" i="9"/>
  <c r="B447" i="9"/>
  <c r="R282" i="9"/>
  <c r="R420" i="9"/>
  <c r="B287" i="9"/>
  <c r="R161" i="9"/>
  <c r="R144" i="9"/>
  <c r="B136" i="9"/>
  <c r="A478" i="9"/>
  <c r="R145" i="9"/>
  <c r="B184" i="9"/>
  <c r="A347" i="9"/>
  <c r="B325" i="9"/>
  <c r="A416" i="9"/>
  <c r="R361" i="9"/>
  <c r="R414" i="9"/>
  <c r="A282" i="9"/>
  <c r="B161" i="9"/>
  <c r="R136" i="9"/>
  <c r="A315" i="9"/>
  <c r="A395" i="9"/>
  <c r="R478" i="9"/>
  <c r="R492" i="9"/>
  <c r="B443" i="9"/>
  <c r="A184" i="9"/>
  <c r="A309" i="9"/>
  <c r="A248" i="9"/>
  <c r="R271" i="9"/>
  <c r="B451" i="9"/>
  <c r="A433" i="9"/>
  <c r="R416" i="9"/>
  <c r="R164" i="9"/>
  <c r="A444" i="9"/>
  <c r="R126" i="9"/>
  <c r="R67" i="9"/>
  <c r="B490" i="9"/>
  <c r="B315" i="9"/>
  <c r="B395" i="9"/>
  <c r="B317" i="9"/>
  <c r="A473" i="9"/>
  <c r="B120" i="9"/>
  <c r="B135" i="9"/>
  <c r="B492" i="9"/>
  <c r="R443" i="9"/>
  <c r="B90" i="9"/>
  <c r="B366" i="9"/>
  <c r="A336" i="9"/>
  <c r="A151" i="9"/>
  <c r="R148" i="9"/>
  <c r="B389" i="9"/>
  <c r="A135" i="9"/>
  <c r="B388" i="9"/>
  <c r="R90" i="9"/>
  <c r="A366" i="9"/>
  <c r="A102" i="9"/>
  <c r="R102" i="9"/>
  <c r="B102" i="9"/>
  <c r="R360" i="9"/>
  <c r="A360" i="9"/>
  <c r="B360" i="9"/>
  <c r="A256" i="9"/>
  <c r="B256" i="9"/>
  <c r="R256" i="9"/>
  <c r="B328" i="9"/>
  <c r="A328" i="9"/>
  <c r="R328" i="9"/>
  <c r="B178" i="9"/>
  <c r="R178" i="9"/>
  <c r="A178" i="9"/>
  <c r="A239" i="9"/>
  <c r="R239" i="9"/>
  <c r="B239" i="9"/>
  <c r="B175" i="9"/>
  <c r="A175" i="9"/>
  <c r="R175" i="9"/>
  <c r="A81" i="9"/>
  <c r="R81" i="9"/>
  <c r="B81" i="9"/>
  <c r="R386" i="9"/>
  <c r="A386" i="9"/>
  <c r="B386" i="9"/>
  <c r="B138" i="9"/>
  <c r="A138" i="9"/>
  <c r="R138" i="9"/>
  <c r="R263" i="9"/>
  <c r="B263" i="9"/>
  <c r="A263" i="9"/>
  <c r="A348" i="9"/>
  <c r="B348" i="9"/>
  <c r="R348" i="9"/>
  <c r="A292" i="9"/>
  <c r="B292" i="9"/>
  <c r="R292" i="9"/>
  <c r="B104" i="9"/>
  <c r="A104" i="9"/>
  <c r="R104" i="9"/>
  <c r="B196" i="9"/>
  <c r="R196" i="9"/>
  <c r="A196" i="9"/>
  <c r="R88" i="9"/>
  <c r="B88" i="9"/>
  <c r="A88" i="9"/>
  <c r="A200" i="9"/>
  <c r="B200" i="9"/>
  <c r="R200" i="9"/>
  <c r="A367" i="9"/>
  <c r="R367" i="9"/>
  <c r="B367" i="9"/>
  <c r="B406" i="9"/>
  <c r="A406" i="9"/>
  <c r="R406" i="9"/>
  <c r="A72" i="9"/>
  <c r="R72" i="9"/>
  <c r="B72" i="9"/>
  <c r="R415" i="9"/>
  <c r="A415" i="9"/>
  <c r="B415" i="9"/>
  <c r="A212" i="9"/>
  <c r="R212" i="9"/>
  <c r="R308" i="9"/>
  <c r="A308" i="9"/>
  <c r="B308" i="9"/>
  <c r="B434" i="9"/>
  <c r="A434" i="9"/>
  <c r="A286" i="9"/>
  <c r="B286" i="9"/>
  <c r="R286" i="9"/>
  <c r="R434" i="9"/>
  <c r="A78" i="9"/>
  <c r="R78" i="9"/>
  <c r="B108" i="9"/>
  <c r="A108" i="9"/>
  <c r="R108" i="9"/>
  <c r="A491" i="9"/>
  <c r="R491" i="9"/>
  <c r="B391" i="9"/>
  <c r="A391" i="9"/>
  <c r="R391" i="9"/>
  <c r="A227" i="9"/>
  <c r="B227" i="9"/>
  <c r="A437" i="9"/>
  <c r="B437" i="9"/>
  <c r="A205" i="9"/>
  <c r="B205" i="9"/>
  <c r="R205" i="9"/>
  <c r="B127" i="9"/>
  <c r="A127" i="9"/>
  <c r="A320" i="9"/>
  <c r="R320" i="9"/>
  <c r="B320" i="9"/>
  <c r="B291" i="9"/>
  <c r="A291" i="9"/>
  <c r="R227" i="9"/>
  <c r="A243" i="9"/>
  <c r="R243" i="9"/>
  <c r="B197" i="9"/>
  <c r="R197" i="9"/>
  <c r="A197" i="9"/>
  <c r="A277" i="9"/>
  <c r="R277" i="9"/>
  <c r="A224" i="9"/>
  <c r="R224" i="9"/>
  <c r="A118" i="9"/>
  <c r="B118" i="9"/>
  <c r="R118" i="9"/>
  <c r="A318" i="9"/>
  <c r="B318" i="9"/>
  <c r="A75" i="9"/>
  <c r="B75" i="9"/>
  <c r="B240" i="9"/>
  <c r="R240" i="9"/>
  <c r="R253" i="9"/>
  <c r="B253" i="9"/>
  <c r="A253" i="9"/>
  <c r="A290" i="9"/>
  <c r="B290" i="9"/>
  <c r="R290" i="9"/>
  <c r="B301" i="9"/>
  <c r="A301" i="9"/>
  <c r="R301" i="9"/>
  <c r="R80" i="9"/>
  <c r="B80" i="9"/>
  <c r="A80" i="9"/>
  <c r="B207" i="9"/>
  <c r="R207" i="9"/>
  <c r="R158" i="9"/>
  <c r="B158" i="9"/>
  <c r="R127" i="9"/>
  <c r="A385" i="9"/>
  <c r="R385" i="9"/>
  <c r="B258" i="9"/>
  <c r="R258" i="9"/>
  <c r="R438" i="9"/>
  <c r="B438" i="9"/>
  <c r="A295" i="9"/>
  <c r="B295" i="9"/>
  <c r="A162" i="9"/>
  <c r="R162" i="9"/>
  <c r="B162" i="9"/>
  <c r="B99" i="9"/>
  <c r="A99" i="9"/>
  <c r="B98" i="9"/>
  <c r="A98" i="9"/>
  <c r="R408" i="9"/>
  <c r="B408" i="9"/>
  <c r="A218" i="9"/>
  <c r="R218" i="9"/>
  <c r="B218" i="9"/>
  <c r="B177" i="9"/>
  <c r="R177" i="9"/>
  <c r="R341" i="9"/>
  <c r="B341" i="9"/>
  <c r="A201" i="9"/>
  <c r="B201" i="9"/>
  <c r="R201" i="9"/>
  <c r="A345" i="9"/>
  <c r="R345" i="9"/>
  <c r="B345" i="9"/>
  <c r="B435" i="9"/>
  <c r="R435" i="9"/>
  <c r="A435" i="9"/>
  <c r="B71" i="9"/>
  <c r="A71" i="9"/>
  <c r="R160" i="9"/>
  <c r="B160" i="9"/>
  <c r="R450" i="9"/>
  <c r="A450" i="9"/>
  <c r="R353" i="9"/>
  <c r="A353" i="9"/>
  <c r="A93" i="9"/>
  <c r="R93" i="9"/>
  <c r="B93" i="9"/>
  <c r="A170" i="9"/>
  <c r="R170" i="9"/>
  <c r="A425" i="9"/>
  <c r="R425" i="9"/>
  <c r="B425" i="9"/>
  <c r="A310" i="9"/>
  <c r="B310" i="9"/>
  <c r="A419" i="9"/>
  <c r="B419" i="9"/>
  <c r="R419" i="9"/>
  <c r="B343" i="9"/>
  <c r="R343" i="9"/>
  <c r="A343" i="9"/>
  <c r="B115" i="9"/>
  <c r="R115" i="9"/>
  <c r="R409" i="9"/>
  <c r="A409" i="9"/>
  <c r="R99" i="9"/>
  <c r="B278" i="9"/>
  <c r="A278" i="9"/>
  <c r="A327" i="9"/>
  <c r="B327" i="9"/>
  <c r="R376" i="9"/>
  <c r="B376" i="9"/>
  <c r="A376" i="9"/>
  <c r="B280" i="9"/>
  <c r="A280" i="9"/>
  <c r="R369" i="9"/>
  <c r="A369" i="9"/>
  <c r="B436" i="9"/>
  <c r="R436" i="9"/>
  <c r="A436" i="9"/>
  <c r="B349" i="9"/>
  <c r="R349" i="9"/>
  <c r="A349" i="9"/>
  <c r="B119" i="9"/>
  <c r="R119" i="9"/>
  <c r="A300" i="9"/>
  <c r="R300" i="9"/>
  <c r="A221" i="9"/>
  <c r="B221" i="9"/>
  <c r="A198" i="9"/>
  <c r="R198" i="9"/>
  <c r="B198" i="9"/>
  <c r="R131" i="9"/>
  <c r="A131" i="9"/>
  <c r="B131" i="9"/>
  <c r="R318" i="9"/>
  <c r="B101" i="9"/>
  <c r="R101" i="9"/>
  <c r="A101" i="9"/>
  <c r="A470" i="9"/>
  <c r="R470" i="9"/>
  <c r="B470" i="9"/>
  <c r="B370" i="9"/>
  <c r="R370" i="9"/>
  <c r="A370" i="9"/>
  <c r="B394" i="9"/>
  <c r="R394" i="9"/>
  <c r="A462" i="9"/>
  <c r="B462" i="9"/>
  <c r="A153" i="9"/>
  <c r="R153" i="9"/>
  <c r="R83" i="9"/>
  <c r="A83" i="9"/>
  <c r="B68" i="9"/>
  <c r="R68" i="9"/>
  <c r="A268" i="9"/>
  <c r="B268" i="9"/>
  <c r="R117" i="9"/>
  <c r="B117" i="9"/>
  <c r="R319" i="9"/>
  <c r="A319" i="9"/>
  <c r="B319" i="9"/>
  <c r="B346" i="9"/>
  <c r="A346" i="9"/>
  <c r="R231" i="9"/>
  <c r="B231" i="9"/>
  <c r="B371" i="9"/>
  <c r="A371" i="9"/>
  <c r="R142" i="9"/>
  <c r="B142" i="9"/>
  <c r="A354" i="9"/>
  <c r="B354" i="9"/>
  <c r="A173" i="9"/>
  <c r="R173" i="9"/>
  <c r="B173" i="9"/>
  <c r="A388" i="9"/>
  <c r="A134" i="9"/>
  <c r="R134" i="9"/>
  <c r="R413" i="9"/>
  <c r="A413" i="9"/>
  <c r="B413" i="9"/>
  <c r="R423" i="9"/>
  <c r="A423" i="9"/>
  <c r="B423" i="9"/>
  <c r="R172" i="9"/>
  <c r="R229" i="9"/>
  <c r="R114" i="9"/>
  <c r="B418" i="9"/>
  <c r="B338" i="9"/>
  <c r="A430" i="9"/>
  <c r="A210" i="9"/>
  <c r="B487" i="9"/>
  <c r="A128" i="9"/>
  <c r="R163" i="9"/>
  <c r="R379" i="9"/>
  <c r="A157" i="9"/>
  <c r="A368" i="9"/>
  <c r="B289" i="9"/>
  <c r="B79" i="9"/>
  <c r="B132" i="9"/>
  <c r="B252" i="9"/>
  <c r="A65" i="9"/>
  <c r="A285" i="9"/>
  <c r="A73" i="9"/>
  <c r="B199" i="9"/>
  <c r="B168" i="9"/>
  <c r="A440" i="9"/>
  <c r="A456" i="9"/>
  <c r="A421" i="9"/>
  <c r="R216" i="9"/>
  <c r="B356" i="9"/>
  <c r="B159" i="9"/>
  <c r="B439" i="9"/>
  <c r="R288" i="9"/>
  <c r="B468" i="9"/>
  <c r="B405" i="9"/>
  <c r="R274" i="9"/>
  <c r="A294" i="9"/>
  <c r="B186" i="9"/>
  <c r="B364" i="9"/>
  <c r="B226" i="9"/>
  <c r="R284" i="9"/>
  <c r="R467" i="9"/>
  <c r="R316" i="9"/>
  <c r="R314" i="9"/>
  <c r="B379" i="9"/>
  <c r="R157" i="9"/>
  <c r="B368" i="9"/>
  <c r="A289" i="9"/>
  <c r="R79" i="9"/>
  <c r="R132" i="9"/>
  <c r="A252" i="9"/>
  <c r="B65" i="9"/>
  <c r="R285" i="9"/>
  <c r="R73" i="9"/>
  <c r="A199" i="9"/>
  <c r="R168" i="9"/>
  <c r="R440" i="9"/>
  <c r="B456" i="9"/>
  <c r="R421" i="9"/>
  <c r="A216" i="9"/>
  <c r="R356" i="9"/>
  <c r="A159" i="9"/>
  <c r="A439" i="9"/>
  <c r="B288" i="9"/>
  <c r="A468" i="9"/>
  <c r="R405" i="9"/>
  <c r="A274" i="9"/>
  <c r="B294" i="9"/>
  <c r="R186" i="9"/>
  <c r="A364" i="9"/>
  <c r="R226" i="9"/>
  <c r="R193" i="9"/>
  <c r="A233" i="9"/>
  <c r="R453" i="9"/>
  <c r="B331" i="9"/>
  <c r="R321" i="9"/>
  <c r="A314" i="9"/>
  <c r="R479" i="9"/>
  <c r="B241" i="9"/>
  <c r="A213" i="9"/>
  <c r="B233" i="9"/>
  <c r="B141" i="9"/>
  <c r="B453" i="9"/>
  <c r="B298" i="9"/>
  <c r="B116" i="9"/>
  <c r="R69" i="9"/>
  <c r="B422" i="9"/>
  <c r="A428" i="9"/>
  <c r="R489" i="9"/>
  <c r="R482" i="9"/>
  <c r="A164" i="9"/>
  <c r="B167" i="9"/>
  <c r="A330" i="9"/>
  <c r="B86" i="9"/>
  <c r="R202" i="9"/>
  <c r="A452" i="9"/>
  <c r="B387" i="9"/>
  <c r="A148" i="9"/>
  <c r="A228" i="9"/>
  <c r="A490" i="9"/>
  <c r="R389" i="9"/>
  <c r="R493" i="9"/>
  <c r="A276" i="9"/>
  <c r="R273" i="9"/>
  <c r="A358" i="9"/>
  <c r="A417" i="9"/>
  <c r="A362" i="9"/>
  <c r="R473" i="9"/>
  <c r="B271" i="9"/>
  <c r="A332" i="9"/>
  <c r="A241" i="9"/>
  <c r="R213" i="9"/>
  <c r="B91" i="9"/>
  <c r="R141" i="9"/>
  <c r="R298" i="9"/>
  <c r="R378" i="9"/>
  <c r="B106" i="9"/>
  <c r="B313" i="9"/>
  <c r="R91" i="9"/>
  <c r="B107" i="9"/>
  <c r="R110" i="9"/>
  <c r="A378" i="9"/>
  <c r="B441" i="9"/>
  <c r="V51" i="9" l="1"/>
  <c r="P51" i="9" s="1"/>
  <c r="Y51" i="9"/>
  <c r="V54" i="9" l="1"/>
  <c r="P54" i="9" s="1"/>
  <c r="Y54" i="9"/>
  <c r="V55" i="9" l="1"/>
  <c r="P55" i="9" s="1"/>
  <c r="Y55" i="9"/>
  <c r="V56" i="9" l="1"/>
  <c r="P56" i="9" s="1"/>
  <c r="Y56" i="9"/>
  <c r="V57" i="9" l="1"/>
  <c r="P57" i="9" s="1"/>
  <c r="Y57" i="9"/>
  <c r="V58" i="9" l="1"/>
  <c r="P58" i="9" s="1"/>
  <c r="Y58" i="9"/>
  <c r="V59" i="9" l="1"/>
  <c r="P59" i="9" s="1"/>
  <c r="Y59" i="9"/>
  <c r="V60" i="9" l="1"/>
  <c r="P60" i="9" s="1"/>
  <c r="Y60" i="9"/>
  <c r="V61" i="9" l="1"/>
  <c r="P61" i="9" s="1"/>
  <c r="Y61" i="9"/>
  <c r="V64" i="9" l="1"/>
  <c r="P64" i="9" s="1"/>
  <c r="Y64" i="9"/>
  <c r="V65" i="9" l="1"/>
  <c r="P65" i="9" s="1"/>
  <c r="Y65" i="9"/>
  <c r="Y66" i="9" l="1"/>
  <c r="V66" i="9"/>
  <c r="P66" i="9" s="1"/>
  <c r="V67" i="9" l="1"/>
  <c r="P67" i="9" s="1"/>
  <c r="Y67" i="9"/>
  <c r="Y68" i="9" l="1"/>
  <c r="V68" i="9"/>
  <c r="P68" i="9" s="1"/>
  <c r="Y69" i="9" l="1"/>
  <c r="V69" i="9"/>
  <c r="P69" i="9" s="1"/>
  <c r="Y70" i="9" l="1"/>
  <c r="V70" i="9"/>
  <c r="P70" i="9" s="1"/>
  <c r="V71" i="9" l="1"/>
  <c r="P71" i="9" s="1"/>
  <c r="Y71" i="9"/>
  <c r="V72" i="9" l="1"/>
  <c r="P72" i="9" s="1"/>
  <c r="Y72" i="9"/>
  <c r="V73" i="9" l="1"/>
  <c r="P73" i="9" s="1"/>
  <c r="Y73" i="9"/>
  <c r="V74" i="9" l="1"/>
  <c r="P74" i="9" s="1"/>
  <c r="Y74" i="9"/>
  <c r="Y75" i="9" l="1"/>
  <c r="V75" i="9"/>
  <c r="P75" i="9" s="1"/>
  <c r="Y76" i="9" l="1"/>
  <c r="V76" i="9"/>
  <c r="P76" i="9" s="1"/>
  <c r="V77" i="9" l="1"/>
  <c r="P77" i="9" s="1"/>
  <c r="Y77" i="9"/>
  <c r="V78" i="9" l="1"/>
  <c r="P78" i="9" s="1"/>
  <c r="Y78" i="9"/>
  <c r="Y79" i="9" l="1"/>
  <c r="V79" i="9"/>
  <c r="P79" i="9" s="1"/>
  <c r="Y80" i="9" l="1"/>
  <c r="V80" i="9"/>
  <c r="P80" i="9" s="1"/>
  <c r="Y81" i="9" l="1"/>
  <c r="V81" i="9"/>
  <c r="P81" i="9" s="1"/>
  <c r="Y82" i="9" l="1"/>
  <c r="V82" i="9"/>
  <c r="P82" i="9" s="1"/>
  <c r="Y83" i="9" l="1"/>
  <c r="V83" i="9"/>
  <c r="P83" i="9" s="1"/>
  <c r="V84" i="9" l="1"/>
  <c r="P84" i="9" s="1"/>
  <c r="Y84" i="9"/>
  <c r="Y85" i="9" l="1"/>
  <c r="V85" i="9"/>
  <c r="P85" i="9" s="1"/>
  <c r="Y86" i="9" l="1"/>
  <c r="V86" i="9"/>
  <c r="P86" i="9" s="1"/>
  <c r="V87" i="9" l="1"/>
  <c r="P87" i="9" s="1"/>
  <c r="Y87" i="9"/>
  <c r="Y88" i="9" l="1"/>
  <c r="V88" i="9"/>
  <c r="P88" i="9" s="1"/>
  <c r="V89" i="9" l="1"/>
  <c r="P89" i="9" s="1"/>
  <c r="Y89" i="9"/>
  <c r="V90" i="9" l="1"/>
  <c r="P90" i="9" s="1"/>
  <c r="Y90" i="9"/>
  <c r="V91" i="9" l="1"/>
  <c r="P91" i="9" s="1"/>
  <c r="Y91" i="9"/>
  <c r="Y92" i="9" l="1"/>
  <c r="V92" i="9"/>
  <c r="P92" i="9" s="1"/>
  <c r="V93" i="9" l="1"/>
  <c r="P93" i="9" s="1"/>
  <c r="Y93" i="9"/>
  <c r="Y94" i="9" l="1"/>
  <c r="V94" i="9"/>
  <c r="P94" i="9" s="1"/>
  <c r="V95" i="9" l="1"/>
  <c r="P95" i="9" s="1"/>
  <c r="Y95" i="9"/>
  <c r="V96" i="9" l="1"/>
  <c r="P96" i="9" s="1"/>
  <c r="Y96" i="9"/>
  <c r="V97" i="9" l="1"/>
  <c r="P97" i="9" s="1"/>
  <c r="Y97" i="9"/>
  <c r="Y98" i="9" l="1"/>
  <c r="V98" i="9"/>
  <c r="P98" i="9" s="1"/>
  <c r="V99" i="9" l="1"/>
  <c r="P99" i="9" s="1"/>
  <c r="Y99" i="9"/>
  <c r="V100" i="9" l="1"/>
  <c r="P100" i="9" s="1"/>
  <c r="Y100" i="9"/>
  <c r="Y101" i="9" l="1"/>
  <c r="V101" i="9"/>
  <c r="P101" i="9" s="1"/>
  <c r="V102" i="9" l="1"/>
  <c r="P102" i="9" s="1"/>
  <c r="Y102" i="9"/>
  <c r="Y103" i="9" l="1"/>
  <c r="V103" i="9"/>
  <c r="P103" i="9" s="1"/>
  <c r="Y104" i="9" l="1"/>
  <c r="V104" i="9"/>
  <c r="P104" i="9" s="1"/>
  <c r="V105" i="9" l="1"/>
  <c r="P105" i="9" s="1"/>
  <c r="Y105" i="9"/>
  <c r="Y106" i="9" l="1"/>
  <c r="V106" i="9"/>
  <c r="P106" i="9" s="1"/>
  <c r="Y107" i="9" l="1"/>
  <c r="V107" i="9"/>
  <c r="P107" i="9" s="1"/>
  <c r="Y108" i="9" l="1"/>
  <c r="V108" i="9"/>
  <c r="P108" i="9" s="1"/>
  <c r="Y109" i="9" l="1"/>
  <c r="V109" i="9"/>
  <c r="P109" i="9" s="1"/>
  <c r="V110" i="9" l="1"/>
  <c r="P110" i="9" s="1"/>
  <c r="Y110" i="9"/>
  <c r="Y111" i="9" l="1"/>
  <c r="V111" i="9"/>
  <c r="P111" i="9" s="1"/>
  <c r="V112" i="9" l="1"/>
  <c r="P112" i="9" s="1"/>
  <c r="Y112" i="9"/>
  <c r="V113" i="9" l="1"/>
  <c r="P113" i="9" s="1"/>
  <c r="Y113" i="9"/>
  <c r="V114" i="9" l="1"/>
  <c r="P114" i="9" s="1"/>
  <c r="Y114" i="9"/>
  <c r="V115" i="9" l="1"/>
  <c r="P115" i="9" s="1"/>
  <c r="Y115" i="9"/>
  <c r="Y116" i="9" l="1"/>
  <c r="V116" i="9"/>
  <c r="P116" i="9" s="1"/>
  <c r="V117" i="9" l="1"/>
  <c r="P117" i="9" s="1"/>
  <c r="Y117" i="9"/>
  <c r="V118" i="9" l="1"/>
  <c r="P118" i="9" s="1"/>
  <c r="Y118" i="9"/>
  <c r="Y119" i="9" l="1"/>
  <c r="V119" i="9"/>
  <c r="P119" i="9" s="1"/>
  <c r="V120" i="9" l="1"/>
  <c r="P120" i="9" s="1"/>
  <c r="Y120" i="9"/>
  <c r="V121" i="9" l="1"/>
  <c r="P121" i="9" s="1"/>
  <c r="Y121" i="9"/>
  <c r="V122" i="9" l="1"/>
  <c r="P122" i="9" s="1"/>
  <c r="Y122" i="9"/>
  <c r="Y123" i="9" l="1"/>
  <c r="V123" i="9"/>
  <c r="P123" i="9" s="1"/>
  <c r="Y124" i="9" l="1"/>
  <c r="V124" i="9"/>
  <c r="P124" i="9" s="1"/>
  <c r="V125" i="9" l="1"/>
  <c r="P125" i="9" s="1"/>
  <c r="Y125" i="9"/>
  <c r="Y126" i="9" l="1"/>
  <c r="V126" i="9"/>
  <c r="P126" i="9" s="1"/>
  <c r="Y127" i="9" l="1"/>
  <c r="V127" i="9"/>
  <c r="P127" i="9" s="1"/>
  <c r="Y128" i="9" l="1"/>
  <c r="V128" i="9"/>
  <c r="P128" i="9" s="1"/>
  <c r="Y129" i="9" l="1"/>
  <c r="V129" i="9"/>
  <c r="P129" i="9" s="1"/>
  <c r="V130" i="9" l="1"/>
  <c r="P130" i="9" s="1"/>
  <c r="Y130" i="9"/>
  <c r="Y131" i="9" l="1"/>
  <c r="V131" i="9"/>
  <c r="P131" i="9" s="1"/>
  <c r="V132" i="9" l="1"/>
  <c r="P132" i="9" s="1"/>
  <c r="Y132" i="9"/>
  <c r="Y133" i="9" l="1"/>
  <c r="V133" i="9"/>
  <c r="P133" i="9" s="1"/>
  <c r="Y134" i="9" l="1"/>
  <c r="V134" i="9"/>
  <c r="P134" i="9" s="1"/>
  <c r="Y135" i="9" l="1"/>
  <c r="V135" i="9"/>
  <c r="P135" i="9" s="1"/>
  <c r="Y136" i="9" l="1"/>
  <c r="V136" i="9"/>
  <c r="P136" i="9" s="1"/>
  <c r="V137" i="9" l="1"/>
  <c r="P137" i="9" s="1"/>
  <c r="Y137" i="9"/>
  <c r="Y138" i="9" l="1"/>
  <c r="V138" i="9"/>
  <c r="P138" i="9" s="1"/>
  <c r="Y139" i="9" l="1"/>
  <c r="V139" i="9"/>
  <c r="P139" i="9" s="1"/>
  <c r="Y140" i="9" l="1"/>
  <c r="V140" i="9"/>
  <c r="P140" i="9" s="1"/>
  <c r="Y141" i="9" l="1"/>
  <c r="V141" i="9"/>
  <c r="P141" i="9" s="1"/>
  <c r="Y142" i="9" l="1"/>
  <c r="V142" i="9"/>
  <c r="P142" i="9" s="1"/>
  <c r="Y143" i="9" l="1"/>
  <c r="V143" i="9"/>
  <c r="P143" i="9" s="1"/>
  <c r="V144" i="9" l="1"/>
  <c r="P144" i="9" s="1"/>
  <c r="Y144" i="9"/>
  <c r="V145" i="9" l="1"/>
  <c r="P145" i="9" s="1"/>
  <c r="Y145" i="9"/>
  <c r="Y146" i="9" l="1"/>
  <c r="V146" i="9"/>
  <c r="P146" i="9" s="1"/>
  <c r="V147" i="9" l="1"/>
  <c r="P147" i="9" s="1"/>
  <c r="Y147" i="9"/>
  <c r="V148" i="9" l="1"/>
  <c r="P148" i="9" s="1"/>
  <c r="Y148" i="9"/>
  <c r="V149" i="9" l="1"/>
  <c r="P149" i="9" s="1"/>
  <c r="Y149" i="9"/>
  <c r="Y150" i="9" l="1"/>
  <c r="V150" i="9"/>
  <c r="P150" i="9" s="1"/>
  <c r="Y151" i="9" l="1"/>
  <c r="V151" i="9"/>
  <c r="P151" i="9" s="1"/>
  <c r="V152" i="9" l="1"/>
  <c r="P152" i="9" s="1"/>
  <c r="Y152" i="9"/>
  <c r="Y153" i="9" l="1"/>
  <c r="V153" i="9"/>
  <c r="P153" i="9" s="1"/>
  <c r="V154" i="9" l="1"/>
  <c r="P154" i="9" s="1"/>
  <c r="Y154" i="9"/>
  <c r="Y155" i="9" l="1"/>
  <c r="V155" i="9"/>
  <c r="P155" i="9" s="1"/>
  <c r="Y156" i="9" l="1"/>
  <c r="V156" i="9"/>
  <c r="P156" i="9" s="1"/>
  <c r="Y157" i="9" l="1"/>
  <c r="V157" i="9"/>
  <c r="P157" i="9" s="1"/>
  <c r="Y158" i="9" l="1"/>
  <c r="V158" i="9"/>
  <c r="P158" i="9" s="1"/>
  <c r="V159" i="9" l="1"/>
  <c r="P159" i="9" s="1"/>
  <c r="Y159" i="9"/>
  <c r="V160" i="9" l="1"/>
  <c r="P160" i="9" s="1"/>
  <c r="Y160" i="9"/>
  <c r="Y161" i="9" l="1"/>
  <c r="V161" i="9"/>
  <c r="P161" i="9" s="1"/>
  <c r="Y162" i="9" l="1"/>
  <c r="V162" i="9"/>
  <c r="P162" i="9" s="1"/>
  <c r="V163" i="9" l="1"/>
  <c r="P163" i="9" s="1"/>
  <c r="Y163" i="9"/>
  <c r="V164" i="9" l="1"/>
  <c r="P164" i="9" s="1"/>
  <c r="Y164" i="9"/>
  <c r="Y165" i="9" l="1"/>
  <c r="V165" i="9"/>
  <c r="P165" i="9" s="1"/>
  <c r="V166" i="9" l="1"/>
  <c r="P166" i="9" s="1"/>
  <c r="Y166" i="9"/>
  <c r="Y167" i="9" l="1"/>
  <c r="V167" i="9"/>
  <c r="P167" i="9" s="1"/>
  <c r="V168" i="9" l="1"/>
  <c r="P168" i="9" s="1"/>
  <c r="Y168" i="9"/>
  <c r="V169" i="9" l="1"/>
  <c r="P169" i="9" s="1"/>
  <c r="Y169" i="9"/>
  <c r="V170" i="9" l="1"/>
  <c r="P170" i="9" s="1"/>
  <c r="Y170" i="9"/>
  <c r="V171" i="9" l="1"/>
  <c r="P171" i="9" s="1"/>
  <c r="Y171" i="9"/>
  <c r="V172" i="9" l="1"/>
  <c r="P172" i="9" s="1"/>
  <c r="Y172" i="9"/>
  <c r="V173" i="9" l="1"/>
  <c r="P173" i="9" s="1"/>
  <c r="Y173" i="9"/>
  <c r="Y174" i="9" l="1"/>
  <c r="V174" i="9"/>
  <c r="P174" i="9" s="1"/>
  <c r="V175" i="9" l="1"/>
  <c r="P175" i="9" s="1"/>
  <c r="Y175" i="9"/>
  <c r="V176" i="9" l="1"/>
  <c r="P176" i="9" s="1"/>
  <c r="Y176" i="9"/>
  <c r="Y177" i="9" l="1"/>
  <c r="V177" i="9"/>
  <c r="P177" i="9" s="1"/>
  <c r="Y178" i="9" l="1"/>
  <c r="V178" i="9"/>
  <c r="P178" i="9" s="1"/>
  <c r="Y179" i="9" l="1"/>
  <c r="V179" i="9"/>
  <c r="P179" i="9" s="1"/>
  <c r="V180" i="9" l="1"/>
  <c r="P180" i="9" s="1"/>
  <c r="Y180" i="9"/>
  <c r="Y181" i="9" l="1"/>
  <c r="V181" i="9"/>
  <c r="P181" i="9" s="1"/>
  <c r="Y182" i="9" l="1"/>
  <c r="V182" i="9"/>
  <c r="P182" i="9" s="1"/>
  <c r="V183" i="9" l="1"/>
  <c r="P183" i="9" s="1"/>
  <c r="Y183" i="9"/>
  <c r="V184" i="9" l="1"/>
  <c r="P184" i="9" s="1"/>
  <c r="Y184" i="9"/>
  <c r="V185" i="9" l="1"/>
  <c r="P185" i="9" s="1"/>
  <c r="Y185" i="9"/>
  <c r="V186" i="9" l="1"/>
  <c r="P186" i="9" s="1"/>
  <c r="Y186" i="9"/>
  <c r="V187" i="9" l="1"/>
  <c r="P187" i="9" s="1"/>
  <c r="Y187" i="9"/>
  <c r="V188" i="9" l="1"/>
  <c r="P188" i="9" s="1"/>
  <c r="Y188" i="9"/>
  <c r="Y189" i="9" l="1"/>
  <c r="V189" i="9"/>
  <c r="P189" i="9" s="1"/>
  <c r="Y190" i="9" l="1"/>
  <c r="V190" i="9"/>
  <c r="P190" i="9" s="1"/>
  <c r="Y191" i="9" l="1"/>
  <c r="V191" i="9"/>
  <c r="P191" i="9" s="1"/>
  <c r="V192" i="9" l="1"/>
  <c r="P192" i="9" s="1"/>
  <c r="Y192" i="9"/>
  <c r="V193" i="9" l="1"/>
  <c r="P193" i="9" s="1"/>
  <c r="Y193" i="9"/>
  <c r="Y194" i="9" l="1"/>
  <c r="V194" i="9"/>
  <c r="P194" i="9" s="1"/>
  <c r="Y195" i="9" l="1"/>
  <c r="V195" i="9"/>
  <c r="P195" i="9" s="1"/>
  <c r="V196" i="9" l="1"/>
  <c r="P196" i="9" s="1"/>
  <c r="Y196" i="9"/>
  <c r="V197" i="9" l="1"/>
  <c r="P197" i="9" s="1"/>
  <c r="Y197" i="9"/>
  <c r="V198" i="9" l="1"/>
  <c r="P198" i="9" s="1"/>
  <c r="Y198" i="9"/>
  <c r="V199" i="9" l="1"/>
  <c r="P199" i="9" s="1"/>
  <c r="Y199" i="9"/>
  <c r="V200" i="9" l="1"/>
  <c r="P200" i="9" s="1"/>
  <c r="Y200" i="9"/>
  <c r="V201" i="9" l="1"/>
  <c r="P201" i="9" s="1"/>
  <c r="Y201" i="9"/>
  <c r="Y202" i="9" l="1"/>
  <c r="V202" i="9"/>
  <c r="P202" i="9" s="1"/>
  <c r="V203" i="9" l="1"/>
  <c r="P203" i="9" s="1"/>
  <c r="Y203" i="9"/>
  <c r="V204" i="9" l="1"/>
  <c r="P204" i="9" s="1"/>
  <c r="Y204" i="9"/>
  <c r="V205" i="9" l="1"/>
  <c r="P205" i="9" s="1"/>
  <c r="Y205" i="9"/>
  <c r="Y206" i="9" l="1"/>
  <c r="V206" i="9"/>
  <c r="P206" i="9" s="1"/>
  <c r="Y207" i="9" l="1"/>
  <c r="V207" i="9"/>
  <c r="P207" i="9" s="1"/>
  <c r="V208" i="9" l="1"/>
  <c r="P208" i="9" s="1"/>
  <c r="Y208" i="9"/>
  <c r="Y209" i="9" l="1"/>
  <c r="V209" i="9"/>
  <c r="P209" i="9" s="1"/>
  <c r="V210" i="9" l="1"/>
  <c r="P210" i="9" s="1"/>
  <c r="Y210" i="9"/>
  <c r="V211" i="9" l="1"/>
  <c r="P211" i="9" s="1"/>
  <c r="Y211" i="9"/>
  <c r="V212" i="9" l="1"/>
  <c r="P212" i="9" s="1"/>
  <c r="Y212" i="9"/>
  <c r="V213" i="9" l="1"/>
  <c r="P213" i="9" s="1"/>
  <c r="Y213" i="9"/>
  <c r="V214" i="9" l="1"/>
  <c r="P214" i="9" s="1"/>
  <c r="Y214" i="9"/>
  <c r="V215" i="9" l="1"/>
  <c r="P215" i="9" s="1"/>
  <c r="Y215" i="9"/>
  <c r="V216" i="9" l="1"/>
  <c r="P216" i="9" s="1"/>
  <c r="Y216" i="9"/>
  <c r="Y217" i="9" l="1"/>
  <c r="V217" i="9"/>
  <c r="P217" i="9" s="1"/>
  <c r="Y218" i="9" l="1"/>
  <c r="V218" i="9"/>
  <c r="P218" i="9" s="1"/>
  <c r="V219" i="9" l="1"/>
  <c r="P219" i="9" s="1"/>
  <c r="Y219" i="9"/>
  <c r="Y220" i="9" l="1"/>
  <c r="V220" i="9"/>
  <c r="P220" i="9" s="1"/>
  <c r="V221" i="9" l="1"/>
  <c r="P221" i="9" s="1"/>
  <c r="Y221" i="9"/>
  <c r="V222" i="9" l="1"/>
  <c r="P222" i="9" s="1"/>
  <c r="Y222" i="9"/>
  <c r="Y223" i="9" l="1"/>
  <c r="V223" i="9"/>
  <c r="P223" i="9" s="1"/>
  <c r="Y224" i="9" l="1"/>
  <c r="V224" i="9"/>
  <c r="P224" i="9" s="1"/>
  <c r="V225" i="9" l="1"/>
  <c r="P225" i="9" s="1"/>
  <c r="Y225" i="9"/>
  <c r="V226" i="9" l="1"/>
  <c r="P226" i="9" s="1"/>
  <c r="Y226" i="9"/>
  <c r="Y227" i="9" l="1"/>
  <c r="V227" i="9"/>
  <c r="P227" i="9" s="1"/>
  <c r="Y228" i="9" l="1"/>
  <c r="V228" i="9"/>
  <c r="P228" i="9" s="1"/>
  <c r="V229" i="9" l="1"/>
  <c r="P229" i="9" s="1"/>
  <c r="Y229" i="9"/>
  <c r="V230" i="9" l="1"/>
  <c r="P230" i="9" s="1"/>
  <c r="Y230" i="9"/>
  <c r="V231" i="9" l="1"/>
  <c r="P231" i="9" s="1"/>
  <c r="Y231" i="9"/>
  <c r="Y232" i="9" l="1"/>
  <c r="V232" i="9"/>
  <c r="P232" i="9" s="1"/>
  <c r="Y233" i="9" l="1"/>
  <c r="V233" i="9"/>
  <c r="P233" i="9" s="1"/>
  <c r="Y234" i="9" l="1"/>
  <c r="V234" i="9"/>
  <c r="P234" i="9" s="1"/>
  <c r="V235" i="9" l="1"/>
  <c r="P235" i="9" s="1"/>
  <c r="Y235" i="9"/>
  <c r="Y236" i="9" l="1"/>
  <c r="V236" i="9"/>
  <c r="P236" i="9" s="1"/>
  <c r="Y237" i="9" l="1"/>
  <c r="V237" i="9"/>
  <c r="P237" i="9" s="1"/>
  <c r="Y238" i="9" l="1"/>
  <c r="V238" i="9"/>
  <c r="P238" i="9" s="1"/>
  <c r="V239" i="9" l="1"/>
  <c r="P239" i="9" s="1"/>
  <c r="Y239" i="9"/>
  <c r="Y240" i="9" l="1"/>
  <c r="V240" i="9"/>
  <c r="P240" i="9" s="1"/>
  <c r="Y241" i="9" l="1"/>
  <c r="V241" i="9"/>
  <c r="P241" i="9" s="1"/>
  <c r="Y242" i="9" l="1"/>
  <c r="V242" i="9"/>
  <c r="P242" i="9" s="1"/>
  <c r="Y243" i="9" l="1"/>
  <c r="V243" i="9"/>
  <c r="P243" i="9" s="1"/>
  <c r="V244" i="9" l="1"/>
  <c r="P244" i="9" s="1"/>
  <c r="Y244" i="9"/>
  <c r="Y245" i="9" l="1"/>
  <c r="V245" i="9"/>
  <c r="P245" i="9" s="1"/>
  <c r="V246" i="9" l="1"/>
  <c r="P246" i="9" s="1"/>
  <c r="Y246" i="9"/>
  <c r="Y247" i="9" l="1"/>
  <c r="V247" i="9"/>
  <c r="P247" i="9" s="1"/>
  <c r="V248" i="9" l="1"/>
  <c r="P248" i="9" s="1"/>
  <c r="Y248" i="9"/>
  <c r="V249" i="9" l="1"/>
  <c r="P249" i="9" s="1"/>
  <c r="Y249" i="9"/>
  <c r="Y250" i="9" l="1"/>
  <c r="V250" i="9"/>
  <c r="P250" i="9" s="1"/>
  <c r="V251" i="9" l="1"/>
  <c r="P251" i="9" s="1"/>
  <c r="Y251" i="9"/>
  <c r="V252" i="9" l="1"/>
  <c r="P252" i="9" s="1"/>
  <c r="Y252" i="9"/>
  <c r="V253" i="9" l="1"/>
  <c r="P253" i="9" s="1"/>
  <c r="Y253" i="9"/>
  <c r="Y254" i="9" l="1"/>
  <c r="V254" i="9"/>
  <c r="P254" i="9" s="1"/>
  <c r="Y255" i="9" l="1"/>
  <c r="V255" i="9"/>
  <c r="P255" i="9" s="1"/>
  <c r="V256" i="9" l="1"/>
  <c r="P256" i="9" s="1"/>
  <c r="Y256" i="9"/>
  <c r="V257" i="9" l="1"/>
  <c r="P257" i="9" s="1"/>
  <c r="Y257" i="9"/>
  <c r="Y258" i="9" l="1"/>
  <c r="V258" i="9"/>
  <c r="P258" i="9" s="1"/>
  <c r="V259" i="9" l="1"/>
  <c r="P259" i="9" s="1"/>
  <c r="Y259" i="9"/>
  <c r="V260" i="9" l="1"/>
  <c r="P260" i="9" s="1"/>
  <c r="Y260" i="9"/>
  <c r="V261" i="9" l="1"/>
  <c r="P261" i="9" s="1"/>
  <c r="Y261" i="9"/>
  <c r="V262" i="9" l="1"/>
  <c r="P262" i="9" s="1"/>
  <c r="Y262" i="9"/>
  <c r="Y263" i="9" l="1"/>
  <c r="V263" i="9"/>
  <c r="P263" i="9" s="1"/>
  <c r="V264" i="9" l="1"/>
  <c r="P264" i="9" s="1"/>
  <c r="Y264" i="9"/>
  <c r="V265" i="9" l="1"/>
  <c r="P265" i="9" s="1"/>
  <c r="Y265" i="9"/>
  <c r="Y266" i="9" l="1"/>
  <c r="V266" i="9"/>
  <c r="P266" i="9" s="1"/>
  <c r="Y267" i="9" l="1"/>
  <c r="V267" i="9"/>
  <c r="P267" i="9" s="1"/>
  <c r="V268" i="9" l="1"/>
  <c r="P268" i="9" s="1"/>
  <c r="Y268" i="9"/>
  <c r="V269" i="9" l="1"/>
  <c r="P269" i="9" s="1"/>
  <c r="Y269" i="9"/>
  <c r="V270" i="9" l="1"/>
  <c r="P270" i="9" s="1"/>
  <c r="Y270" i="9"/>
  <c r="V271" i="9" l="1"/>
  <c r="P271" i="9" s="1"/>
  <c r="Y271" i="9"/>
  <c r="V272" i="9" l="1"/>
  <c r="P272" i="9" s="1"/>
  <c r="Y272" i="9"/>
  <c r="Y273" i="9" l="1"/>
  <c r="V273" i="9"/>
  <c r="P273" i="9" s="1"/>
  <c r="V274" i="9" l="1"/>
  <c r="P274" i="9" s="1"/>
  <c r="Y274" i="9"/>
  <c r="V275" i="9" l="1"/>
  <c r="P275" i="9" s="1"/>
  <c r="Y275" i="9"/>
  <c r="V276" i="9" l="1"/>
  <c r="P276" i="9" s="1"/>
  <c r="Y276" i="9"/>
  <c r="V277" i="9" l="1"/>
  <c r="P277" i="9" s="1"/>
  <c r="Y277" i="9"/>
  <c r="V278" i="9" l="1"/>
  <c r="P278" i="9" s="1"/>
  <c r="Y278" i="9"/>
  <c r="V279" i="9" l="1"/>
  <c r="P279" i="9" s="1"/>
  <c r="Y279" i="9"/>
  <c r="V280" i="9" l="1"/>
  <c r="P280" i="9" s="1"/>
  <c r="Y280" i="9"/>
  <c r="Y281" i="9" l="1"/>
  <c r="V281" i="9"/>
  <c r="P281" i="9" s="1"/>
  <c r="V282" i="9" l="1"/>
  <c r="P282" i="9" s="1"/>
  <c r="Y282" i="9"/>
  <c r="Y283" i="9" l="1"/>
  <c r="V283" i="9"/>
  <c r="P283" i="9" s="1"/>
  <c r="Y284" i="9" l="1"/>
  <c r="V284" i="9"/>
  <c r="P284" i="9" s="1"/>
  <c r="V285" i="9" l="1"/>
  <c r="P285" i="9" s="1"/>
  <c r="Y285" i="9"/>
  <c r="V286" i="9" l="1"/>
  <c r="P286" i="9" s="1"/>
  <c r="Y286" i="9"/>
  <c r="V287" i="9" l="1"/>
  <c r="P287" i="9" s="1"/>
  <c r="Y287" i="9"/>
  <c r="Y288" i="9" l="1"/>
  <c r="V288" i="9"/>
  <c r="P288" i="9" s="1"/>
  <c r="V289" i="9" l="1"/>
  <c r="P289" i="9" s="1"/>
  <c r="Y289" i="9"/>
  <c r="V290" i="9" l="1"/>
  <c r="P290" i="9" s="1"/>
  <c r="Y290" i="9"/>
  <c r="Y291" i="9" l="1"/>
  <c r="V291" i="9"/>
  <c r="P291" i="9" s="1"/>
  <c r="Y292" i="9" l="1"/>
  <c r="V292" i="9"/>
  <c r="P292" i="9" s="1"/>
  <c r="Y293" i="9" l="1"/>
  <c r="V293" i="9"/>
  <c r="P293" i="9" s="1"/>
  <c r="Y294" i="9" l="1"/>
  <c r="V294" i="9"/>
  <c r="P294" i="9" s="1"/>
  <c r="Y295" i="9" l="1"/>
  <c r="V295" i="9"/>
  <c r="P295" i="9" s="1"/>
  <c r="Y296" i="9" l="1"/>
  <c r="V296" i="9"/>
  <c r="P296" i="9" s="1"/>
  <c r="V297" i="9" l="1"/>
  <c r="P297" i="9" s="1"/>
  <c r="Y297" i="9"/>
  <c r="Y298" i="9" l="1"/>
  <c r="V298" i="9"/>
  <c r="P298" i="9" s="1"/>
  <c r="V299" i="9" l="1"/>
  <c r="P299" i="9" s="1"/>
  <c r="Y299" i="9"/>
  <c r="Y300" i="9" l="1"/>
  <c r="V300" i="9"/>
  <c r="P300" i="9" s="1"/>
  <c r="V301" i="9" l="1"/>
  <c r="P301" i="9" s="1"/>
  <c r="Y301" i="9"/>
  <c r="Y302" i="9" l="1"/>
  <c r="V302" i="9"/>
  <c r="P302" i="9" s="1"/>
  <c r="V303" i="9" l="1"/>
  <c r="P303" i="9" s="1"/>
  <c r="Y303" i="9"/>
  <c r="Y304" i="9" l="1"/>
  <c r="V304" i="9"/>
  <c r="P304" i="9" s="1"/>
  <c r="Y305" i="9" l="1"/>
  <c r="V305" i="9"/>
  <c r="P305" i="9" s="1"/>
  <c r="Y306" i="9" l="1"/>
  <c r="V306" i="9"/>
  <c r="P306" i="9" s="1"/>
  <c r="Y307" i="9" l="1"/>
  <c r="V307" i="9"/>
  <c r="P307" i="9" s="1"/>
  <c r="Y308" i="9" l="1"/>
  <c r="V308" i="9"/>
  <c r="P308" i="9" s="1"/>
  <c r="V309" i="9" l="1"/>
  <c r="P309" i="9" s="1"/>
  <c r="Y309" i="9"/>
  <c r="Y310" i="9" l="1"/>
  <c r="V310" i="9"/>
  <c r="P310" i="9" s="1"/>
  <c r="V311" i="9" l="1"/>
  <c r="P311" i="9" s="1"/>
  <c r="Y311" i="9"/>
  <c r="Y312" i="9" l="1"/>
  <c r="V312" i="9"/>
  <c r="P312" i="9" s="1"/>
  <c r="V313" i="9" l="1"/>
  <c r="P313" i="9" s="1"/>
  <c r="Y313" i="9"/>
  <c r="Y314" i="9" l="1"/>
  <c r="V314" i="9"/>
  <c r="P314" i="9" s="1"/>
  <c r="V315" i="9" l="1"/>
  <c r="P315" i="9" s="1"/>
  <c r="Y315" i="9"/>
  <c r="V316" i="9" l="1"/>
  <c r="P316" i="9" s="1"/>
  <c r="Y316" i="9"/>
  <c r="V317" i="9" l="1"/>
  <c r="P317" i="9" s="1"/>
  <c r="Y317" i="9"/>
  <c r="Y318" i="9" l="1"/>
  <c r="V318" i="9"/>
  <c r="P318" i="9" s="1"/>
  <c r="Y319" i="9" l="1"/>
  <c r="V319" i="9"/>
  <c r="P319" i="9" s="1"/>
  <c r="Y320" i="9" l="1"/>
  <c r="V320" i="9"/>
  <c r="P320" i="9" s="1"/>
  <c r="V321" i="9" l="1"/>
  <c r="P321" i="9" s="1"/>
  <c r="Y321" i="9"/>
  <c r="V322" i="9" l="1"/>
  <c r="P322" i="9" s="1"/>
  <c r="Y322" i="9"/>
  <c r="Y323" i="9" l="1"/>
  <c r="V323" i="9"/>
  <c r="P323" i="9" s="1"/>
  <c r="V324" i="9" l="1"/>
  <c r="P324" i="9" s="1"/>
  <c r="Y324" i="9"/>
  <c r="Y325" i="9" l="1"/>
  <c r="V325" i="9"/>
  <c r="P325" i="9" s="1"/>
  <c r="V326" i="9" l="1"/>
  <c r="P326" i="9" s="1"/>
  <c r="Y326" i="9"/>
  <c r="Y327" i="9" l="1"/>
  <c r="V327" i="9"/>
  <c r="P327" i="9" s="1"/>
  <c r="V328" i="9" l="1"/>
  <c r="P328" i="9" s="1"/>
  <c r="Y328" i="9"/>
  <c r="Y329" i="9" l="1"/>
  <c r="V329" i="9"/>
  <c r="P329" i="9" s="1"/>
  <c r="V330" i="9" l="1"/>
  <c r="P330" i="9" s="1"/>
  <c r="Y330" i="9"/>
  <c r="V331" i="9" l="1"/>
  <c r="P331" i="9" s="1"/>
  <c r="Y331" i="9"/>
  <c r="Y332" i="9" l="1"/>
  <c r="V332" i="9"/>
  <c r="P332" i="9" s="1"/>
  <c r="Y333" i="9" l="1"/>
  <c r="V333" i="9"/>
  <c r="P333" i="9" s="1"/>
  <c r="Y334" i="9" l="1"/>
  <c r="V334" i="9"/>
  <c r="P334" i="9" s="1"/>
  <c r="Y335" i="9" l="1"/>
  <c r="V335" i="9"/>
  <c r="P335" i="9" s="1"/>
  <c r="Y336" i="9" l="1"/>
  <c r="V336" i="9"/>
  <c r="P336" i="9" s="1"/>
  <c r="V337" i="9" l="1"/>
  <c r="P337" i="9" s="1"/>
  <c r="Y337" i="9"/>
  <c r="V338" i="9" l="1"/>
  <c r="P338" i="9" s="1"/>
  <c r="Y338" i="9"/>
  <c r="V339" i="9" l="1"/>
  <c r="P339" i="9" s="1"/>
  <c r="Y339" i="9"/>
  <c r="Y340" i="9" l="1"/>
  <c r="V340" i="9"/>
  <c r="P340" i="9" s="1"/>
  <c r="V341" i="9" l="1"/>
  <c r="P341" i="9" s="1"/>
  <c r="Y341" i="9"/>
  <c r="Y342" i="9" l="1"/>
  <c r="V342" i="9"/>
  <c r="P342" i="9" s="1"/>
  <c r="Y343" i="9" l="1"/>
  <c r="V343" i="9"/>
  <c r="P343" i="9" s="1"/>
  <c r="V344" i="9" l="1"/>
  <c r="P344" i="9" s="1"/>
  <c r="Y344" i="9"/>
  <c r="V345" i="9" l="1"/>
  <c r="P345" i="9" s="1"/>
  <c r="Y345" i="9"/>
  <c r="Y346" i="9" l="1"/>
  <c r="V346" i="9"/>
  <c r="P346" i="9" s="1"/>
  <c r="Y347" i="9" l="1"/>
  <c r="V347" i="9"/>
  <c r="P347" i="9" s="1"/>
  <c r="Y348" i="9" l="1"/>
  <c r="V348" i="9"/>
  <c r="P348" i="9" s="1"/>
  <c r="Y349" i="9" l="1"/>
  <c r="V349" i="9"/>
  <c r="P349" i="9" s="1"/>
  <c r="Y350" i="9" l="1"/>
  <c r="V350" i="9"/>
  <c r="P350" i="9" s="1"/>
  <c r="V351" i="9" l="1"/>
  <c r="P351" i="9" s="1"/>
  <c r="Y351" i="9"/>
  <c r="V352" i="9" l="1"/>
  <c r="P352" i="9" s="1"/>
  <c r="Y352" i="9"/>
  <c r="V353" i="9" l="1"/>
  <c r="P353" i="9" s="1"/>
  <c r="Y353" i="9"/>
  <c r="V354" i="9" l="1"/>
  <c r="P354" i="9" s="1"/>
  <c r="Y354" i="9"/>
  <c r="V355" i="9" l="1"/>
  <c r="P355" i="9" s="1"/>
  <c r="Y355" i="9"/>
  <c r="Y356" i="9" l="1"/>
  <c r="V356" i="9"/>
  <c r="P356" i="9" s="1"/>
  <c r="Y357" i="9" l="1"/>
  <c r="V357" i="9"/>
  <c r="P357" i="9" s="1"/>
  <c r="V358" i="9" l="1"/>
  <c r="P358" i="9" s="1"/>
  <c r="Y358" i="9"/>
  <c r="V359" i="9" l="1"/>
  <c r="P359" i="9" s="1"/>
  <c r="Y359" i="9"/>
  <c r="Y360" i="9" l="1"/>
  <c r="V360" i="9"/>
  <c r="P360" i="9" s="1"/>
  <c r="Y361" i="9" l="1"/>
  <c r="V361" i="9"/>
  <c r="P361" i="9" s="1"/>
  <c r="Y362" i="9" l="1"/>
  <c r="V362" i="9"/>
  <c r="P362" i="9" s="1"/>
  <c r="Y363" i="9" l="1"/>
  <c r="V363" i="9"/>
  <c r="P363" i="9" s="1"/>
  <c r="V364" i="9" l="1"/>
  <c r="P364" i="9" s="1"/>
  <c r="Y364" i="9"/>
  <c r="V365" i="9" l="1"/>
  <c r="P365" i="9" s="1"/>
  <c r="Y365" i="9"/>
  <c r="Y366" i="9" l="1"/>
  <c r="V366" i="9"/>
  <c r="P366" i="9" s="1"/>
  <c r="Y367" i="9" l="1"/>
  <c r="V367" i="9"/>
  <c r="P367" i="9" s="1"/>
  <c r="V368" i="9" l="1"/>
  <c r="P368" i="9" s="1"/>
  <c r="Y368" i="9"/>
  <c r="Y369" i="9" l="1"/>
  <c r="V369" i="9"/>
  <c r="P369" i="9" s="1"/>
  <c r="V370" i="9" l="1"/>
  <c r="P370" i="9" s="1"/>
  <c r="Y370" i="9"/>
  <c r="V371" i="9" l="1"/>
  <c r="P371" i="9" s="1"/>
  <c r="Y371" i="9"/>
  <c r="V372" i="9" l="1"/>
  <c r="P372" i="9" s="1"/>
  <c r="Y372" i="9"/>
  <c r="V373" i="9" l="1"/>
  <c r="P373" i="9" s="1"/>
  <c r="Y373" i="9"/>
  <c r="Y374" i="9" l="1"/>
  <c r="V374" i="9"/>
  <c r="P374" i="9" s="1"/>
  <c r="V375" i="9" l="1"/>
  <c r="P375" i="9" s="1"/>
  <c r="Y375" i="9"/>
  <c r="V376" i="9" l="1"/>
  <c r="P376" i="9" s="1"/>
  <c r="Y376" i="9"/>
  <c r="V377" i="9" l="1"/>
  <c r="P377" i="9" s="1"/>
  <c r="Y377" i="9"/>
  <c r="V378" i="9" l="1"/>
  <c r="P378" i="9" s="1"/>
  <c r="Y378" i="9"/>
  <c r="V379" i="9" l="1"/>
  <c r="P379" i="9" s="1"/>
  <c r="Y379" i="9"/>
  <c r="V380" i="9" l="1"/>
  <c r="P380" i="9" s="1"/>
  <c r="Y380" i="9"/>
  <c r="Y381" i="9" l="1"/>
  <c r="V381" i="9"/>
  <c r="P381" i="9" s="1"/>
  <c r="Y382" i="9" l="1"/>
  <c r="V382" i="9"/>
  <c r="P382" i="9" s="1"/>
  <c r="Y383" i="9" l="1"/>
  <c r="V383" i="9"/>
  <c r="P383" i="9" s="1"/>
  <c r="V384" i="9" l="1"/>
  <c r="P384" i="9" s="1"/>
  <c r="Y384" i="9"/>
  <c r="Y385" i="9" l="1"/>
  <c r="V385" i="9"/>
  <c r="P385" i="9" s="1"/>
  <c r="Y386" i="9" l="1"/>
  <c r="V386" i="9"/>
  <c r="P386" i="9" s="1"/>
  <c r="V387" i="9" l="1"/>
  <c r="P387" i="9" s="1"/>
  <c r="Y387" i="9"/>
  <c r="V388" i="9" l="1"/>
  <c r="P388" i="9" s="1"/>
  <c r="Y388" i="9"/>
  <c r="V389" i="9" l="1"/>
  <c r="P389" i="9" s="1"/>
  <c r="Y389" i="9"/>
  <c r="V390" i="9" l="1"/>
  <c r="P390" i="9" s="1"/>
  <c r="Y390" i="9"/>
  <c r="Y391" i="9" l="1"/>
  <c r="V391" i="9"/>
  <c r="P391" i="9" s="1"/>
  <c r="Y392" i="9" l="1"/>
  <c r="V392" i="9"/>
  <c r="P392" i="9" s="1"/>
  <c r="Y393" i="9" l="1"/>
  <c r="V393" i="9"/>
  <c r="P393" i="9" s="1"/>
  <c r="Y394" i="9" l="1"/>
  <c r="V394" i="9"/>
  <c r="P394" i="9" s="1"/>
  <c r="V395" i="9" l="1"/>
  <c r="P395" i="9" s="1"/>
  <c r="Y395" i="9"/>
  <c r="V396" i="9" l="1"/>
  <c r="P396" i="9" s="1"/>
  <c r="Y396" i="9"/>
  <c r="Y397" i="9" l="1"/>
  <c r="V397" i="9"/>
  <c r="P397" i="9" s="1"/>
  <c r="V398" i="9" l="1"/>
  <c r="P398" i="9" s="1"/>
  <c r="Y398" i="9"/>
  <c r="Y399" i="9" l="1"/>
  <c r="V399" i="9"/>
  <c r="P399" i="9" s="1"/>
  <c r="V400" i="9" l="1"/>
  <c r="P400" i="9" s="1"/>
  <c r="Y400" i="9"/>
  <c r="Y401" i="9" l="1"/>
  <c r="V401" i="9"/>
  <c r="P401" i="9" s="1"/>
  <c r="Y402" i="9" l="1"/>
  <c r="V402" i="9"/>
  <c r="P402" i="9" s="1"/>
  <c r="V403" i="9" l="1"/>
  <c r="P403" i="9" s="1"/>
  <c r="Y403" i="9"/>
  <c r="Y404" i="9" l="1"/>
  <c r="V404" i="9"/>
  <c r="P404" i="9" s="1"/>
  <c r="Y405" i="9" l="1"/>
  <c r="V405" i="9"/>
  <c r="P405" i="9" s="1"/>
  <c r="V406" i="9" l="1"/>
  <c r="P406" i="9" s="1"/>
  <c r="Y406" i="9"/>
  <c r="Y407" i="9" l="1"/>
  <c r="V407" i="9"/>
  <c r="P407" i="9" s="1"/>
  <c r="V408" i="9" l="1"/>
  <c r="P408" i="9" s="1"/>
  <c r="Y408" i="9"/>
  <c r="V409" i="9" l="1"/>
  <c r="P409" i="9" s="1"/>
  <c r="Y409" i="9"/>
  <c r="Y410" i="9" l="1"/>
  <c r="V410" i="9"/>
  <c r="P410" i="9" s="1"/>
  <c r="V411" i="9" l="1"/>
  <c r="P411" i="9" s="1"/>
  <c r="Y411" i="9"/>
  <c r="V412" i="9" l="1"/>
  <c r="P412" i="9" s="1"/>
  <c r="Y412" i="9"/>
  <c r="Y413" i="9" l="1"/>
  <c r="V413" i="9"/>
  <c r="P413" i="9" s="1"/>
  <c r="V414" i="9" l="1"/>
  <c r="P414" i="9" s="1"/>
  <c r="Y414" i="9"/>
  <c r="Y415" i="9" l="1"/>
  <c r="V415" i="9"/>
  <c r="P415" i="9" s="1"/>
  <c r="Y416" i="9" l="1"/>
  <c r="V416" i="9"/>
  <c r="P416" i="9" s="1"/>
  <c r="V417" i="9" l="1"/>
  <c r="P417" i="9" s="1"/>
  <c r="Y417" i="9"/>
  <c r="Y418" i="9" l="1"/>
  <c r="V418" i="9"/>
  <c r="P418" i="9" s="1"/>
  <c r="V419" i="9" l="1"/>
  <c r="P419" i="9" s="1"/>
  <c r="Y419" i="9"/>
  <c r="V420" i="9" l="1"/>
  <c r="P420" i="9" s="1"/>
  <c r="Y420" i="9"/>
  <c r="Y421" i="9" l="1"/>
  <c r="V421" i="9"/>
  <c r="P421" i="9" s="1"/>
  <c r="V422" i="9" l="1"/>
  <c r="P422" i="9" s="1"/>
  <c r="Y422" i="9"/>
  <c r="Y423" i="9" l="1"/>
  <c r="V423" i="9"/>
  <c r="P423" i="9" s="1"/>
  <c r="V424" i="9" l="1"/>
  <c r="P424" i="9" s="1"/>
  <c r="Y424" i="9"/>
  <c r="Y425" i="9" l="1"/>
  <c r="V425" i="9"/>
  <c r="P425" i="9" s="1"/>
  <c r="Y426" i="9" l="1"/>
  <c r="V426" i="9"/>
  <c r="P426" i="9" s="1"/>
  <c r="Y427" i="9" l="1"/>
  <c r="V427" i="9"/>
  <c r="P427" i="9" s="1"/>
  <c r="Y428" i="9" l="1"/>
  <c r="V428" i="9"/>
  <c r="P428" i="9" s="1"/>
  <c r="Y429" i="9" l="1"/>
  <c r="V429" i="9"/>
  <c r="P429" i="9" s="1"/>
  <c r="Y430" i="9" l="1"/>
  <c r="V430" i="9"/>
  <c r="P430" i="9" s="1"/>
  <c r="V431" i="9" l="1"/>
  <c r="P431" i="9" s="1"/>
  <c r="Y431" i="9"/>
  <c r="V432" i="9" l="1"/>
  <c r="P432" i="9" s="1"/>
  <c r="Y432" i="9"/>
  <c r="V433" i="9" l="1"/>
  <c r="P433" i="9" s="1"/>
  <c r="Y433" i="9"/>
  <c r="Y434" i="9" l="1"/>
  <c r="V434" i="9"/>
  <c r="P434" i="9" s="1"/>
  <c r="V435" i="9" l="1"/>
  <c r="P435" i="9" s="1"/>
  <c r="Y435" i="9"/>
  <c r="Y436" i="9" l="1"/>
  <c r="V436" i="9"/>
  <c r="P436" i="9" s="1"/>
  <c r="Y437" i="9" l="1"/>
  <c r="V437" i="9"/>
  <c r="P437" i="9" s="1"/>
  <c r="Y438" i="9" l="1"/>
  <c r="V438" i="9"/>
  <c r="P438" i="9" s="1"/>
  <c r="Y439" i="9" l="1"/>
  <c r="V439" i="9"/>
  <c r="P439" i="9" s="1"/>
  <c r="V440" i="9" l="1"/>
  <c r="P440" i="9" s="1"/>
  <c r="Y440" i="9"/>
  <c r="Y441" i="9" l="1"/>
  <c r="V441" i="9"/>
  <c r="P441" i="9" s="1"/>
  <c r="Y442" i="9" l="1"/>
  <c r="V442" i="9"/>
  <c r="P442" i="9" s="1"/>
  <c r="Y443" i="9" l="1"/>
  <c r="V443" i="9"/>
  <c r="P443" i="9" s="1"/>
  <c r="V444" i="9" l="1"/>
  <c r="P444" i="9" s="1"/>
  <c r="Y444" i="9"/>
  <c r="V445" i="9" l="1"/>
  <c r="P445" i="9" s="1"/>
  <c r="Y445" i="9"/>
  <c r="V446" i="9" l="1"/>
  <c r="P446" i="9" s="1"/>
  <c r="Y446" i="9"/>
  <c r="Y447" i="9" l="1"/>
  <c r="V447" i="9"/>
  <c r="P447" i="9" s="1"/>
  <c r="Y448" i="9" l="1"/>
  <c r="V448" i="9"/>
  <c r="P448" i="9" s="1"/>
  <c r="Y449" i="9" l="1"/>
  <c r="V449" i="9"/>
  <c r="P449" i="9" s="1"/>
  <c r="V450" i="9" l="1"/>
  <c r="P450" i="9" s="1"/>
  <c r="Y450" i="9"/>
  <c r="Y451" i="9" l="1"/>
  <c r="V451" i="9"/>
  <c r="P451" i="9" s="1"/>
  <c r="V452" i="9" l="1"/>
  <c r="P452" i="9" s="1"/>
  <c r="Y452" i="9"/>
  <c r="V453" i="9" l="1"/>
  <c r="P453" i="9" s="1"/>
  <c r="Y453" i="9"/>
  <c r="V454" i="9" l="1"/>
  <c r="P454" i="9" s="1"/>
  <c r="Y454" i="9"/>
  <c r="Y455" i="9" l="1"/>
  <c r="V455" i="9"/>
  <c r="P455" i="9" s="1"/>
  <c r="Y456" i="9" l="1"/>
  <c r="V456" i="9"/>
  <c r="P456" i="9" s="1"/>
  <c r="Y457" i="9" l="1"/>
  <c r="V457" i="9"/>
  <c r="P457" i="9" s="1"/>
  <c r="Y458" i="9" l="1"/>
  <c r="V458" i="9"/>
  <c r="P458" i="9" s="1"/>
  <c r="V459" i="9" l="1"/>
  <c r="P459" i="9" s="1"/>
  <c r="Y459" i="9"/>
  <c r="V460" i="9" l="1"/>
  <c r="P460" i="9" s="1"/>
  <c r="Y460" i="9"/>
  <c r="V461" i="9" l="1"/>
  <c r="P461" i="9" s="1"/>
  <c r="Y461" i="9"/>
  <c r="Y462" i="9" l="1"/>
  <c r="V462" i="9"/>
  <c r="P462" i="9" s="1"/>
  <c r="Y463" i="9" l="1"/>
  <c r="V463" i="9"/>
  <c r="P463" i="9" s="1"/>
  <c r="V464" i="9" l="1"/>
  <c r="P464" i="9" s="1"/>
  <c r="Y464" i="9"/>
  <c r="Y465" i="9" l="1"/>
  <c r="V465" i="9"/>
  <c r="P465" i="9" s="1"/>
  <c r="Y466" i="9" l="1"/>
  <c r="V466" i="9"/>
  <c r="P466" i="9" s="1"/>
  <c r="Y467" i="9" l="1"/>
  <c r="V467" i="9"/>
  <c r="P467" i="9" s="1"/>
  <c r="V468" i="9" l="1"/>
  <c r="P468" i="9" s="1"/>
  <c r="Y468" i="9"/>
  <c r="Y469" i="9" l="1"/>
  <c r="V469" i="9"/>
  <c r="P469" i="9" s="1"/>
  <c r="V470" i="9" l="1"/>
  <c r="P470" i="9" s="1"/>
  <c r="Y470" i="9"/>
  <c r="Y471" i="9" l="1"/>
  <c r="V471" i="9"/>
  <c r="P471" i="9" s="1"/>
  <c r="Y472" i="9" l="1"/>
  <c r="V472" i="9"/>
  <c r="P472" i="9" s="1"/>
  <c r="V473" i="9" l="1"/>
  <c r="P473" i="9" s="1"/>
  <c r="Y473" i="9"/>
  <c r="Y474" i="9" l="1"/>
  <c r="V474" i="9"/>
  <c r="P474" i="9" s="1"/>
  <c r="Y475" i="9" l="1"/>
  <c r="V475" i="9"/>
  <c r="P475" i="9" s="1"/>
  <c r="V476" i="9" l="1"/>
  <c r="P476" i="9" s="1"/>
  <c r="Y476" i="9"/>
  <c r="V477" i="9" l="1"/>
  <c r="P477" i="9" s="1"/>
  <c r="Y477" i="9"/>
  <c r="V478" i="9" l="1"/>
  <c r="P478" i="9" s="1"/>
  <c r="Y478" i="9"/>
  <c r="Y479" i="9" l="1"/>
  <c r="V479" i="9"/>
  <c r="P479" i="9" s="1"/>
  <c r="V480" i="9" l="1"/>
  <c r="P480" i="9" s="1"/>
  <c r="Y480" i="9"/>
  <c r="Y481" i="9" l="1"/>
  <c r="V481" i="9"/>
  <c r="P481" i="9" s="1"/>
  <c r="Y482" i="9" l="1"/>
  <c r="V482" i="9"/>
  <c r="P482" i="9" s="1"/>
  <c r="Y483" i="9" l="1"/>
  <c r="V483" i="9"/>
  <c r="P483" i="9" s="1"/>
  <c r="Y484" i="9" l="1"/>
  <c r="V484" i="9"/>
  <c r="P484" i="9" s="1"/>
  <c r="Y485" i="9" l="1"/>
  <c r="V485" i="9"/>
  <c r="P485" i="9" s="1"/>
  <c r="V486" i="9" l="1"/>
  <c r="P486" i="9" s="1"/>
  <c r="Y486" i="9"/>
  <c r="Y487" i="9" l="1"/>
  <c r="V487" i="9"/>
  <c r="P487" i="9" s="1"/>
  <c r="Y488" i="9" l="1"/>
  <c r="V488" i="9"/>
  <c r="P488" i="9" s="1"/>
  <c r="V489" i="9" l="1"/>
  <c r="P489" i="9" s="1"/>
  <c r="Y489" i="9"/>
  <c r="Y490" i="9" l="1"/>
  <c r="V490" i="9"/>
  <c r="P490" i="9" s="1"/>
  <c r="V491" i="9" l="1"/>
  <c r="P491" i="9" s="1"/>
  <c r="Y491" i="9"/>
  <c r="Y492" i="9" l="1"/>
  <c r="V492" i="9"/>
  <c r="P492" i="9" s="1"/>
  <c r="V493" i="9" l="1"/>
  <c r="P493" i="9" s="1"/>
  <c r="Y493" i="9"/>
  <c r="V494" i="9" l="1"/>
  <c r="P494" i="9" s="1"/>
  <c r="Y494" i="9"/>
  <c r="Y495" i="9" l="1"/>
  <c r="V495" i="9"/>
  <c r="P495" i="9" s="1"/>
  <c r="Y496" i="9" l="1"/>
  <c r="V496" i="9"/>
  <c r="P496" i="9" s="1"/>
  <c r="V497" i="9" l="1"/>
  <c r="P497" i="9" s="1"/>
  <c r="Y497" i="9"/>
  <c r="Y498" i="9" l="1"/>
  <c r="V498" i="9"/>
  <c r="P498" i="9" s="1"/>
  <c r="V499" i="9" l="1"/>
  <c r="P499" i="9" s="1"/>
  <c r="Y499" i="9"/>
  <c r="Y500" i="9" l="1"/>
  <c r="V500" i="9"/>
  <c r="P500" i="9" s="1"/>
  <c r="Y501" i="9" l="1"/>
  <c r="V501" i="9"/>
  <c r="P501" i="9" s="1"/>
  <c r="V502" i="9" l="1"/>
  <c r="P502" i="9" s="1"/>
  <c r="Y502" i="9"/>
  <c r="Y503" i="9" l="1"/>
  <c r="V503" i="9"/>
  <c r="P503" i="9" s="1"/>
  <c r="Y504" i="9" l="1"/>
  <c r="V504" i="9"/>
  <c r="P504" i="9" s="1"/>
  <c r="V505" i="9" l="1"/>
  <c r="P505" i="9" s="1"/>
  <c r="Y505" i="9"/>
  <c r="Y506" i="9" l="1"/>
  <c r="V506" i="9"/>
  <c r="P506" i="9" s="1"/>
  <c r="V507" i="9" l="1"/>
  <c r="P507" i="9" s="1"/>
  <c r="Y507" i="9"/>
  <c r="V508" i="9" l="1"/>
  <c r="P508" i="9" s="1"/>
  <c r="Y508" i="9"/>
  <c r="V509" i="9" l="1"/>
  <c r="P509" i="9" s="1"/>
  <c r="Y509" i="9"/>
  <c r="V510" i="9" l="1"/>
  <c r="P510" i="9" s="1"/>
  <c r="Y510" i="9"/>
  <c r="V511" i="9" l="1"/>
  <c r="P511" i="9" s="1"/>
  <c r="Y511" i="9"/>
  <c r="Y512" i="9" l="1"/>
  <c r="V512" i="9"/>
  <c r="P512" i="9" s="1"/>
  <c r="V513" i="9" l="1"/>
  <c r="P513" i="9" s="1"/>
  <c r="Y513" i="9"/>
  <c r="Y514" i="9" l="1"/>
  <c r="V514" i="9"/>
  <c r="P514" i="9" s="1"/>
  <c r="Y515" i="9" l="1"/>
  <c r="V515" i="9"/>
  <c r="P515" i="9" s="1"/>
  <c r="Y516" i="9" l="1"/>
  <c r="V516" i="9"/>
  <c r="P516" i="9" s="1"/>
  <c r="Y517" i="9" l="1"/>
  <c r="V517" i="9"/>
  <c r="P517" i="9" s="1"/>
  <c r="Y518" i="9" l="1"/>
  <c r="V518" i="9"/>
  <c r="P518" i="9" s="1"/>
  <c r="V519" i="9" l="1"/>
  <c r="P519" i="9" s="1"/>
  <c r="Y519" i="9"/>
  <c r="Y520" i="9" l="1"/>
  <c r="V520" i="9"/>
  <c r="P520" i="9" s="1"/>
  <c r="Y521" i="9" l="1"/>
  <c r="V521" i="9"/>
  <c r="P521" i="9" s="1"/>
  <c r="V522" i="9" l="1"/>
  <c r="P522" i="9" s="1"/>
  <c r="Y522" i="9"/>
  <c r="Y523" i="9" l="1"/>
  <c r="V523" i="9"/>
  <c r="P523" i="9" s="1"/>
  <c r="V524" i="9" l="1"/>
  <c r="P524" i="9" s="1"/>
  <c r="Y524" i="9"/>
  <c r="Y525" i="9" l="1"/>
  <c r="V525" i="9"/>
  <c r="P525" i="9" s="1"/>
  <c r="V526" i="9" l="1"/>
  <c r="P526" i="9" s="1"/>
  <c r="Y526" i="9"/>
  <c r="Y527" i="9" l="1"/>
  <c r="V527" i="9"/>
  <c r="P527" i="9" s="1"/>
  <c r="V528" i="9" l="1"/>
  <c r="P528" i="9" s="1"/>
  <c r="Y528" i="9"/>
  <c r="Y529" i="9" l="1"/>
  <c r="V529" i="9"/>
  <c r="P529" i="9" s="1"/>
  <c r="Y530" i="9" l="1"/>
  <c r="V530" i="9"/>
  <c r="P530" i="9" s="1"/>
  <c r="Y531" i="9" l="1"/>
  <c r="V531" i="9"/>
  <c r="P531" i="9" s="1"/>
  <c r="V532" i="9" l="1"/>
  <c r="P532" i="9" s="1"/>
  <c r="Y532" i="9"/>
  <c r="V533" i="9" l="1"/>
  <c r="P533" i="9" s="1"/>
  <c r="Y533" i="9"/>
  <c r="Y534" i="9" l="1"/>
  <c r="V534" i="9"/>
  <c r="P534" i="9" s="1"/>
  <c r="Y535" i="9" l="1"/>
  <c r="V535" i="9"/>
  <c r="P535" i="9" s="1"/>
  <c r="Y536" i="9" l="1"/>
  <c r="V536" i="9"/>
  <c r="P536" i="9" s="1"/>
  <c r="V537" i="9" l="1"/>
  <c r="P537" i="9" s="1"/>
  <c r="Y537" i="9"/>
  <c r="Y538" i="9" l="1"/>
  <c r="V538" i="9"/>
  <c r="P538" i="9" s="1"/>
  <c r="Y539" i="9" l="1"/>
  <c r="V539" i="9"/>
  <c r="P539" i="9" s="1"/>
  <c r="Y540" i="9" l="1"/>
  <c r="V540" i="9"/>
  <c r="P540" i="9" s="1"/>
  <c r="V541" i="9" l="1"/>
  <c r="P541" i="9" s="1"/>
  <c r="Y541" i="9"/>
  <c r="V542" i="9" l="1"/>
  <c r="P542" i="9" s="1"/>
  <c r="Y542" i="9"/>
  <c r="V543" i="9" l="1"/>
  <c r="P543" i="9" s="1"/>
  <c r="Y543" i="9"/>
  <c r="V544" i="9" l="1"/>
  <c r="P544" i="9" s="1"/>
  <c r="Y544" i="9"/>
  <c r="Y545" i="9" l="1"/>
  <c r="V545" i="9"/>
  <c r="P545" i="9" s="1"/>
  <c r="V546" i="9" l="1"/>
  <c r="P546" i="9" s="1"/>
  <c r="Y546" i="9"/>
  <c r="Y547" i="9" l="1"/>
  <c r="V547" i="9"/>
  <c r="P547" i="9" s="1"/>
  <c r="V548" i="9" l="1"/>
  <c r="P548" i="9" s="1"/>
  <c r="Y548" i="9"/>
  <c r="V549" i="9" l="1"/>
  <c r="P549" i="9" s="1"/>
  <c r="Y549" i="9"/>
  <c r="Y550" i="9" l="1"/>
  <c r="V550" i="9"/>
  <c r="P550" i="9" s="1"/>
  <c r="Y551" i="9" l="1"/>
  <c r="V551" i="9"/>
  <c r="P551" i="9" s="1"/>
  <c r="V552" i="9" l="1"/>
  <c r="P552" i="9" s="1"/>
  <c r="Y552" i="9"/>
  <c r="Y553" i="9" l="1"/>
  <c r="V553" i="9"/>
  <c r="P553" i="9" s="1"/>
  <c r="V554" i="9" l="1"/>
  <c r="P554" i="9" s="1"/>
  <c r="Y554" i="9"/>
  <c r="Y555" i="9" l="1"/>
  <c r="V555" i="9"/>
  <c r="P555" i="9" s="1"/>
  <c r="Y556" i="9" l="1"/>
  <c r="V556" i="9"/>
  <c r="P556" i="9" s="1"/>
  <c r="Y557" i="9" l="1"/>
  <c r="V557" i="9"/>
  <c r="P557" i="9" s="1"/>
  <c r="Y558" i="9" l="1"/>
  <c r="V558" i="9"/>
  <c r="P558" i="9" s="1"/>
  <c r="V559" i="9" l="1"/>
  <c r="P559" i="9" s="1"/>
  <c r="Y559" i="9"/>
  <c r="V560" i="9" l="1"/>
  <c r="P560" i="9" s="1"/>
  <c r="Y560" i="9"/>
  <c r="Y561" i="9" l="1"/>
  <c r="V561" i="9"/>
  <c r="P561" i="9" s="1"/>
  <c r="V562" i="9" l="1"/>
  <c r="P562" i="9" s="1"/>
  <c r="Y562" i="9"/>
  <c r="V563" i="9" l="1"/>
  <c r="P563" i="9" s="1"/>
  <c r="Y563" i="9"/>
  <c r="V564" i="9" l="1"/>
  <c r="P564" i="9" s="1"/>
  <c r="Y564" i="9"/>
  <c r="Y565" i="9" l="1"/>
  <c r="V565" i="9"/>
  <c r="P565" i="9" s="1"/>
  <c r="Y566" i="9" l="1"/>
  <c r="V566" i="9"/>
  <c r="P566" i="9" s="1"/>
  <c r="V567" i="9" l="1"/>
  <c r="P567" i="9" s="1"/>
  <c r="Y567" i="9"/>
  <c r="Y568" i="9" l="1"/>
  <c r="V568" i="9"/>
  <c r="P568" i="9" s="1"/>
  <c r="V569" i="9" l="1"/>
  <c r="P569" i="9" s="1"/>
  <c r="Y569" i="9"/>
  <c r="Y570" i="9" l="1"/>
  <c r="V570" i="9"/>
  <c r="P570" i="9" s="1"/>
  <c r="Y571" i="9" l="1"/>
  <c r="V571" i="9"/>
  <c r="P571" i="9" s="1"/>
  <c r="Y572" i="9" l="1"/>
  <c r="V572" i="9"/>
  <c r="P572" i="9" s="1"/>
  <c r="V573" i="9" l="1"/>
  <c r="P573" i="9" s="1"/>
  <c r="Y573" i="9"/>
  <c r="V574" i="9" l="1"/>
  <c r="P574" i="9" s="1"/>
  <c r="Y574" i="9"/>
  <c r="Y575" i="9" l="1"/>
  <c r="V575" i="9"/>
  <c r="P575" i="9" s="1"/>
  <c r="V576" i="9" l="1"/>
  <c r="P576" i="9" s="1"/>
  <c r="Y576" i="9"/>
  <c r="V577" i="9" l="1"/>
  <c r="P577" i="9" s="1"/>
  <c r="Y577" i="9"/>
  <c r="V578" i="9" l="1"/>
  <c r="P578" i="9" s="1"/>
  <c r="Y578" i="9"/>
  <c r="V579" i="9" l="1"/>
  <c r="P579" i="9" s="1"/>
  <c r="Y579" i="9"/>
  <c r="V580" i="9" l="1"/>
  <c r="P580" i="9" s="1"/>
  <c r="Y580" i="9"/>
  <c r="Y581" i="9" l="1"/>
  <c r="V581" i="9"/>
  <c r="P581" i="9" s="1"/>
  <c r="V582" i="9" l="1"/>
  <c r="P582" i="9" s="1"/>
  <c r="Y582" i="9"/>
  <c r="V583" i="9" l="1"/>
  <c r="P583" i="9" s="1"/>
  <c r="Y583" i="9"/>
  <c r="Y584" i="9" l="1"/>
  <c r="V584" i="9"/>
  <c r="P584" i="9" s="1"/>
  <c r="V585" i="9" l="1"/>
  <c r="P585" i="9" s="1"/>
  <c r="Y585" i="9"/>
  <c r="Y586" i="9" l="1"/>
  <c r="V586" i="9"/>
  <c r="P586" i="9" s="1"/>
  <c r="V587" i="9" l="1"/>
  <c r="P587" i="9" s="1"/>
  <c r="Y587" i="9"/>
  <c r="V588" i="9" l="1"/>
  <c r="P588" i="9" s="1"/>
  <c r="Y588" i="9"/>
  <c r="Y589" i="9" l="1"/>
  <c r="V589" i="9"/>
  <c r="P589" i="9" s="1"/>
  <c r="V590" i="9" l="1"/>
  <c r="P590" i="9" s="1"/>
  <c r="Y590" i="9"/>
  <c r="V591" i="9" l="1"/>
  <c r="P591" i="9" s="1"/>
  <c r="Y591" i="9"/>
  <c r="V592" i="9" l="1"/>
  <c r="P592" i="9" s="1"/>
  <c r="Y592" i="9"/>
  <c r="V593" i="9" l="1"/>
  <c r="P593" i="9" s="1"/>
  <c r="Y593" i="9"/>
  <c r="Y594" i="9" l="1"/>
  <c r="V594" i="9"/>
  <c r="P594" i="9" s="1"/>
  <c r="V595" i="9" l="1"/>
  <c r="P595" i="9" s="1"/>
  <c r="Y595" i="9"/>
  <c r="V596" i="9" l="1"/>
  <c r="P596" i="9" s="1"/>
  <c r="Y596" i="9"/>
  <c r="Y597" i="9" l="1"/>
  <c r="V597" i="9"/>
  <c r="P597" i="9" s="1"/>
  <c r="V598" i="9" l="1"/>
  <c r="P598" i="9" s="1"/>
  <c r="Y598" i="9"/>
  <c r="V599" i="9" l="1"/>
  <c r="P599" i="9" s="1"/>
  <c r="Y599" i="9"/>
  <c r="Y600" i="9" l="1"/>
  <c r="V600" i="9"/>
  <c r="P600" i="9" s="1"/>
  <c r="V601" i="9" l="1"/>
  <c r="P601" i="9" s="1"/>
  <c r="Y601" i="9"/>
  <c r="Y602" i="9" l="1"/>
  <c r="V602" i="9"/>
  <c r="P602" i="9" s="1"/>
  <c r="Y603" i="9" l="1"/>
  <c r="V603" i="9"/>
  <c r="P603" i="9" s="1"/>
  <c r="V604" i="9" l="1"/>
  <c r="P604" i="9" s="1"/>
  <c r="Y604" i="9"/>
  <c r="V605" i="9" l="1"/>
  <c r="P605" i="9" s="1"/>
  <c r="Y605" i="9"/>
  <c r="V606" i="9" l="1"/>
  <c r="P606" i="9" s="1"/>
  <c r="Y606" i="9"/>
  <c r="Y607" i="9" l="1"/>
  <c r="V607" i="9"/>
  <c r="P607" i="9" s="1"/>
  <c r="V608" i="9" l="1"/>
  <c r="P608" i="9" s="1"/>
  <c r="Y608" i="9"/>
  <c r="V609" i="9" l="1"/>
  <c r="P609" i="9" s="1"/>
  <c r="Y609" i="9"/>
  <c r="V610" i="9" l="1"/>
  <c r="P610" i="9" s="1"/>
  <c r="Y610" i="9"/>
  <c r="V611" i="9" l="1"/>
  <c r="P611" i="9" s="1"/>
  <c r="Y611" i="9"/>
  <c r="V612" i="9" l="1"/>
  <c r="P612" i="9" s="1"/>
  <c r="Y612" i="9"/>
  <c r="Y613" i="9" l="1"/>
  <c r="V613" i="9"/>
  <c r="P613" i="9" s="1"/>
  <c r="V614" i="9" l="1"/>
  <c r="P614" i="9" s="1"/>
  <c r="Y614" i="9"/>
  <c r="V615" i="9" l="1"/>
  <c r="P615" i="9" s="1"/>
  <c r="Y615" i="9"/>
  <c r="Y616" i="9" l="1"/>
  <c r="V616" i="9"/>
  <c r="P616" i="9" s="1"/>
  <c r="Y617" i="9" l="1"/>
  <c r="V617" i="9"/>
  <c r="P617" i="9" s="1"/>
  <c r="Y618" i="9" l="1"/>
  <c r="V618" i="9"/>
  <c r="P618" i="9" s="1"/>
  <c r="Y619" i="9" l="1"/>
  <c r="V619" i="9"/>
  <c r="P619" i="9" s="1"/>
  <c r="V620" i="9" l="1"/>
  <c r="P620" i="9" s="1"/>
  <c r="Y620" i="9"/>
  <c r="V621" i="9" l="1"/>
  <c r="P621" i="9" s="1"/>
  <c r="Y621" i="9"/>
  <c r="Y622" i="9" l="1"/>
  <c r="V622" i="9"/>
  <c r="P622" i="9" s="1"/>
  <c r="V623" i="9" l="1"/>
  <c r="P623" i="9" s="1"/>
  <c r="Y623" i="9"/>
  <c r="Y624" i="9" l="1"/>
  <c r="V624" i="9"/>
  <c r="P624" i="9" s="1"/>
  <c r="V625" i="9" l="1"/>
  <c r="P625" i="9" s="1"/>
  <c r="Y625" i="9"/>
  <c r="V626" i="9" l="1"/>
  <c r="P626" i="9" s="1"/>
  <c r="Y626" i="9"/>
  <c r="Y627" i="9" l="1"/>
  <c r="V627" i="9"/>
  <c r="P627" i="9" s="1"/>
  <c r="Y628" i="9" l="1"/>
  <c r="V628" i="9"/>
  <c r="P628" i="9" s="1"/>
  <c r="V629" i="9" l="1"/>
  <c r="P629" i="9" s="1"/>
  <c r="Y629" i="9"/>
  <c r="V630" i="9" l="1"/>
  <c r="P630" i="9" s="1"/>
  <c r="Y630" i="9"/>
  <c r="V631" i="9" l="1"/>
  <c r="P631" i="9" s="1"/>
  <c r="Y631" i="9"/>
  <c r="Y632" i="9" l="1"/>
  <c r="V632" i="9"/>
  <c r="P632" i="9" s="1"/>
  <c r="V633" i="9" l="1"/>
  <c r="P633" i="9" s="1"/>
  <c r="Y633" i="9"/>
  <c r="Y634" i="9" l="1"/>
  <c r="V634" i="9"/>
  <c r="P634" i="9" s="1"/>
  <c r="V635" i="9" l="1"/>
  <c r="P635" i="9" s="1"/>
  <c r="Y635" i="9"/>
  <c r="Y636" i="9" l="1"/>
  <c r="V636" i="9"/>
  <c r="P636" i="9" s="1"/>
  <c r="V637" i="9" l="1"/>
  <c r="P637" i="9" s="1"/>
  <c r="Y637" i="9"/>
  <c r="V638" i="9" l="1"/>
  <c r="P638" i="9" s="1"/>
  <c r="Y638" i="9"/>
  <c r="V639" i="9" l="1"/>
  <c r="P639" i="9" s="1"/>
  <c r="Y639" i="9"/>
  <c r="V640" i="9" l="1"/>
  <c r="P640" i="9" s="1"/>
  <c r="Y640" i="9"/>
  <c r="V641" i="9" l="1"/>
  <c r="P641" i="9" s="1"/>
  <c r="Y641" i="9"/>
  <c r="V642" i="9" l="1"/>
  <c r="P642" i="9" s="1"/>
  <c r="Y642" i="9"/>
  <c r="V643" i="9" l="1"/>
  <c r="P643" i="9" s="1"/>
  <c r="Y643" i="9"/>
  <c r="V644" i="9" l="1"/>
  <c r="P644" i="9" s="1"/>
  <c r="Y644" i="9"/>
  <c r="Y645" i="9" l="1"/>
  <c r="V645" i="9"/>
  <c r="P645" i="9" s="1"/>
  <c r="V646" i="9" l="1"/>
  <c r="P646" i="9" s="1"/>
  <c r="Y646" i="9"/>
  <c r="V647" i="9" l="1"/>
  <c r="P647" i="9" s="1"/>
  <c r="Y647" i="9"/>
  <c r="V648" i="9" l="1"/>
  <c r="P648" i="9" s="1"/>
  <c r="Y648" i="9"/>
  <c r="V649" i="9" l="1"/>
  <c r="P649" i="9" s="1"/>
  <c r="Y649" i="9"/>
  <c r="V650" i="9" l="1"/>
  <c r="P650" i="9" s="1"/>
  <c r="Y650" i="9"/>
  <c r="Y651" i="9" l="1"/>
  <c r="V651" i="9"/>
  <c r="P651" i="9" s="1"/>
  <c r="V652" i="9" l="1"/>
  <c r="P652" i="9" s="1"/>
  <c r="Y652" i="9"/>
  <c r="V653" i="9" l="1"/>
  <c r="P653" i="9" s="1"/>
  <c r="Y653" i="9"/>
  <c r="Y654" i="9" l="1"/>
  <c r="V654" i="9"/>
  <c r="P654" i="9" s="1"/>
  <c r="V655" i="9" l="1"/>
  <c r="P655" i="9" s="1"/>
  <c r="Y655" i="9"/>
  <c r="Y656" i="9" l="1"/>
  <c r="V656" i="9"/>
  <c r="P656" i="9" s="1"/>
  <c r="Y657" i="9" l="1"/>
  <c r="V657" i="9"/>
  <c r="P657" i="9" s="1"/>
  <c r="V658" i="9" l="1"/>
  <c r="P658" i="9" s="1"/>
  <c r="Y658" i="9"/>
  <c r="Y659" i="9" l="1"/>
  <c r="V659" i="9"/>
  <c r="P659" i="9" s="1"/>
  <c r="V660" i="9" l="1"/>
  <c r="P660" i="9" s="1"/>
  <c r="Y660" i="9"/>
  <c r="V661" i="9" l="1"/>
  <c r="P661" i="9" s="1"/>
  <c r="Y661" i="9"/>
  <c r="Y662" i="9" l="1"/>
  <c r="V662" i="9"/>
  <c r="P662" i="9" s="1"/>
  <c r="Y663" i="9" l="1"/>
  <c r="V663" i="9"/>
  <c r="P663" i="9" s="1"/>
  <c r="V664" i="9" l="1"/>
  <c r="P664" i="9" s="1"/>
  <c r="Y664" i="9"/>
  <c r="Y665" i="9" l="1"/>
  <c r="V665" i="9"/>
  <c r="P665" i="9" s="1"/>
  <c r="V666" i="9" l="1"/>
  <c r="P666" i="9" s="1"/>
  <c r="Y666" i="9"/>
  <c r="V667" i="9" l="1"/>
  <c r="P667" i="9" s="1"/>
  <c r="Y667" i="9"/>
  <c r="Y668" i="9" l="1"/>
  <c r="V668" i="9"/>
  <c r="P668" i="9" s="1"/>
  <c r="V669" i="9" l="1"/>
  <c r="P669" i="9" s="1"/>
  <c r="Y669" i="9"/>
  <c r="Y670" i="9" l="1"/>
  <c r="V670" i="9"/>
  <c r="P670" i="9" s="1"/>
  <c r="V671" i="9" l="1"/>
  <c r="P671" i="9" s="1"/>
  <c r="Y671" i="9"/>
  <c r="Y672" i="9" l="1"/>
  <c r="V672" i="9"/>
  <c r="P672" i="9" s="1"/>
  <c r="V673" i="9" l="1"/>
  <c r="P673" i="9" s="1"/>
  <c r="Y673" i="9"/>
  <c r="Y674" i="9" l="1"/>
  <c r="V674" i="9"/>
  <c r="P674" i="9" s="1"/>
  <c r="Y675" i="9" l="1"/>
  <c r="V675" i="9"/>
  <c r="P675" i="9" s="1"/>
  <c r="V676" i="9" l="1"/>
  <c r="P676" i="9" s="1"/>
  <c r="Y676" i="9"/>
  <c r="V677" i="9" l="1"/>
  <c r="P677" i="9" s="1"/>
  <c r="Y677" i="9"/>
  <c r="V678" i="9" l="1"/>
  <c r="P678" i="9" s="1"/>
  <c r="Y678" i="9"/>
  <c r="V679" i="9" l="1"/>
  <c r="P679" i="9" s="1"/>
  <c r="Y679" i="9"/>
  <c r="V680" i="9" l="1"/>
  <c r="P680" i="9" s="1"/>
  <c r="Y680" i="9"/>
  <c r="V681" i="9" l="1"/>
  <c r="P681" i="9" s="1"/>
  <c r="Y681" i="9"/>
  <c r="V682" i="9" l="1"/>
  <c r="P682" i="9" s="1"/>
  <c r="Y682" i="9"/>
  <c r="V683" i="9" l="1"/>
  <c r="P683" i="9" s="1"/>
  <c r="Y683" i="9"/>
  <c r="Y684" i="9" l="1"/>
  <c r="V684" i="9"/>
  <c r="P684" i="9" s="1"/>
  <c r="Y685" i="9" l="1"/>
  <c r="V685" i="9"/>
  <c r="P685" i="9" s="1"/>
  <c r="Y686" i="9" l="1"/>
  <c r="V686" i="9"/>
  <c r="P686" i="9" s="1"/>
  <c r="Y687" i="9" l="1"/>
  <c r="V687" i="9"/>
  <c r="P687" i="9" s="1"/>
  <c r="V688" i="9" l="1"/>
  <c r="P688" i="9" s="1"/>
  <c r="Y688" i="9"/>
  <c r="V689" i="9" l="1"/>
  <c r="P689" i="9" s="1"/>
  <c r="Y689" i="9"/>
  <c r="Y690" i="9" l="1"/>
  <c r="V690" i="9"/>
  <c r="P690" i="9" s="1"/>
  <c r="V691" i="9" l="1"/>
  <c r="P691" i="9" s="1"/>
  <c r="Y691" i="9"/>
  <c r="Y692" i="9" l="1"/>
  <c r="V692" i="9"/>
  <c r="P692" i="9" s="1"/>
  <c r="Y693" i="9" l="1"/>
  <c r="V693" i="9"/>
  <c r="P693" i="9" s="1"/>
  <c r="V694" i="9" l="1"/>
  <c r="P694" i="9" s="1"/>
  <c r="Y694" i="9"/>
  <c r="V695" i="9" l="1"/>
  <c r="P695" i="9" s="1"/>
  <c r="Y695" i="9"/>
  <c r="Y696" i="9" l="1"/>
  <c r="V696" i="9"/>
  <c r="P696" i="9" s="1"/>
  <c r="Y697" i="9" l="1"/>
  <c r="V697" i="9"/>
  <c r="P697" i="9" s="1"/>
  <c r="V698" i="9" l="1"/>
  <c r="P698" i="9" s="1"/>
  <c r="Y698" i="9"/>
  <c r="Y699" i="9" l="1"/>
  <c r="V699" i="9"/>
  <c r="P699" i="9" s="1"/>
  <c r="Y700" i="9" l="1"/>
  <c r="V700" i="9"/>
  <c r="P700" i="9" s="1"/>
  <c r="Y701" i="9" l="1"/>
  <c r="V701" i="9"/>
  <c r="P701" i="9" s="1"/>
  <c r="V702" i="9" l="1"/>
  <c r="P702" i="9" s="1"/>
  <c r="Y702" i="9"/>
  <c r="V703" i="9" l="1"/>
  <c r="P703" i="9" s="1"/>
  <c r="Y703" i="9"/>
  <c r="Y704" i="9" l="1"/>
  <c r="V704" i="9"/>
  <c r="P704" i="9" s="1"/>
  <c r="V705" i="9" l="1"/>
  <c r="P705" i="9" s="1"/>
  <c r="Y705" i="9"/>
  <c r="V706" i="9" l="1"/>
  <c r="P706" i="9" s="1"/>
  <c r="Y706" i="9"/>
  <c r="Y707" i="9" l="1"/>
  <c r="V707" i="9"/>
  <c r="P707" i="9" s="1"/>
  <c r="V708" i="9" l="1"/>
  <c r="P708" i="9" s="1"/>
  <c r="Y708" i="9"/>
  <c r="V709" i="9" l="1"/>
  <c r="P709" i="9" s="1"/>
  <c r="Y709" i="9"/>
  <c r="Y710" i="9" l="1"/>
  <c r="V710" i="9"/>
  <c r="P710" i="9" s="1"/>
  <c r="Y711" i="9" l="1"/>
  <c r="V711" i="9"/>
  <c r="P711" i="9" s="1"/>
  <c r="V712" i="9" l="1"/>
  <c r="P712" i="9" s="1"/>
  <c r="Y712" i="9"/>
  <c r="V713" i="9" l="1"/>
  <c r="P713" i="9" s="1"/>
  <c r="Y713" i="9"/>
  <c r="V714" i="9" l="1"/>
  <c r="P714" i="9" s="1"/>
  <c r="Y714" i="9"/>
  <c r="Y715" i="9" l="1"/>
  <c r="V715" i="9"/>
  <c r="P715" i="9" s="1"/>
  <c r="V716" i="9" l="1"/>
  <c r="P716" i="9" s="1"/>
  <c r="Y716" i="9"/>
  <c r="V717" i="9" l="1"/>
  <c r="P717" i="9" s="1"/>
  <c r="Y717" i="9"/>
  <c r="V718" i="9" l="1"/>
  <c r="P718" i="9" s="1"/>
  <c r="Y718" i="9"/>
  <c r="Y719" i="9" l="1"/>
  <c r="V719" i="9"/>
  <c r="P719" i="9" s="1"/>
  <c r="Y720" i="9" l="1"/>
  <c r="V720" i="9"/>
  <c r="P720" i="9" s="1"/>
  <c r="Y721" i="9" l="1"/>
  <c r="V721" i="9"/>
  <c r="P721" i="9" s="1"/>
  <c r="Y722" i="9" l="1"/>
  <c r="V722" i="9"/>
  <c r="P722" i="9" s="1"/>
  <c r="V723" i="9" l="1"/>
  <c r="P723" i="9" s="1"/>
  <c r="Y723" i="9"/>
  <c r="V724" i="9" l="1"/>
  <c r="P724" i="9" s="1"/>
  <c r="Y724" i="9"/>
  <c r="V725" i="9" l="1"/>
  <c r="P725" i="9" s="1"/>
  <c r="Y725" i="9"/>
  <c r="V726" i="9" l="1"/>
  <c r="P726" i="9" s="1"/>
  <c r="Y726" i="9"/>
  <c r="Y727" i="9" l="1"/>
  <c r="V727" i="9"/>
  <c r="P727" i="9" s="1"/>
  <c r="Y728" i="9" l="1"/>
  <c r="V728" i="9"/>
  <c r="P728" i="9" s="1"/>
  <c r="Y729" i="9" l="1"/>
  <c r="V729" i="9"/>
  <c r="P729" i="9" s="1"/>
  <c r="Y730" i="9" l="1"/>
  <c r="V730" i="9"/>
  <c r="P730" i="9" s="1"/>
  <c r="V731" i="9" l="1"/>
  <c r="P731" i="9" s="1"/>
  <c r="Y731" i="9"/>
  <c r="V732" i="9" l="1"/>
  <c r="P732" i="9" s="1"/>
  <c r="Y732" i="9"/>
  <c r="Y733" i="9" l="1"/>
  <c r="V733" i="9"/>
  <c r="P733" i="9" s="1"/>
  <c r="Y734" i="9" l="1"/>
  <c r="V734" i="9"/>
  <c r="P734" i="9" s="1"/>
  <c r="Y735" i="9" l="1"/>
  <c r="V735" i="9"/>
  <c r="P735" i="9" s="1"/>
  <c r="Y736" i="9" l="1"/>
  <c r="V736" i="9"/>
  <c r="P736" i="9" s="1"/>
  <c r="V737" i="9" l="1"/>
  <c r="P737" i="9" s="1"/>
  <c r="Y737" i="9"/>
  <c r="Y738" i="9" l="1"/>
  <c r="V738" i="9"/>
  <c r="P738" i="9" s="1"/>
  <c r="Y739" i="9" l="1"/>
  <c r="V739" i="9"/>
  <c r="P739" i="9" s="1"/>
  <c r="V740" i="9" l="1"/>
  <c r="P740" i="9" s="1"/>
  <c r="Y740" i="9"/>
  <c r="V741" i="9" l="1"/>
  <c r="P741" i="9" s="1"/>
  <c r="Y741" i="9"/>
  <c r="V742" i="9" l="1"/>
  <c r="P742" i="9" s="1"/>
  <c r="Y742" i="9"/>
  <c r="Y743" i="9" l="1"/>
  <c r="V743" i="9"/>
  <c r="P743" i="9" s="1"/>
  <c r="V744" i="9" l="1"/>
  <c r="P744" i="9" s="1"/>
  <c r="Y744" i="9"/>
  <c r="Y745" i="9" l="1"/>
  <c r="V745" i="9"/>
  <c r="P745" i="9" s="1"/>
  <c r="V746" i="9" l="1"/>
  <c r="P746" i="9" s="1"/>
  <c r="Y746" i="9"/>
  <c r="V747" i="9" l="1"/>
  <c r="P747" i="9" s="1"/>
  <c r="Y747" i="9"/>
  <c r="Y748" i="9" l="1"/>
  <c r="V748" i="9"/>
  <c r="P748" i="9" s="1"/>
  <c r="V749" i="9" l="1"/>
  <c r="P749" i="9" s="1"/>
  <c r="Y749" i="9"/>
  <c r="V750" i="9" l="1"/>
  <c r="P750" i="9" s="1"/>
  <c r="Y750" i="9"/>
  <c r="Y751" i="9" l="1"/>
  <c r="V751" i="9"/>
  <c r="P751" i="9" s="1"/>
  <c r="V752" i="9" l="1"/>
  <c r="P752" i="9" s="1"/>
  <c r="Y752" i="9"/>
  <c r="Y753" i="9" l="1"/>
  <c r="V753" i="9"/>
  <c r="P753" i="9" s="1"/>
  <c r="Y754" i="9" l="1"/>
  <c r="V754" i="9"/>
  <c r="P754" i="9" s="1"/>
  <c r="V755" i="9" l="1"/>
  <c r="P755" i="9" s="1"/>
  <c r="Y755" i="9"/>
  <c r="Y756" i="9" l="1"/>
  <c r="V756" i="9"/>
  <c r="P756" i="9" s="1"/>
  <c r="Y757" i="9" l="1"/>
  <c r="V757" i="9"/>
  <c r="P757" i="9" s="1"/>
  <c r="V758" i="9" l="1"/>
  <c r="P758" i="9" s="1"/>
  <c r="Y758" i="9"/>
  <c r="Y759" i="9" l="1"/>
  <c r="V759" i="9"/>
  <c r="P759" i="9" s="1"/>
  <c r="V760" i="9" l="1"/>
  <c r="P760" i="9" s="1"/>
  <c r="Y760" i="9"/>
  <c r="Y761" i="9" l="1"/>
  <c r="V761" i="9"/>
  <c r="P761" i="9" s="1"/>
  <c r="V762" i="9" l="1"/>
  <c r="P762" i="9" s="1"/>
  <c r="Y762" i="9"/>
  <c r="Y763" i="9" l="1"/>
  <c r="V763" i="9"/>
  <c r="P763" i="9" s="1"/>
  <c r="V764" i="9" l="1"/>
  <c r="P764" i="9" s="1"/>
  <c r="Y764" i="9"/>
  <c r="Y765" i="9" l="1"/>
  <c r="V765" i="9"/>
  <c r="P765" i="9" s="1"/>
  <c r="Y766" i="9" l="1"/>
  <c r="V766" i="9"/>
  <c r="P766" i="9" s="1"/>
  <c r="Y767" i="9" l="1"/>
  <c r="V767" i="9"/>
  <c r="P767" i="9" s="1"/>
  <c r="V768" i="9" l="1"/>
  <c r="P768" i="9" s="1"/>
  <c r="Y768" i="9"/>
  <c r="V769" i="9" l="1"/>
  <c r="P769" i="9" s="1"/>
  <c r="Y769" i="9"/>
  <c r="V770" i="9" l="1"/>
  <c r="P770" i="9" s="1"/>
  <c r="Y770" i="9"/>
  <c r="V771" i="9" l="1"/>
  <c r="P771" i="9" s="1"/>
  <c r="Y771" i="9"/>
  <c r="Y772" i="9" l="1"/>
  <c r="V772" i="9"/>
  <c r="P772" i="9" s="1"/>
  <c r="V773" i="9" l="1"/>
  <c r="P773" i="9" s="1"/>
  <c r="Y773" i="9"/>
  <c r="Y774" i="9" l="1"/>
  <c r="V774" i="9"/>
  <c r="P774" i="9" s="1"/>
  <c r="Y775" i="9" l="1"/>
  <c r="V775" i="9"/>
  <c r="P775" i="9" s="1"/>
  <c r="Y776" i="9" l="1"/>
  <c r="V776" i="9"/>
  <c r="P776" i="9" s="1"/>
  <c r="V777" i="9" l="1"/>
  <c r="P777" i="9" s="1"/>
  <c r="Y777" i="9"/>
  <c r="V778" i="9" l="1"/>
  <c r="P778" i="9" s="1"/>
  <c r="Y778" i="9"/>
  <c r="Y779" i="9" l="1"/>
  <c r="V779" i="9"/>
  <c r="P779" i="9" s="1"/>
  <c r="Y780" i="9" l="1"/>
  <c r="V780" i="9"/>
  <c r="P780" i="9" s="1"/>
  <c r="Y781" i="9" l="1"/>
  <c r="V781" i="9"/>
  <c r="P781" i="9" s="1"/>
  <c r="Y782" i="9" l="1"/>
  <c r="V782" i="9"/>
  <c r="P782" i="9" s="1"/>
  <c r="V783" i="9" l="1"/>
  <c r="P783" i="9" s="1"/>
  <c r="Y783" i="9"/>
  <c r="V784" i="9" l="1"/>
  <c r="P784" i="9" s="1"/>
  <c r="Y784" i="9"/>
  <c r="V785" i="9" l="1"/>
  <c r="P785" i="9" s="1"/>
  <c r="Y785" i="9"/>
  <c r="Y786" i="9" l="1"/>
  <c r="V786" i="9"/>
  <c r="P786" i="9" s="1"/>
  <c r="V787" i="9" l="1"/>
  <c r="P787" i="9" s="1"/>
  <c r="Y787" i="9"/>
  <c r="V788" i="9" l="1"/>
  <c r="P788" i="9" s="1"/>
  <c r="Y788" i="9"/>
  <c r="Y789" i="9" l="1"/>
  <c r="V789" i="9"/>
  <c r="P789" i="9" s="1"/>
  <c r="Y790" i="9" l="1"/>
  <c r="V790" i="9"/>
  <c r="P790" i="9" s="1"/>
  <c r="V791" i="9" l="1"/>
  <c r="P791" i="9" s="1"/>
  <c r="Y791" i="9"/>
  <c r="V792" i="9" l="1"/>
  <c r="P792" i="9" s="1"/>
  <c r="Y792" i="9"/>
  <c r="Y793" i="9" l="1"/>
  <c r="V793" i="9"/>
  <c r="P793" i="9" s="1"/>
  <c r="Y794" i="9" l="1"/>
  <c r="V794" i="9"/>
  <c r="P794" i="9" s="1"/>
  <c r="Y795" i="9" l="1"/>
  <c r="V795" i="9"/>
  <c r="P795" i="9" s="1"/>
  <c r="Y796" i="9" l="1"/>
  <c r="V796" i="9"/>
  <c r="P796" i="9" s="1"/>
  <c r="V797" i="9" l="1"/>
  <c r="P797" i="9" s="1"/>
  <c r="Y797" i="9"/>
  <c r="Y798" i="9" l="1"/>
  <c r="V798" i="9"/>
  <c r="P798" i="9" s="1"/>
  <c r="V799" i="9" l="1"/>
  <c r="P799" i="9" s="1"/>
  <c r="Y799" i="9"/>
  <c r="V800" i="9" l="1"/>
  <c r="P800" i="9" s="1"/>
  <c r="Y800" i="9"/>
  <c r="Y801" i="9" l="1"/>
  <c r="V801" i="9"/>
  <c r="P801" i="9" s="1"/>
  <c r="V802" i="9" l="1"/>
  <c r="P802" i="9" s="1"/>
  <c r="Y802" i="9"/>
  <c r="V803" i="9" l="1"/>
  <c r="P803" i="9" s="1"/>
  <c r="Y803" i="9"/>
  <c r="V804" i="9" l="1"/>
  <c r="P804" i="9" s="1"/>
  <c r="Y804" i="9"/>
  <c r="V805" i="9" l="1"/>
  <c r="P805" i="9" s="1"/>
  <c r="Y805" i="9"/>
  <c r="V806" i="9" l="1"/>
  <c r="P806" i="9" s="1"/>
  <c r="Y806" i="9"/>
  <c r="V807" i="9" l="1"/>
  <c r="P807" i="9" s="1"/>
  <c r="Y807" i="9"/>
  <c r="V808" i="9" l="1"/>
  <c r="P808" i="9" s="1"/>
  <c r="Y808" i="9"/>
  <c r="Y809" i="9" l="1"/>
  <c r="V809" i="9"/>
  <c r="P809" i="9" s="1"/>
  <c r="Y810" i="9" l="1"/>
  <c r="V810" i="9"/>
  <c r="P810" i="9" s="1"/>
  <c r="Y811" i="9" l="1"/>
  <c r="V811" i="9"/>
  <c r="P811" i="9" s="1"/>
  <c r="V812" i="9" l="1"/>
  <c r="P812" i="9" s="1"/>
  <c r="Y812" i="9"/>
  <c r="V813" i="9" l="1"/>
  <c r="P813" i="9" s="1"/>
  <c r="Y813" i="9"/>
  <c r="V814" i="9" l="1"/>
  <c r="P814" i="9" s="1"/>
  <c r="Y814" i="9"/>
  <c r="V815" i="9" l="1"/>
  <c r="P815" i="9" s="1"/>
  <c r="Y815" i="9"/>
  <c r="Y816" i="9" l="1"/>
  <c r="V816" i="9"/>
  <c r="P816" i="9" s="1"/>
  <c r="V817" i="9" l="1"/>
  <c r="P817" i="9" s="1"/>
  <c r="Y817" i="9"/>
  <c r="V818" i="9" l="1"/>
  <c r="P818" i="9" s="1"/>
  <c r="Y818" i="9"/>
  <c r="V819" i="9" l="1"/>
  <c r="P819" i="9" s="1"/>
  <c r="Y819" i="9"/>
  <c r="Y820" i="9" l="1"/>
  <c r="V820" i="9"/>
  <c r="P820" i="9" s="1"/>
  <c r="Y821" i="9" l="1"/>
  <c r="V821" i="9"/>
  <c r="P821" i="9" s="1"/>
  <c r="V822" i="9" l="1"/>
  <c r="P822" i="9" s="1"/>
  <c r="Y822" i="9"/>
  <c r="V823" i="9" l="1"/>
  <c r="P823" i="9" s="1"/>
  <c r="Y823" i="9"/>
  <c r="Y824" i="9" l="1"/>
  <c r="V824" i="9"/>
  <c r="P824" i="9" s="1"/>
  <c r="Y825" i="9" l="1"/>
  <c r="V825" i="9"/>
  <c r="P825" i="9" s="1"/>
  <c r="V826" i="9" l="1"/>
  <c r="P826" i="9" s="1"/>
  <c r="Y826" i="9"/>
  <c r="V827" i="9" l="1"/>
  <c r="P827" i="9" s="1"/>
  <c r="Y827" i="9"/>
  <c r="V828" i="9" l="1"/>
  <c r="P828" i="9" s="1"/>
  <c r="Y828" i="9"/>
  <c r="Y829" i="9" l="1"/>
  <c r="V829" i="9"/>
  <c r="P829" i="9" s="1"/>
  <c r="V830" i="9" l="1"/>
  <c r="P830" i="9" s="1"/>
  <c r="Y830" i="9"/>
  <c r="Y831" i="9" l="1"/>
  <c r="V831" i="9"/>
  <c r="P831" i="9" s="1"/>
  <c r="V832" i="9" l="1"/>
  <c r="P832" i="9" s="1"/>
  <c r="Y832" i="9"/>
  <c r="Y833" i="9" l="1"/>
  <c r="V833" i="9"/>
  <c r="P833" i="9" s="1"/>
  <c r="V834" i="9" l="1"/>
  <c r="P834" i="9" s="1"/>
  <c r="Y834" i="9"/>
  <c r="Y835" i="9" l="1"/>
  <c r="V835" i="9"/>
  <c r="P835" i="9" s="1"/>
  <c r="Y836" i="9" l="1"/>
  <c r="V836" i="9"/>
  <c r="P836" i="9" s="1"/>
  <c r="V837" i="9" l="1"/>
  <c r="P837" i="9" s="1"/>
  <c r="Y837" i="9"/>
  <c r="Y838" i="9" l="1"/>
  <c r="V838" i="9"/>
  <c r="P838" i="9" s="1"/>
  <c r="V839" i="9" l="1"/>
  <c r="P839" i="9" s="1"/>
  <c r="Y839" i="9"/>
  <c r="V840" i="9" l="1"/>
  <c r="P840" i="9" s="1"/>
  <c r="Y840" i="9"/>
  <c r="V841" i="9" l="1"/>
  <c r="P841" i="9" s="1"/>
  <c r="Y841" i="9"/>
  <c r="V842" i="9" l="1"/>
  <c r="P842" i="9" s="1"/>
  <c r="Y842" i="9"/>
  <c r="V843" i="9" l="1"/>
  <c r="P843" i="9" s="1"/>
  <c r="Y843" i="9"/>
  <c r="V844" i="9" l="1"/>
  <c r="P844" i="9" s="1"/>
  <c r="Y844" i="9"/>
  <c r="V845" i="9" l="1"/>
  <c r="P845" i="9" s="1"/>
  <c r="Y845" i="9"/>
  <c r="Y846" i="9" l="1"/>
  <c r="V846" i="9"/>
  <c r="P846" i="9" s="1"/>
  <c r="V847" i="9" l="1"/>
  <c r="P847" i="9" s="1"/>
  <c r="Y847" i="9"/>
  <c r="V848" i="9" l="1"/>
  <c r="P848" i="9" s="1"/>
  <c r="Y848" i="9"/>
  <c r="Y849" i="9" l="1"/>
  <c r="V849" i="9"/>
  <c r="P849" i="9" s="1"/>
  <c r="V850" i="9" l="1"/>
  <c r="P850" i="9" s="1"/>
  <c r="Y850" i="9"/>
  <c r="Y851" i="9" l="1"/>
  <c r="V851" i="9"/>
  <c r="P851" i="9" s="1"/>
  <c r="Y852" i="9" l="1"/>
  <c r="V852" i="9"/>
  <c r="P852" i="9" s="1"/>
  <c r="Y853" i="9" l="1"/>
  <c r="V853" i="9"/>
  <c r="P853" i="9" s="1"/>
  <c r="V854" i="9" l="1"/>
  <c r="P854" i="9" s="1"/>
  <c r="Y854" i="9"/>
  <c r="V855" i="9" l="1"/>
  <c r="P855" i="9" s="1"/>
  <c r="Y855" i="9"/>
  <c r="V856" i="9" l="1"/>
  <c r="P856" i="9" s="1"/>
  <c r="Y856" i="9"/>
  <c r="Y857" i="9" l="1"/>
  <c r="V857" i="9"/>
  <c r="P857" i="9" s="1"/>
  <c r="Y858" i="9" l="1"/>
  <c r="V858" i="9"/>
  <c r="P858" i="9" s="1"/>
  <c r="V859" i="9" l="1"/>
  <c r="P859" i="9" s="1"/>
  <c r="Y859" i="9"/>
  <c r="V860" i="9" l="1"/>
  <c r="P860" i="9" s="1"/>
  <c r="Y860" i="9"/>
  <c r="V861" i="9" l="1"/>
  <c r="P861" i="9" s="1"/>
  <c r="Y861" i="9"/>
  <c r="Y862" i="9" l="1"/>
  <c r="V862" i="9"/>
  <c r="P862" i="9" s="1"/>
  <c r="V863" i="9" l="1"/>
  <c r="P863" i="9" s="1"/>
  <c r="Y863" i="9"/>
  <c r="V864" i="9" l="1"/>
  <c r="P864" i="9" s="1"/>
  <c r="Y864" i="9"/>
  <c r="V865" i="9" l="1"/>
  <c r="P865" i="9" s="1"/>
  <c r="Y865" i="9"/>
  <c r="Y866" i="9" l="1"/>
  <c r="V866" i="9"/>
  <c r="P866" i="9" s="1"/>
  <c r="V867" i="9" l="1"/>
  <c r="P867" i="9" s="1"/>
  <c r="Y867" i="9"/>
  <c r="V868" i="9" l="1"/>
  <c r="P868" i="9" s="1"/>
  <c r="Y868" i="9"/>
  <c r="Y869" i="9" l="1"/>
  <c r="V869" i="9"/>
  <c r="P869" i="9" s="1"/>
  <c r="Y870" i="9" l="1"/>
  <c r="V870" i="9"/>
  <c r="P870" i="9" s="1"/>
  <c r="Y871" i="9" l="1"/>
  <c r="V871" i="9"/>
  <c r="P871" i="9" s="1"/>
  <c r="Y872" i="9" l="1"/>
  <c r="V872" i="9"/>
  <c r="P872" i="9" s="1"/>
  <c r="Y873" i="9" l="1"/>
  <c r="V873" i="9"/>
  <c r="P873" i="9" s="1"/>
  <c r="Y874" i="9" l="1"/>
  <c r="V874" i="9"/>
  <c r="P874" i="9" s="1"/>
  <c r="V875" i="9" l="1"/>
  <c r="P875" i="9" s="1"/>
  <c r="Y875" i="9"/>
  <c r="V876" i="9" l="1"/>
  <c r="P876" i="9" s="1"/>
  <c r="Y876" i="9"/>
  <c r="V877" i="9" l="1"/>
  <c r="P877" i="9" s="1"/>
  <c r="Y877" i="9"/>
  <c r="Y878" i="9" l="1"/>
  <c r="V878" i="9"/>
  <c r="P878" i="9" s="1"/>
  <c r="Y879" i="9" l="1"/>
  <c r="V879" i="9"/>
  <c r="P879" i="9" s="1"/>
  <c r="V880" i="9" l="1"/>
  <c r="P880" i="9" s="1"/>
  <c r="Y880" i="9"/>
  <c r="Y881" i="9" l="1"/>
  <c r="V881" i="9"/>
  <c r="P881" i="9" s="1"/>
  <c r="V882" i="9" l="1"/>
  <c r="P882" i="9" s="1"/>
  <c r="Y882" i="9"/>
  <c r="Y883" i="9" l="1"/>
  <c r="V883" i="9"/>
  <c r="P883" i="9" s="1"/>
  <c r="V884" i="9" l="1"/>
  <c r="P884" i="9" s="1"/>
  <c r="Y884" i="9"/>
  <c r="V885" i="9" l="1"/>
  <c r="P885" i="9" s="1"/>
  <c r="Y885" i="9"/>
  <c r="Y886" i="9" l="1"/>
  <c r="V886" i="9"/>
  <c r="P886" i="9" s="1"/>
  <c r="Y887" i="9" l="1"/>
  <c r="V887" i="9"/>
  <c r="P887" i="9" s="1"/>
  <c r="Y888" i="9" l="1"/>
  <c r="V888" i="9"/>
  <c r="P888" i="9" s="1"/>
  <c r="Y889" i="9" l="1"/>
  <c r="V889" i="9"/>
  <c r="P889" i="9" s="1"/>
  <c r="V890" i="9" l="1"/>
  <c r="P890" i="9" s="1"/>
  <c r="Y890" i="9"/>
  <c r="Y891" i="9" l="1"/>
  <c r="V891" i="9"/>
  <c r="P891" i="9" s="1"/>
  <c r="V892" i="9" l="1"/>
  <c r="P892" i="9" s="1"/>
  <c r="Y892" i="9"/>
  <c r="Y893" i="9" l="1"/>
  <c r="V893" i="9"/>
  <c r="P893" i="9" s="1"/>
  <c r="V894" i="9" l="1"/>
  <c r="P894" i="9" s="1"/>
  <c r="Y894" i="9"/>
  <c r="V895" i="9" l="1"/>
  <c r="P895" i="9" s="1"/>
  <c r="Y895" i="9"/>
  <c r="Y896" i="9" l="1"/>
  <c r="V896" i="9"/>
  <c r="P896" i="9" s="1"/>
  <c r="Y897" i="9" l="1"/>
  <c r="V897" i="9"/>
  <c r="P897" i="9" s="1"/>
  <c r="V898" i="9" l="1"/>
  <c r="P898" i="9" s="1"/>
  <c r="Y898" i="9"/>
  <c r="Y899" i="9" l="1"/>
  <c r="V899" i="9"/>
  <c r="P899" i="9" s="1"/>
  <c r="V900" i="9" l="1"/>
  <c r="P900" i="9" s="1"/>
  <c r="Y900" i="9"/>
  <c r="Y901" i="9" l="1"/>
  <c r="V901" i="9"/>
  <c r="P901" i="9" s="1"/>
  <c r="Y902" i="9" l="1"/>
  <c r="V902" i="9"/>
  <c r="P902" i="9" s="1"/>
  <c r="V903" i="9" l="1"/>
  <c r="P903" i="9" s="1"/>
  <c r="Y903" i="9"/>
  <c r="V904" i="9" l="1"/>
  <c r="P904" i="9" s="1"/>
  <c r="Y904" i="9"/>
  <c r="Y905" i="9" l="1"/>
  <c r="V905" i="9"/>
  <c r="P905" i="9" s="1"/>
  <c r="Y906" i="9" l="1"/>
  <c r="V906" i="9"/>
  <c r="P906" i="9" s="1"/>
  <c r="V907" i="9" l="1"/>
  <c r="P907" i="9" s="1"/>
  <c r="Y907" i="9"/>
  <c r="V908" i="9" l="1"/>
  <c r="P908" i="9" s="1"/>
  <c r="Y908" i="9"/>
  <c r="V909" i="9" l="1"/>
  <c r="P909" i="9" s="1"/>
  <c r="Y909" i="9"/>
  <c r="Y910" i="9" l="1"/>
  <c r="V910" i="9"/>
  <c r="P910" i="9" s="1"/>
  <c r="Y911" i="9" l="1"/>
  <c r="V911" i="9"/>
  <c r="P911" i="9" s="1"/>
  <c r="Y912" i="9" l="1"/>
  <c r="V912" i="9"/>
  <c r="P912" i="9" s="1"/>
  <c r="Y913" i="9" l="1"/>
  <c r="V913" i="9"/>
  <c r="P913" i="9" s="1"/>
  <c r="Y914" i="9" l="1"/>
  <c r="V914" i="9"/>
  <c r="P914" i="9" s="1"/>
  <c r="Y915" i="9" l="1"/>
  <c r="V915" i="9"/>
  <c r="P915" i="9" s="1"/>
  <c r="V916" i="9" l="1"/>
  <c r="P916" i="9" s="1"/>
  <c r="Y916" i="9"/>
  <c r="Y917" i="9" l="1"/>
  <c r="V917" i="9"/>
  <c r="P917" i="9" s="1"/>
  <c r="Y918" i="9" l="1"/>
  <c r="V918" i="9"/>
  <c r="P918" i="9" s="1"/>
  <c r="V919" i="9" l="1"/>
  <c r="P919" i="9" s="1"/>
  <c r="Y919" i="9"/>
  <c r="Y920" i="9" l="1"/>
  <c r="V920" i="9"/>
  <c r="P920" i="9" s="1"/>
  <c r="V921" i="9" l="1"/>
  <c r="P921" i="9" s="1"/>
  <c r="Y921" i="9"/>
  <c r="Y922" i="9" l="1"/>
  <c r="V922" i="9"/>
  <c r="P922" i="9" s="1"/>
  <c r="Y923" i="9" l="1"/>
  <c r="V923" i="9"/>
  <c r="P923" i="9" s="1"/>
  <c r="Y924" i="9" l="1"/>
  <c r="V924" i="9"/>
  <c r="P924" i="9" s="1"/>
  <c r="V925" i="9" l="1"/>
  <c r="P925" i="9" s="1"/>
  <c r="Y925" i="9"/>
  <c r="V926" i="9" l="1"/>
  <c r="P926" i="9" s="1"/>
  <c r="Y926" i="9"/>
  <c r="Y927" i="9" l="1"/>
  <c r="V927" i="9"/>
  <c r="P927" i="9" s="1"/>
  <c r="Y928" i="9" l="1"/>
  <c r="V928" i="9"/>
  <c r="P928" i="9" s="1"/>
  <c r="Y929" i="9" l="1"/>
  <c r="V929" i="9"/>
  <c r="P929" i="9" s="1"/>
  <c r="V930" i="9" l="1"/>
  <c r="P930" i="9" s="1"/>
  <c r="Y930" i="9"/>
  <c r="Y931" i="9" l="1"/>
  <c r="V931" i="9"/>
  <c r="P931" i="9" s="1"/>
  <c r="V932" i="9" l="1"/>
  <c r="P932" i="9" s="1"/>
  <c r="Y932" i="9"/>
  <c r="Y933" i="9" l="1"/>
  <c r="V933" i="9"/>
  <c r="P933" i="9" s="1"/>
  <c r="V934" i="9" l="1"/>
  <c r="P934" i="9" s="1"/>
  <c r="Y934" i="9"/>
  <c r="V935" i="9" l="1"/>
  <c r="P935" i="9" s="1"/>
  <c r="Y935" i="9"/>
  <c r="Y936" i="9" l="1"/>
  <c r="V936" i="9"/>
  <c r="P936" i="9" s="1"/>
  <c r="Y937" i="9" l="1"/>
  <c r="V937" i="9"/>
  <c r="P937" i="9" s="1"/>
  <c r="Y938" i="9" l="1"/>
  <c r="V938" i="9"/>
  <c r="P938" i="9" s="1"/>
  <c r="V939" i="9" l="1"/>
  <c r="P939" i="9" s="1"/>
  <c r="Y939" i="9"/>
  <c r="Y940" i="9" l="1"/>
  <c r="V940" i="9"/>
  <c r="P940" i="9" s="1"/>
  <c r="Y941" i="9" l="1"/>
  <c r="V941" i="9"/>
  <c r="P941" i="9" s="1"/>
  <c r="Y942" i="9" l="1"/>
  <c r="V942" i="9"/>
  <c r="P942" i="9" s="1"/>
  <c r="Y943" i="9" l="1"/>
  <c r="V943" i="9"/>
  <c r="P943" i="9" s="1"/>
  <c r="V944" i="9" l="1"/>
  <c r="P944" i="9" s="1"/>
  <c r="Y944" i="9"/>
  <c r="V945" i="9" l="1"/>
  <c r="P945" i="9" s="1"/>
  <c r="Y945" i="9"/>
  <c r="Y946" i="9" l="1"/>
  <c r="V946" i="9"/>
  <c r="P946" i="9" s="1"/>
  <c r="V947" i="9" l="1"/>
  <c r="P947" i="9" s="1"/>
  <c r="Y947" i="9"/>
  <c r="Y948" i="9" l="1"/>
  <c r="V948" i="9"/>
  <c r="P948" i="9" s="1"/>
  <c r="V949" i="9" l="1"/>
  <c r="P949" i="9" s="1"/>
  <c r="Y949" i="9"/>
  <c r="V950" i="9" l="1"/>
  <c r="P950" i="9" s="1"/>
  <c r="Y950" i="9"/>
  <c r="Y951" i="9" l="1"/>
  <c r="V951" i="9"/>
  <c r="P951" i="9" s="1"/>
  <c r="Y952" i="9" l="1"/>
  <c r="V952" i="9"/>
  <c r="P952" i="9" s="1"/>
  <c r="V953" i="9" l="1"/>
  <c r="P953" i="9" s="1"/>
  <c r="Y953" i="9"/>
  <c r="V954" i="9" l="1"/>
  <c r="P954" i="9" s="1"/>
  <c r="Y954" i="9"/>
  <c r="Y955" i="9" l="1"/>
  <c r="V955" i="9"/>
  <c r="P955" i="9" s="1"/>
  <c r="Y956" i="9" l="1"/>
  <c r="V956" i="9"/>
  <c r="P956" i="9" s="1"/>
  <c r="V957" i="9" l="1"/>
  <c r="P957" i="9" s="1"/>
  <c r="Y957" i="9"/>
  <c r="V958" i="9" l="1"/>
  <c r="P958" i="9" s="1"/>
  <c r="Y958" i="9"/>
  <c r="V959" i="9" l="1"/>
  <c r="P959" i="9" s="1"/>
  <c r="Y959" i="9"/>
  <c r="Y960" i="9" l="1"/>
  <c r="V960" i="9"/>
  <c r="P960" i="9" s="1"/>
  <c r="V961" i="9" l="1"/>
  <c r="P961" i="9" s="1"/>
  <c r="Y961" i="9"/>
  <c r="V962" i="9" l="1"/>
  <c r="P962" i="9" s="1"/>
  <c r="Y962" i="9"/>
  <c r="V963" i="9" l="1"/>
  <c r="P963" i="9" s="1"/>
  <c r="Y963" i="9"/>
  <c r="V964" i="9" l="1"/>
  <c r="P964" i="9" s="1"/>
  <c r="Y964" i="9"/>
  <c r="Y965" i="9" l="1"/>
  <c r="V965" i="9"/>
  <c r="P965" i="9" s="1"/>
  <c r="V966" i="9" l="1"/>
  <c r="P966" i="9" s="1"/>
  <c r="Y966" i="9"/>
  <c r="Y967" i="9" l="1"/>
  <c r="V967" i="9"/>
  <c r="P967" i="9" s="1"/>
  <c r="V968" i="9" l="1"/>
  <c r="P968" i="9" s="1"/>
  <c r="Y968" i="9"/>
  <c r="V969" i="9" l="1"/>
  <c r="P969" i="9" s="1"/>
  <c r="Y969" i="9"/>
  <c r="Y970" i="9" l="1"/>
  <c r="V970" i="9"/>
  <c r="P970" i="9" s="1"/>
  <c r="Y971" i="9" l="1"/>
  <c r="V971" i="9"/>
  <c r="P971" i="9" s="1"/>
  <c r="V972" i="9" l="1"/>
  <c r="P972" i="9" s="1"/>
  <c r="Y972" i="9"/>
  <c r="Y973" i="9" l="1"/>
  <c r="V973" i="9"/>
  <c r="P973" i="9" s="1"/>
  <c r="Y974" i="9" l="1"/>
  <c r="V974" i="9"/>
  <c r="P974" i="9" s="1"/>
  <c r="Y975" i="9" l="1"/>
  <c r="V975" i="9"/>
  <c r="P975" i="9" s="1"/>
  <c r="V976" i="9" l="1"/>
  <c r="P976" i="9" s="1"/>
  <c r="Y976" i="9"/>
  <c r="Y977" i="9" l="1"/>
  <c r="V977" i="9"/>
  <c r="P977" i="9" s="1"/>
  <c r="Y978" i="9" l="1"/>
  <c r="V978" i="9"/>
  <c r="P978" i="9" s="1"/>
  <c r="Y979" i="9" l="1"/>
  <c r="V979" i="9"/>
  <c r="P979" i="9" s="1"/>
  <c r="Y980" i="9" l="1"/>
  <c r="V980" i="9"/>
  <c r="P980" i="9" s="1"/>
  <c r="V981" i="9" l="1"/>
  <c r="P981" i="9" s="1"/>
  <c r="Y981" i="9"/>
  <c r="Y982" i="9" l="1"/>
  <c r="V982" i="9"/>
  <c r="P982" i="9" s="1"/>
  <c r="Y983" i="9" l="1"/>
  <c r="V983" i="9"/>
  <c r="P983" i="9" s="1"/>
  <c r="V984" i="9" l="1"/>
  <c r="P984" i="9" s="1"/>
  <c r="Y984" i="9"/>
  <c r="V985" i="9" l="1"/>
  <c r="P985" i="9" s="1"/>
  <c r="Y985" i="9"/>
  <c r="Y986" i="9" l="1"/>
  <c r="V986" i="9"/>
  <c r="P986" i="9" s="1"/>
  <c r="V987" i="9" l="1"/>
  <c r="P987" i="9" s="1"/>
  <c r="Y987" i="9"/>
  <c r="V988" i="9" l="1"/>
  <c r="P988" i="9" s="1"/>
  <c r="Y988" i="9"/>
  <c r="V989" i="9" l="1"/>
  <c r="P989" i="9" s="1"/>
  <c r="Y989" i="9"/>
  <c r="Y990" i="9" l="1"/>
  <c r="V990" i="9"/>
  <c r="P990" i="9" s="1"/>
  <c r="Y991" i="9" l="1"/>
  <c r="V991" i="9"/>
  <c r="P991" i="9" s="1"/>
  <c r="Y992" i="9" l="1"/>
  <c r="V992" i="9"/>
  <c r="P992" i="9" s="1"/>
  <c r="V993" i="9" l="1"/>
  <c r="P993" i="9" s="1"/>
  <c r="Y993" i="9"/>
  <c r="V994" i="9" l="1"/>
  <c r="P994" i="9" s="1"/>
  <c r="Y994" i="9"/>
  <c r="Y995" i="9" l="1"/>
  <c r="V995" i="9"/>
  <c r="P995" i="9" s="1"/>
  <c r="Y996" i="9" l="1"/>
  <c r="V996" i="9"/>
  <c r="P996" i="9" s="1"/>
  <c r="V997" i="9" l="1"/>
  <c r="P997" i="9" s="1"/>
  <c r="Y997" i="9"/>
  <c r="Y998" i="9" l="1"/>
  <c r="V998" i="9"/>
  <c r="P998" i="9" s="1"/>
  <c r="V999" i="9" l="1"/>
  <c r="P999" i="9" s="1"/>
  <c r="Y999" i="9"/>
  <c r="Y1000" i="9" l="1"/>
  <c r="V1000" i="9"/>
  <c r="P1000" i="9" s="1"/>
  <c r="V1001" i="9" l="1"/>
  <c r="P1001" i="9" s="1"/>
  <c r="Y1001" i="9"/>
  <c r="Y1002" i="9" l="1"/>
  <c r="V1002" i="9"/>
  <c r="P1002" i="9" s="1"/>
  <c r="Y1003" i="9" l="1"/>
  <c r="V1003" i="9"/>
  <c r="P1003" i="9" s="1"/>
  <c r="Y1004" i="9" l="1"/>
  <c r="V1004" i="9"/>
  <c r="P1004" i="9" s="1"/>
  <c r="Y1005" i="9" l="1"/>
  <c r="V1005" i="9"/>
  <c r="P1005" i="9" s="1"/>
  <c r="Y1006" i="9" l="1"/>
  <c r="V1006" i="9"/>
  <c r="P1006" i="9" s="1"/>
  <c r="Y1007" i="9" l="1"/>
  <c r="V1007" i="9"/>
  <c r="P1007" i="9" s="1"/>
  <c r="Y1008" i="9" l="1"/>
  <c r="V1008" i="9"/>
  <c r="P1008" i="9" s="1"/>
  <c r="Y1009" i="9" l="1"/>
  <c r="V1009" i="9"/>
  <c r="P1009" i="9" s="1"/>
  <c r="Y1010" i="9" l="1"/>
  <c r="V1010" i="9"/>
  <c r="P1010" i="9" s="1"/>
  <c r="V1011" i="9" l="1"/>
  <c r="P1011" i="9" s="1"/>
  <c r="Y1011" i="9"/>
  <c r="V1012" i="9" l="1"/>
  <c r="P1012" i="9" s="1"/>
  <c r="Y1012" i="9"/>
  <c r="V1013" i="9" l="1"/>
  <c r="P1013" i="9" s="1"/>
  <c r="Y1013" i="9"/>
  <c r="V1014" i="9" l="1"/>
  <c r="P1014" i="9" s="1"/>
  <c r="Y1014" i="9"/>
  <c r="Y1015" i="9" l="1"/>
  <c r="V1015" i="9"/>
  <c r="P1015" i="9" s="1"/>
  <c r="Y1016" i="9" l="1"/>
  <c r="V1016" i="9"/>
  <c r="P1016" i="9" s="1"/>
  <c r="Y1017" i="9" l="1"/>
  <c r="V1017" i="9"/>
  <c r="P1017" i="9" s="1"/>
  <c r="Y1018" i="9" l="1"/>
  <c r="V1018" i="9"/>
  <c r="P1018" i="9" s="1"/>
  <c r="Y1019" i="9" l="1"/>
  <c r="V1019" i="9"/>
  <c r="P1019" i="9" s="1"/>
  <c r="V1020" i="9" l="1"/>
  <c r="P1020" i="9" s="1"/>
  <c r="Y1020" i="9"/>
  <c r="V1021" i="9" l="1"/>
  <c r="P1021" i="9" s="1"/>
  <c r="Y1021" i="9"/>
  <c r="V1022" i="9" l="1"/>
  <c r="P1022" i="9" s="1"/>
  <c r="Y1022" i="9"/>
  <c r="Y1023" i="9" l="1"/>
  <c r="V1023" i="9"/>
  <c r="P1023" i="9" s="1"/>
  <c r="V1024" i="9" l="1"/>
  <c r="P1024" i="9" s="1"/>
  <c r="Y1024" i="9"/>
  <c r="Y1025" i="9" l="1"/>
  <c r="V1025" i="9"/>
  <c r="P1025" i="9" s="1"/>
  <c r="Y1026" i="9" l="1"/>
  <c r="V1026" i="9"/>
  <c r="P1026" i="9" s="1"/>
  <c r="V1027" i="9" l="1"/>
  <c r="P1027" i="9" s="1"/>
  <c r="Y1027" i="9"/>
  <c r="V1028" i="9" l="1"/>
  <c r="P1028" i="9" s="1"/>
  <c r="Y1028" i="9"/>
  <c r="Y1029" i="9" l="1"/>
  <c r="V1029" i="9"/>
  <c r="P1029" i="9" s="1"/>
  <c r="Y1030" i="9" l="1"/>
  <c r="V1030" i="9"/>
  <c r="P1030" i="9" s="1"/>
  <c r="Y1031" i="9" l="1"/>
  <c r="V1031" i="9"/>
  <c r="P1031" i="9" s="1"/>
  <c r="V1032" i="9" l="1"/>
  <c r="P1032" i="9" s="1"/>
  <c r="Y1032" i="9"/>
  <c r="Y1033" i="9" l="1"/>
  <c r="V1033" i="9"/>
  <c r="P1033" i="9" s="1"/>
  <c r="V1034" i="9" l="1"/>
  <c r="P1034" i="9" s="1"/>
  <c r="Y1034" i="9"/>
  <c r="V1035" i="9" l="1"/>
  <c r="P1035" i="9" s="1"/>
  <c r="Y1035" i="9"/>
  <c r="V1036" i="9" l="1"/>
  <c r="P1036" i="9" s="1"/>
  <c r="Y1036" i="9"/>
  <c r="V1037" i="9" l="1"/>
  <c r="P1037" i="9" s="1"/>
  <c r="Y1037" i="9"/>
  <c r="V1038" i="9" l="1"/>
  <c r="P1038" i="9" s="1"/>
  <c r="Y1038" i="9"/>
  <c r="V1039" i="9" l="1"/>
  <c r="P1039" i="9" s="1"/>
  <c r="Y1039" i="9"/>
  <c r="Y1040" i="9" l="1"/>
  <c r="V1040" i="9"/>
  <c r="P1040" i="9" s="1"/>
  <c r="Y1041" i="9" l="1"/>
  <c r="V1041" i="9"/>
  <c r="P1041" i="9" s="1"/>
  <c r="V1042" i="9" l="1"/>
  <c r="P1042" i="9" s="1"/>
  <c r="Y1042" i="9"/>
  <c r="V1043" i="9" l="1"/>
  <c r="P1043" i="9" s="1"/>
  <c r="Y1043" i="9"/>
  <c r="V1044" i="9" l="1"/>
  <c r="P1044" i="9" s="1"/>
  <c r="Y1044" i="9"/>
  <c r="Y1045" i="9" l="1"/>
  <c r="V1045" i="9"/>
  <c r="P1045" i="9" s="1"/>
  <c r="Y1046" i="9" l="1"/>
  <c r="V1046" i="9"/>
  <c r="P1046" i="9" s="1"/>
  <c r="Y1047" i="9" l="1"/>
  <c r="V1047" i="9"/>
  <c r="P1047" i="9" s="1"/>
  <c r="V1048" i="9" l="1"/>
  <c r="P1048" i="9" s="1"/>
  <c r="Y1048" i="9"/>
  <c r="Y1049" i="9" l="1"/>
  <c r="V1049" i="9"/>
  <c r="P1049" i="9" s="1"/>
  <c r="V1050" i="9" l="1"/>
  <c r="P1050" i="9" s="1"/>
  <c r="Y1050" i="9"/>
  <c r="Y1051" i="9" l="1"/>
  <c r="V1051" i="9"/>
  <c r="P1051" i="9" s="1"/>
  <c r="V1052" i="9" l="1"/>
  <c r="P1052" i="9" s="1"/>
  <c r="Y1052" i="9"/>
  <c r="Y1053" i="9" l="1"/>
  <c r="V1053" i="9"/>
  <c r="P1053" i="9" s="1"/>
  <c r="V1054" i="9" l="1"/>
  <c r="P1054" i="9" s="1"/>
  <c r="Y1054" i="9"/>
  <c r="Y1055" i="9" l="1"/>
  <c r="V1055" i="9"/>
  <c r="P1055" i="9" s="1"/>
  <c r="Y1056" i="9" l="1"/>
  <c r="V1056" i="9"/>
  <c r="P1056" i="9" s="1"/>
  <c r="V1057" i="9" l="1"/>
  <c r="P1057" i="9" s="1"/>
  <c r="Y1057" i="9"/>
  <c r="Y1058" i="9" l="1"/>
  <c r="V1058" i="9"/>
  <c r="P1058" i="9" s="1"/>
  <c r="Y1059" i="9" l="1"/>
  <c r="V1059" i="9"/>
  <c r="P1059" i="9" s="1"/>
  <c r="Y1060" i="9" l="1"/>
  <c r="V1060" i="9"/>
  <c r="P1060" i="9" s="1"/>
  <c r="V1061" i="9" l="1"/>
  <c r="P1061" i="9" s="1"/>
  <c r="Y1061" i="9"/>
  <c r="V1062" i="9" l="1"/>
  <c r="P1062" i="9" s="1"/>
  <c r="Y1062" i="9"/>
  <c r="Y1063" i="9" l="1"/>
  <c r="V1063" i="9"/>
  <c r="P1063" i="9" s="1"/>
  <c r="V1064" i="9" l="1"/>
  <c r="P1064" i="9" s="1"/>
  <c r="Y1064" i="9"/>
  <c r="Y1065" i="9" l="1"/>
  <c r="V1065" i="9"/>
  <c r="P1065" i="9" s="1"/>
  <c r="V1066" i="9" l="1"/>
  <c r="P1066" i="9" s="1"/>
  <c r="Y1066" i="9"/>
  <c r="V1067" i="9" l="1"/>
  <c r="P1067" i="9" s="1"/>
  <c r="Y1067" i="9"/>
  <c r="V1068" i="9" l="1"/>
  <c r="P1068" i="9" s="1"/>
  <c r="Y1068" i="9"/>
  <c r="V1069" i="9" l="1"/>
  <c r="P1069" i="9" s="1"/>
  <c r="Y1069" i="9"/>
  <c r="V1070" i="9" l="1"/>
  <c r="P1070" i="9" s="1"/>
  <c r="Y1070" i="9"/>
  <c r="Y1071" i="9" l="1"/>
  <c r="V1071" i="9"/>
  <c r="P1071" i="9" s="1"/>
  <c r="V1072" i="9" l="1"/>
  <c r="P1072" i="9" s="1"/>
  <c r="Y1072" i="9"/>
  <c r="V1073" i="9" l="1"/>
  <c r="P1073" i="9" s="1"/>
  <c r="Y1073" i="9"/>
  <c r="Y1074" i="9" l="1"/>
  <c r="V1074" i="9"/>
  <c r="P1074" i="9" s="1"/>
  <c r="Y1075" i="9" l="1"/>
  <c r="V1075" i="9"/>
  <c r="P1075" i="9" s="1"/>
  <c r="V1076" i="9" l="1"/>
  <c r="P1076" i="9" s="1"/>
  <c r="Y1076" i="9"/>
  <c r="V1077" i="9" l="1"/>
  <c r="P1077" i="9" s="1"/>
  <c r="Y1077" i="9"/>
  <c r="V1078" i="9" l="1"/>
  <c r="P1078" i="9" s="1"/>
  <c r="Y1078" i="9"/>
  <c r="Y1079" i="9" l="1"/>
  <c r="V1079" i="9"/>
  <c r="P1079" i="9" s="1"/>
  <c r="Y1080" i="9" l="1"/>
  <c r="V1080" i="9"/>
  <c r="P1080" i="9" s="1"/>
  <c r="Y1081" i="9" l="1"/>
  <c r="V1081" i="9"/>
  <c r="P1081" i="9" s="1"/>
  <c r="V1082" i="9" l="1"/>
  <c r="P1082" i="9" s="1"/>
  <c r="Y1082" i="9"/>
  <c r="V1083" i="9" l="1"/>
  <c r="P1083" i="9" s="1"/>
  <c r="Y1083" i="9"/>
  <c r="V1084" i="9" l="1"/>
  <c r="P1084" i="9" s="1"/>
  <c r="Y1084" i="9"/>
  <c r="V1085" i="9" l="1"/>
  <c r="P1085" i="9" s="1"/>
  <c r="Y1085" i="9"/>
  <c r="V1086" i="9" l="1"/>
  <c r="P1086" i="9" s="1"/>
  <c r="Y1086" i="9"/>
  <c r="Y1087" i="9" l="1"/>
  <c r="V1087" i="9"/>
  <c r="P1087" i="9" s="1"/>
  <c r="Y1088" i="9" l="1"/>
  <c r="V1088" i="9"/>
  <c r="P1088" i="9" s="1"/>
  <c r="Y1089" i="9" l="1"/>
  <c r="V1089" i="9"/>
  <c r="P1089" i="9" s="1"/>
  <c r="Y1090" i="9" l="1"/>
  <c r="V1090" i="9"/>
  <c r="P1090" i="9" s="1"/>
  <c r="V1091" i="9" l="1"/>
  <c r="P1091" i="9" s="1"/>
  <c r="Y1091" i="9"/>
  <c r="V1092" i="9" l="1"/>
  <c r="P1092" i="9" s="1"/>
  <c r="Y1092" i="9"/>
  <c r="Y1093" i="9" l="1"/>
  <c r="V1093" i="9"/>
  <c r="P1093" i="9" s="1"/>
  <c r="Y1094" i="9" l="1"/>
  <c r="V1094" i="9"/>
  <c r="P1094" i="9" s="1"/>
  <c r="V1095" i="9" l="1"/>
  <c r="P1095" i="9" s="1"/>
  <c r="Y1095" i="9"/>
  <c r="V1096" i="9" l="1"/>
  <c r="P1096" i="9" s="1"/>
  <c r="Y1096" i="9"/>
  <c r="Y1097" i="9" l="1"/>
  <c r="V1097" i="9"/>
  <c r="P1097" i="9" s="1"/>
  <c r="V1098" i="9" l="1"/>
  <c r="P1098" i="9" s="1"/>
  <c r="Y1098" i="9"/>
  <c r="Y1099" i="9" l="1"/>
  <c r="V1099" i="9"/>
  <c r="P1099" i="9" s="1"/>
  <c r="V1100" i="9" l="1"/>
  <c r="P1100" i="9" s="1"/>
  <c r="Y1100" i="9"/>
  <c r="Y1101" i="9" l="1"/>
  <c r="V1101" i="9"/>
  <c r="P1101" i="9" s="1"/>
  <c r="V1102" i="9" l="1"/>
  <c r="P1102" i="9" s="1"/>
  <c r="Y1102" i="9"/>
  <c r="V1103" i="9" l="1"/>
  <c r="P1103" i="9" s="1"/>
  <c r="Y1103" i="9"/>
  <c r="Y1104" i="9" l="1"/>
  <c r="V1104" i="9"/>
  <c r="P1104" i="9" s="1"/>
  <c r="Y1105" i="9" l="1"/>
  <c r="V1105" i="9"/>
  <c r="P1105" i="9" s="1"/>
  <c r="V1106" i="9" l="1"/>
  <c r="P1106" i="9" s="1"/>
  <c r="Y1106" i="9"/>
  <c r="Y1107" i="9" l="1"/>
  <c r="V1107" i="9"/>
  <c r="P1107" i="9" s="1"/>
  <c r="Y1108" i="9" l="1"/>
  <c r="V1108" i="9"/>
  <c r="P1108" i="9" s="1"/>
  <c r="Y1109" i="9" l="1"/>
  <c r="V1109" i="9"/>
  <c r="P1109" i="9" s="1"/>
  <c r="V1110" i="9" l="1"/>
  <c r="P1110" i="9" s="1"/>
  <c r="Y1110" i="9"/>
  <c r="V1111" i="9" l="1"/>
  <c r="P1111" i="9" s="1"/>
  <c r="Y1111" i="9"/>
  <c r="Y1112" i="9" l="1"/>
  <c r="V1112" i="9"/>
  <c r="P1112" i="9" s="1"/>
  <c r="V1113" i="9" l="1"/>
  <c r="P1113" i="9" s="1"/>
  <c r="Y1113" i="9"/>
  <c r="V1114" i="9" l="1"/>
  <c r="P1114" i="9" s="1"/>
  <c r="Y1114" i="9"/>
  <c r="Y1115" i="9" l="1"/>
  <c r="V1115" i="9"/>
  <c r="P1115" i="9" s="1"/>
  <c r="V1116" i="9" l="1"/>
  <c r="P1116" i="9" s="1"/>
  <c r="Y1116" i="9"/>
  <c r="V1117" i="9" l="1"/>
  <c r="P1117" i="9" s="1"/>
  <c r="Y1117" i="9"/>
  <c r="V1118" i="9" l="1"/>
  <c r="P1118" i="9" s="1"/>
  <c r="Y1118" i="9"/>
  <c r="Y1119" i="9" l="1"/>
  <c r="V1119" i="9"/>
  <c r="P1119" i="9" s="1"/>
  <c r="V1120" i="9" l="1"/>
  <c r="P1120" i="9" s="1"/>
  <c r="Y1120" i="9"/>
  <c r="V1121" i="9" l="1"/>
  <c r="P1121" i="9" s="1"/>
  <c r="Y1121" i="9"/>
  <c r="Y1122" i="9" l="1"/>
  <c r="V1122" i="9"/>
  <c r="P1122" i="9" s="1"/>
  <c r="V1123" i="9" l="1"/>
  <c r="P1123" i="9" s="1"/>
  <c r="Y1123" i="9"/>
  <c r="V1124" i="9" l="1"/>
  <c r="P1124" i="9" s="1"/>
  <c r="Y1124" i="9"/>
  <c r="V1125" i="9" l="1"/>
  <c r="P1125" i="9" s="1"/>
  <c r="Y1125" i="9"/>
  <c r="V1126" i="9" l="1"/>
  <c r="P1126" i="9" s="1"/>
  <c r="Y1126" i="9"/>
  <c r="V1127" i="9" l="1"/>
  <c r="P1127" i="9" s="1"/>
  <c r="Y1127" i="9"/>
  <c r="Y1128" i="9" l="1"/>
  <c r="V1128" i="9"/>
  <c r="P1128" i="9" s="1"/>
  <c r="Y1129" i="9" l="1"/>
  <c r="V1129" i="9"/>
  <c r="P1129" i="9" s="1"/>
  <c r="V1130" i="9" l="1"/>
  <c r="P1130" i="9" s="1"/>
  <c r="Y1130" i="9"/>
  <c r="V1131" i="9" l="1"/>
  <c r="P1131" i="9" s="1"/>
  <c r="Y1131" i="9"/>
  <c r="V1132" i="9" l="1"/>
  <c r="P1132" i="9" s="1"/>
  <c r="Y1132" i="9"/>
  <c r="V1133" i="9" l="1"/>
  <c r="P1133" i="9" s="1"/>
  <c r="Y1133" i="9"/>
  <c r="V1134" i="9" l="1"/>
  <c r="P1134" i="9" s="1"/>
  <c r="Y1134" i="9"/>
  <c r="Y1135" i="9" l="1"/>
  <c r="V1135" i="9"/>
  <c r="P1135" i="9" s="1"/>
  <c r="Y1136" i="9" l="1"/>
  <c r="V1136" i="9"/>
  <c r="P1136" i="9" s="1"/>
  <c r="Y1137" i="9" l="1"/>
  <c r="V1137" i="9"/>
  <c r="P1137" i="9" s="1"/>
  <c r="V1138" i="9" l="1"/>
  <c r="P1138" i="9" s="1"/>
  <c r="Y1138" i="9"/>
  <c r="Y1139" i="9" l="1"/>
  <c r="V1139" i="9"/>
  <c r="P1139" i="9" s="1"/>
  <c r="V1140" i="9" l="1"/>
  <c r="P1140" i="9" s="1"/>
  <c r="Y1140" i="9"/>
  <c r="Y1141" i="9" l="1"/>
  <c r="V1141" i="9"/>
  <c r="P1141" i="9" s="1"/>
  <c r="V1142" i="9" l="1"/>
  <c r="P1142" i="9" s="1"/>
  <c r="Y1142" i="9"/>
  <c r="V1143" i="9" l="1"/>
  <c r="P1143" i="9" s="1"/>
  <c r="Y1143" i="9"/>
  <c r="V1144" i="9" l="1"/>
  <c r="P1144" i="9" s="1"/>
  <c r="Y1144" i="9"/>
  <c r="V1145" i="9" l="1"/>
  <c r="P1145" i="9" s="1"/>
  <c r="Y1145" i="9"/>
  <c r="V1146" i="9" l="1"/>
  <c r="P1146" i="9" s="1"/>
  <c r="Y1146" i="9"/>
  <c r="Y1147" i="9" l="1"/>
  <c r="V1147" i="9"/>
  <c r="P1147" i="9" s="1"/>
  <c r="Y1148" i="9" l="1"/>
  <c r="V1148" i="9"/>
  <c r="P1148" i="9" s="1"/>
  <c r="Y1149" i="9" l="1"/>
  <c r="V1149" i="9"/>
  <c r="P1149" i="9" s="1"/>
  <c r="Y1150" i="9" l="1"/>
  <c r="V1150" i="9"/>
  <c r="P1150" i="9" s="1"/>
  <c r="V1151" i="9" l="1"/>
  <c r="P1151" i="9" s="1"/>
  <c r="Y1151" i="9"/>
  <c r="Y1152" i="9" l="1"/>
  <c r="V1152" i="9"/>
  <c r="P1152" i="9" s="1"/>
  <c r="Y1153" i="9" l="1"/>
  <c r="V1153" i="9"/>
  <c r="P1153" i="9" s="1"/>
  <c r="V1154" i="9" l="1"/>
  <c r="P1154" i="9" s="1"/>
  <c r="Y1154" i="9"/>
  <c r="Y1155" i="9" l="1"/>
  <c r="V1155" i="9"/>
  <c r="P1155" i="9" s="1"/>
  <c r="V1156" i="9" l="1"/>
  <c r="P1156" i="9" s="1"/>
  <c r="Y1156" i="9"/>
  <c r="Y1157" i="9" l="1"/>
  <c r="V1157" i="9"/>
  <c r="P1157" i="9" s="1"/>
  <c r="V1158" i="9" l="1"/>
  <c r="P1158" i="9" s="1"/>
  <c r="Y1158" i="9"/>
  <c r="Y1159" i="9" l="1"/>
  <c r="V1159" i="9"/>
  <c r="P1159" i="9" s="1"/>
  <c r="V1160" i="9" l="1"/>
  <c r="P1160" i="9" s="1"/>
  <c r="Y1160" i="9"/>
  <c r="V1161" i="9" l="1"/>
  <c r="P1161" i="9" s="1"/>
  <c r="Y1161" i="9"/>
  <c r="V1162" i="9" l="1"/>
  <c r="P1162" i="9" s="1"/>
  <c r="Y1162" i="9"/>
  <c r="V1163" i="9" l="1"/>
  <c r="P1163" i="9" s="1"/>
  <c r="Y1163" i="9"/>
  <c r="Y1164" i="9" l="1"/>
  <c r="V1164" i="9"/>
  <c r="P1164" i="9" s="1"/>
  <c r="Y1165" i="9" l="1"/>
  <c r="V1165" i="9"/>
  <c r="P1165" i="9" s="1"/>
  <c r="Y1166" i="9" l="1"/>
  <c r="V1166" i="9"/>
  <c r="P1166" i="9" s="1"/>
  <c r="V1167" i="9" l="1"/>
  <c r="P1167" i="9" s="1"/>
  <c r="Y1167" i="9"/>
  <c r="V1168" i="9" l="1"/>
  <c r="P1168" i="9" s="1"/>
  <c r="Y1168" i="9"/>
  <c r="Y1169" i="9" l="1"/>
  <c r="V1169" i="9"/>
  <c r="P1169" i="9" s="1"/>
  <c r="V1170" i="9" l="1"/>
  <c r="P1170" i="9" s="1"/>
  <c r="Y1170" i="9"/>
  <c r="Y1171" i="9" l="1"/>
  <c r="V1171" i="9"/>
  <c r="P1171" i="9" s="1"/>
  <c r="V1172" i="9" l="1"/>
  <c r="P1172" i="9" s="1"/>
  <c r="Y1172" i="9"/>
  <c r="V1173" i="9" l="1"/>
  <c r="P1173" i="9" s="1"/>
  <c r="Y1173" i="9"/>
  <c r="V1174" i="9" l="1"/>
  <c r="P1174" i="9" s="1"/>
  <c r="Y1174" i="9"/>
  <c r="Y1175" i="9" l="1"/>
  <c r="V1175" i="9"/>
  <c r="P1175" i="9" s="1"/>
  <c r="V1176" i="9" l="1"/>
  <c r="P1176" i="9" s="1"/>
  <c r="Y1176" i="9"/>
  <c r="Y1177" i="9" l="1"/>
  <c r="V1177" i="9"/>
  <c r="P1177" i="9" s="1"/>
  <c r="V1178" i="9" l="1"/>
  <c r="P1178" i="9" s="1"/>
  <c r="Y1178" i="9"/>
  <c r="Y1179" i="9" l="1"/>
  <c r="V1179" i="9"/>
  <c r="P1179" i="9" s="1"/>
  <c r="Y1180" i="9" l="1"/>
  <c r="V1180" i="9"/>
  <c r="P1180" i="9" s="1"/>
  <c r="V1181" i="9" l="1"/>
  <c r="P1181" i="9" s="1"/>
  <c r="Y1181" i="9"/>
  <c r="Y1182" i="9" l="1"/>
  <c r="V1182" i="9"/>
  <c r="P1182" i="9" s="1"/>
  <c r="V1183" i="9" l="1"/>
  <c r="P1183" i="9" s="1"/>
  <c r="Y1183" i="9"/>
  <c r="Y1184" i="9" l="1"/>
  <c r="V1184" i="9"/>
  <c r="P1184" i="9" s="1"/>
  <c r="Y1185" i="9" l="1"/>
  <c r="V1185" i="9"/>
  <c r="P1185" i="9" s="1"/>
  <c r="Y1186" i="9" l="1"/>
  <c r="V1186" i="9"/>
  <c r="P1186" i="9" s="1"/>
  <c r="Y1187" i="9" l="1"/>
  <c r="V1187" i="9"/>
  <c r="P1187" i="9" s="1"/>
  <c r="Y1188" i="9" l="1"/>
  <c r="V1188" i="9"/>
  <c r="P1188" i="9" s="1"/>
  <c r="V1189" i="9" l="1"/>
  <c r="P1189" i="9" s="1"/>
  <c r="Y1189" i="9"/>
  <c r="Y1190" i="9" l="1"/>
  <c r="V1190" i="9"/>
  <c r="P1190" i="9" s="1"/>
  <c r="V1191" i="9" l="1"/>
  <c r="P1191" i="9" s="1"/>
  <c r="Y1191" i="9"/>
  <c r="V1192" i="9" l="1"/>
  <c r="P1192" i="9" s="1"/>
  <c r="Y1192" i="9"/>
  <c r="V1193" i="9" l="1"/>
  <c r="P1193" i="9" s="1"/>
  <c r="Y1193" i="9"/>
  <c r="V1194" i="9" l="1"/>
  <c r="P1194" i="9" s="1"/>
  <c r="Y1194" i="9"/>
  <c r="V1195" i="9" l="1"/>
  <c r="P1195" i="9" s="1"/>
  <c r="Y1195" i="9"/>
  <c r="Y1196" i="9" l="1"/>
  <c r="V1196" i="9"/>
  <c r="P1196" i="9" s="1"/>
  <c r="Y1197" i="9" l="1"/>
  <c r="V1197" i="9"/>
  <c r="P1197" i="9" s="1"/>
  <c r="V1198" i="9" l="1"/>
  <c r="P1198" i="9" s="1"/>
  <c r="Y1198" i="9"/>
  <c r="Y1199" i="9" l="1"/>
  <c r="V1199" i="9"/>
  <c r="P1199" i="9" s="1"/>
  <c r="V1200" i="9" l="1"/>
  <c r="P1200" i="9" s="1"/>
  <c r="Y1200" i="9"/>
  <c r="Y1201" i="9" l="1"/>
  <c r="V1201" i="9"/>
  <c r="P1201" i="9" s="1"/>
  <c r="V1202" i="9" l="1"/>
  <c r="P1202" i="9" s="1"/>
  <c r="Y1202" i="9"/>
  <c r="V1203" i="9" l="1"/>
  <c r="P1203" i="9" s="1"/>
  <c r="Y1203" i="9"/>
  <c r="V1204" i="9" l="1"/>
  <c r="P1204" i="9" s="1"/>
  <c r="Y1204" i="9"/>
  <c r="Y1205" i="9" l="1"/>
  <c r="V1205" i="9"/>
  <c r="P1205" i="9" s="1"/>
  <c r="V1206" i="9" l="1"/>
  <c r="P1206" i="9" s="1"/>
  <c r="Y1206" i="9"/>
  <c r="V1207" i="9" l="1"/>
  <c r="P1207" i="9" s="1"/>
  <c r="Y1207" i="9"/>
  <c r="V1208" i="9" l="1"/>
  <c r="P1208" i="9" s="1"/>
  <c r="Y1208" i="9"/>
  <c r="V1209" i="9" l="1"/>
  <c r="P1209" i="9" s="1"/>
  <c r="Y1209" i="9"/>
  <c r="Y1210" i="9" l="1"/>
  <c r="V1210" i="9"/>
  <c r="P1210" i="9" s="1"/>
  <c r="Y1211" i="9" l="1"/>
  <c r="V1211" i="9"/>
  <c r="P1211" i="9" s="1"/>
  <c r="Y1212" i="9" l="1"/>
  <c r="V1212" i="9"/>
  <c r="P1212" i="9" s="1"/>
  <c r="Y1213" i="9" l="1"/>
  <c r="V1213" i="9"/>
  <c r="P1213" i="9" s="1"/>
  <c r="V1214" i="9" l="1"/>
  <c r="P1214" i="9" s="1"/>
  <c r="Y1214" i="9"/>
  <c r="V1215" i="9" l="1"/>
  <c r="P1215" i="9" s="1"/>
  <c r="Y1215" i="9"/>
  <c r="V1216" i="9" l="1"/>
  <c r="P1216" i="9" s="1"/>
  <c r="Y1216" i="9"/>
  <c r="Y1217" i="9" l="1"/>
  <c r="V1217" i="9"/>
  <c r="P1217" i="9" s="1"/>
  <c r="V1218" i="9" l="1"/>
  <c r="P1218" i="9" s="1"/>
  <c r="Y1218" i="9"/>
  <c r="V1219" i="9" l="1"/>
  <c r="P1219" i="9" s="1"/>
  <c r="Y1219" i="9"/>
  <c r="V1220" i="9" l="1"/>
  <c r="P1220" i="9" s="1"/>
  <c r="Y1220" i="9"/>
  <c r="Y1221" i="9" l="1"/>
  <c r="V1221" i="9"/>
  <c r="P1221" i="9" s="1"/>
  <c r="Y1222" i="9" l="1"/>
  <c r="V1222" i="9"/>
  <c r="P1222" i="9" s="1"/>
  <c r="Y1223" i="9" l="1"/>
  <c r="V1223" i="9"/>
  <c r="P1223" i="9" s="1"/>
  <c r="V1224" i="9" l="1"/>
  <c r="P1224" i="9" s="1"/>
  <c r="Y1224" i="9"/>
  <c r="Y1225" i="9" l="1"/>
  <c r="V1225" i="9"/>
  <c r="P1225" i="9" s="1"/>
  <c r="Y1226" i="9" l="1"/>
  <c r="V1226" i="9"/>
  <c r="P1226" i="9" s="1"/>
  <c r="Y1227" i="9" l="1"/>
  <c r="V1227" i="9"/>
  <c r="P1227" i="9" s="1"/>
  <c r="Y1228" i="9" l="1"/>
  <c r="V1228" i="9"/>
  <c r="P1228" i="9" s="1"/>
  <c r="Y1229" i="9" l="1"/>
  <c r="V1229" i="9"/>
  <c r="P1229" i="9" s="1"/>
  <c r="V1230" i="9" l="1"/>
  <c r="P1230" i="9" s="1"/>
  <c r="Y1230" i="9"/>
  <c r="V1231" i="9" l="1"/>
  <c r="P1231" i="9" s="1"/>
  <c r="Y1231" i="9"/>
  <c r="Y1232" i="9" l="1"/>
  <c r="V1232" i="9"/>
  <c r="P1232" i="9" s="1"/>
  <c r="V1233" i="9" l="1"/>
  <c r="P1233" i="9" s="1"/>
  <c r="Y1233" i="9"/>
  <c r="V1234" i="9" l="1"/>
  <c r="P1234" i="9" s="1"/>
  <c r="Y1234" i="9"/>
  <c r="V1235" i="9" l="1"/>
  <c r="P1235" i="9" s="1"/>
  <c r="Y1235" i="9"/>
  <c r="V1236" i="9" l="1"/>
  <c r="P1236" i="9" s="1"/>
  <c r="Y1236" i="9"/>
  <c r="V1237" i="9" l="1"/>
  <c r="P1237" i="9" s="1"/>
  <c r="Y1237" i="9"/>
  <c r="V1238" i="9" l="1"/>
  <c r="P1238" i="9" s="1"/>
  <c r="Y1238" i="9"/>
  <c r="Y1239" i="9" l="1"/>
  <c r="V1239" i="9"/>
  <c r="P1239" i="9" s="1"/>
  <c r="Y1240" i="9" l="1"/>
  <c r="V1240" i="9"/>
  <c r="P1240" i="9" s="1"/>
  <c r="V1241" i="9" l="1"/>
  <c r="P1241" i="9" s="1"/>
  <c r="Y1241" i="9"/>
  <c r="Y1242" i="9" l="1"/>
  <c r="V1242" i="9"/>
  <c r="P1242" i="9" s="1"/>
  <c r="V1243" i="9" l="1"/>
  <c r="P1243" i="9" s="1"/>
  <c r="Y1243" i="9"/>
  <c r="Y1244" i="9" l="1"/>
  <c r="V1244" i="9"/>
  <c r="P1244" i="9" s="1"/>
  <c r="V1245" i="9" l="1"/>
  <c r="P1245" i="9" s="1"/>
  <c r="Y1245" i="9"/>
  <c r="Y1246" i="9" l="1"/>
  <c r="V1246" i="9"/>
  <c r="P1246" i="9" s="1"/>
  <c r="V1247" i="9" l="1"/>
  <c r="P1247" i="9" s="1"/>
  <c r="Y1247" i="9"/>
  <c r="Y1248" i="9" l="1"/>
  <c r="V1248" i="9"/>
  <c r="P1248" i="9" s="1"/>
  <c r="Y1249" i="9" l="1"/>
  <c r="V1249" i="9"/>
  <c r="P1249" i="9" s="1"/>
  <c r="Y1250" i="9" l="1"/>
  <c r="V1250" i="9"/>
  <c r="P1250" i="9" s="1"/>
  <c r="Y1251" i="9" l="1"/>
  <c r="V1251" i="9"/>
  <c r="P1251" i="9" s="1"/>
  <c r="Y1252" i="9" l="1"/>
  <c r="V1252" i="9"/>
  <c r="P1252" i="9" s="1"/>
  <c r="V1253" i="9" l="1"/>
  <c r="P1253" i="9" s="1"/>
  <c r="Y1253" i="9"/>
  <c r="V1254" i="9" l="1"/>
  <c r="P1254" i="9" s="1"/>
  <c r="Y1254" i="9"/>
  <c r="Y1255" i="9" l="1"/>
  <c r="V1255" i="9"/>
  <c r="P1255" i="9" s="1"/>
  <c r="V1256" i="9" l="1"/>
  <c r="P1256" i="9" s="1"/>
  <c r="Y1256" i="9"/>
  <c r="Y1257" i="9" l="1"/>
  <c r="V1257" i="9"/>
  <c r="P1257" i="9" s="1"/>
  <c r="V1258" i="9" l="1"/>
  <c r="P1258" i="9" s="1"/>
  <c r="Y1258" i="9"/>
  <c r="V1259" i="9" l="1"/>
  <c r="P1259" i="9" s="1"/>
  <c r="Y1259" i="9"/>
  <c r="V1260" i="9" l="1"/>
  <c r="P1260" i="9" s="1"/>
  <c r="Y1260" i="9"/>
  <c r="V1261" i="9" l="1"/>
  <c r="P1261" i="9" s="1"/>
  <c r="Y1261" i="9"/>
  <c r="Y1262" i="9" l="1"/>
  <c r="V1262" i="9"/>
  <c r="P1262" i="9" s="1"/>
  <c r="Y1263" i="9" l="1"/>
  <c r="V1263" i="9"/>
  <c r="P1263" i="9" s="1"/>
  <c r="V1264" i="9" l="1"/>
  <c r="P1264" i="9" s="1"/>
  <c r="Y1264" i="9"/>
  <c r="V1265" i="9" l="1"/>
  <c r="P1265" i="9" s="1"/>
  <c r="Y1265" i="9"/>
  <c r="V1266" i="9" l="1"/>
  <c r="P1266" i="9" s="1"/>
  <c r="Y1266" i="9"/>
  <c r="Y1267" i="9" l="1"/>
  <c r="V1267" i="9"/>
  <c r="P1267" i="9" s="1"/>
  <c r="V1268" i="9" l="1"/>
  <c r="P1268" i="9" s="1"/>
  <c r="Y1268" i="9"/>
  <c r="Y1269" i="9" l="1"/>
  <c r="V1269" i="9"/>
  <c r="P1269" i="9" s="1"/>
  <c r="V1270" i="9" l="1"/>
  <c r="P1270" i="9" s="1"/>
  <c r="Y1270" i="9"/>
  <c r="Y1271" i="9" l="1"/>
  <c r="V1271" i="9"/>
  <c r="P1271" i="9" s="1"/>
  <c r="V1272" i="9" l="1"/>
  <c r="P1272" i="9" s="1"/>
  <c r="Y1272" i="9"/>
  <c r="Y1273" i="9" l="1"/>
  <c r="V1273" i="9"/>
  <c r="P1273" i="9" s="1"/>
  <c r="Y1274" i="9" l="1"/>
  <c r="V1274" i="9"/>
  <c r="P1274" i="9" s="1"/>
  <c r="Y1275" i="9" l="1"/>
  <c r="V1275" i="9"/>
  <c r="P1275" i="9" s="1"/>
  <c r="Y1276" i="9" l="1"/>
  <c r="V1276" i="9"/>
  <c r="P1276" i="9" s="1"/>
  <c r="Y1277" i="9" l="1"/>
  <c r="V1277" i="9"/>
  <c r="P1277" i="9" s="1"/>
  <c r="Y1278" i="9" l="1"/>
  <c r="V1278" i="9"/>
  <c r="P1278" i="9" s="1"/>
  <c r="Y1279" i="9" l="1"/>
  <c r="V1279" i="9"/>
  <c r="P1279" i="9" s="1"/>
  <c r="Y1280" i="9" l="1"/>
  <c r="V1280" i="9"/>
  <c r="P1280" i="9" s="1"/>
  <c r="V1281" i="9" l="1"/>
  <c r="P1281" i="9" s="1"/>
  <c r="Y1281" i="9"/>
  <c r="Y1282" i="9" l="1"/>
  <c r="V1282" i="9"/>
  <c r="P1282" i="9" s="1"/>
  <c r="Y1283" i="9" l="1"/>
  <c r="V1283" i="9"/>
  <c r="P1283" i="9" s="1"/>
  <c r="Y1284" i="9" l="1"/>
  <c r="V1284" i="9"/>
  <c r="P1284" i="9" s="1"/>
  <c r="V1285" i="9" l="1"/>
  <c r="P1285" i="9" s="1"/>
  <c r="Y1285" i="9"/>
  <c r="Y1286" i="9" l="1"/>
  <c r="V1286" i="9"/>
  <c r="P1286" i="9" s="1"/>
  <c r="V1287" i="9" l="1"/>
  <c r="P1287" i="9" s="1"/>
  <c r="Y1287" i="9"/>
  <c r="V1288" i="9" l="1"/>
  <c r="P1288" i="9" s="1"/>
  <c r="Y1288" i="9"/>
  <c r="Y1289" i="9" l="1"/>
  <c r="V1289" i="9"/>
  <c r="P1289" i="9" s="1"/>
  <c r="Y1290" i="9" l="1"/>
  <c r="V1290" i="9"/>
  <c r="P1290" i="9" s="1"/>
  <c r="Y1291" i="9" l="1"/>
  <c r="V1291" i="9"/>
  <c r="P1291" i="9" s="1"/>
  <c r="V1292" i="9" l="1"/>
  <c r="P1292" i="9" s="1"/>
  <c r="Y1292" i="9"/>
  <c r="V1293" i="9" l="1"/>
  <c r="P1293" i="9" s="1"/>
  <c r="Y1293" i="9"/>
  <c r="Y1294" i="9" l="1"/>
  <c r="V1294" i="9"/>
  <c r="P1294" i="9" s="1"/>
  <c r="V1295" i="9" l="1"/>
  <c r="P1295" i="9" s="1"/>
  <c r="Y1295" i="9"/>
  <c r="V1296" i="9" l="1"/>
  <c r="P1296" i="9" s="1"/>
  <c r="Y1296" i="9"/>
  <c r="V1297" i="9" l="1"/>
  <c r="P1297" i="9" s="1"/>
  <c r="Y1297" i="9"/>
  <c r="V1298" i="9" l="1"/>
  <c r="P1298" i="9" s="1"/>
  <c r="Y1298" i="9"/>
  <c r="Y1299" i="9" l="1"/>
  <c r="V1299" i="9"/>
  <c r="P1299" i="9" s="1"/>
  <c r="V1300" i="9" l="1"/>
  <c r="P1300" i="9" s="1"/>
  <c r="Y1300" i="9"/>
  <c r="Y1301" i="9" l="1"/>
  <c r="V1301" i="9"/>
  <c r="P1301" i="9" s="1"/>
  <c r="Y1302" i="9" l="1"/>
  <c r="V1302" i="9"/>
  <c r="P1302" i="9" s="1"/>
  <c r="V1303" i="9" l="1"/>
  <c r="P1303" i="9" s="1"/>
  <c r="Y1303" i="9"/>
  <c r="Y1304" i="9" l="1"/>
  <c r="V1304" i="9"/>
  <c r="P1304" i="9" s="1"/>
  <c r="Y1305" i="9" l="1"/>
  <c r="V1305" i="9"/>
  <c r="P1305" i="9" s="1"/>
  <c r="V1306" i="9" l="1"/>
  <c r="P1306" i="9" s="1"/>
  <c r="Y1306" i="9"/>
  <c r="Y1307" i="9" l="1"/>
  <c r="V1307" i="9"/>
  <c r="P1307" i="9" s="1"/>
  <c r="Y1308" i="9" l="1"/>
  <c r="V1308" i="9"/>
  <c r="P1308" i="9" s="1"/>
  <c r="Y1309" i="9" l="1"/>
  <c r="V1309" i="9"/>
  <c r="P1309" i="9" s="1"/>
  <c r="V1310" i="9" l="1"/>
  <c r="P1310" i="9" s="1"/>
  <c r="Y1310" i="9"/>
  <c r="V1311" i="9" l="1"/>
  <c r="P1311" i="9" s="1"/>
  <c r="Y1311" i="9"/>
  <c r="Y1312" i="9" l="1"/>
  <c r="V1312" i="9"/>
  <c r="P1312" i="9" s="1"/>
  <c r="Y1313" i="9" l="1"/>
  <c r="V1313" i="9"/>
  <c r="P1313" i="9" s="1"/>
  <c r="Y1314" i="9" l="1"/>
  <c r="V1314" i="9"/>
  <c r="P1314" i="9" s="1"/>
  <c r="V1315" i="9" l="1"/>
  <c r="P1315" i="9" s="1"/>
  <c r="Y1315" i="9"/>
  <c r="Y1316" i="9" l="1"/>
  <c r="V1316" i="9"/>
  <c r="P1316" i="9" s="1"/>
  <c r="V1317" i="9" l="1"/>
  <c r="P1317" i="9" s="1"/>
  <c r="Y1317" i="9"/>
  <c r="Y1318" i="9" l="1"/>
  <c r="V1318" i="9"/>
  <c r="P1318" i="9" s="1"/>
  <c r="V1319" i="9" l="1"/>
  <c r="P1319" i="9" s="1"/>
  <c r="Y1319" i="9"/>
  <c r="Y1320" i="9" l="1"/>
  <c r="V1320" i="9"/>
  <c r="P1320" i="9" s="1"/>
  <c r="Y1321" i="9" l="1"/>
  <c r="V1321" i="9"/>
  <c r="P1321" i="9" s="1"/>
  <c r="Y1322" i="9" l="1"/>
  <c r="V1322" i="9"/>
  <c r="P1322" i="9" s="1"/>
  <c r="V1323" i="9" l="1"/>
  <c r="P1323" i="9" s="1"/>
  <c r="Y1323" i="9"/>
  <c r="V1324" i="9" l="1"/>
  <c r="P1324" i="9" s="1"/>
  <c r="Y1324" i="9"/>
  <c r="V1325" i="9" l="1"/>
  <c r="P1325" i="9" s="1"/>
  <c r="Y1325" i="9"/>
  <c r="V1326" i="9" l="1"/>
  <c r="P1326" i="9" s="1"/>
  <c r="Y1326" i="9"/>
  <c r="Y1327" i="9" l="1"/>
  <c r="V1327" i="9"/>
  <c r="P1327" i="9" s="1"/>
  <c r="Y1328" i="9" l="1"/>
  <c r="V1328" i="9"/>
  <c r="P1328" i="9" s="1"/>
  <c r="Y1329" i="9" l="1"/>
  <c r="V1329" i="9"/>
  <c r="P1329" i="9" s="1"/>
  <c r="V1330" i="9" l="1"/>
  <c r="P1330" i="9" s="1"/>
  <c r="Y1330" i="9"/>
  <c r="Y1331" i="9" l="1"/>
  <c r="V1331" i="9"/>
  <c r="P1331" i="9" s="1"/>
  <c r="Y1332" i="9" l="1"/>
  <c r="V1332" i="9"/>
  <c r="P1332" i="9" s="1"/>
  <c r="Y1333" i="9" l="1"/>
  <c r="V1333" i="9"/>
  <c r="P1333" i="9" s="1"/>
  <c r="Y1334" i="9" l="1"/>
  <c r="V1334" i="9"/>
  <c r="P1334" i="9" s="1"/>
  <c r="Y1335" i="9" l="1"/>
  <c r="V1335" i="9"/>
  <c r="P1335" i="9" s="1"/>
  <c r="Y1336" i="9" l="1"/>
  <c r="V1336" i="9"/>
  <c r="P1336" i="9" s="1"/>
  <c r="Y1337" i="9" l="1"/>
  <c r="V1337" i="9"/>
  <c r="P1337" i="9" s="1"/>
  <c r="Y1338" i="9" l="1"/>
  <c r="V1338" i="9"/>
  <c r="P1338" i="9" s="1"/>
  <c r="V1339" i="9" l="1"/>
  <c r="P1339" i="9" s="1"/>
  <c r="Y1339" i="9"/>
  <c r="V1340" i="9" l="1"/>
  <c r="P1340" i="9" s="1"/>
  <c r="Y1340" i="9"/>
  <c r="Y1341" i="9" l="1"/>
  <c r="V1341" i="9"/>
  <c r="P1341" i="9" s="1"/>
  <c r="Y1342" i="9" l="1"/>
  <c r="V1342" i="9"/>
  <c r="P1342" i="9" s="1"/>
  <c r="V1343" i="9" l="1"/>
  <c r="P1343" i="9" s="1"/>
  <c r="Y1343" i="9"/>
  <c r="Y1344" i="9" l="1"/>
  <c r="V1344" i="9"/>
  <c r="P1344" i="9" s="1"/>
  <c r="V1345" i="9" l="1"/>
  <c r="P1345" i="9" s="1"/>
  <c r="Y1345" i="9"/>
  <c r="Y1346" i="9" l="1"/>
  <c r="V1346" i="9"/>
  <c r="P1346" i="9" s="1"/>
  <c r="Y1347" i="9" l="1"/>
  <c r="V1347" i="9"/>
  <c r="P1347" i="9" s="1"/>
  <c r="V1348" i="9" l="1"/>
  <c r="P1348" i="9" s="1"/>
  <c r="Y1348" i="9"/>
  <c r="V1349" i="9" l="1"/>
  <c r="P1349" i="9" s="1"/>
  <c r="Y1349" i="9"/>
  <c r="V1350" i="9" l="1"/>
  <c r="P1350" i="9" s="1"/>
  <c r="Y1350" i="9"/>
  <c r="Y1351" i="9" l="1"/>
  <c r="V1351" i="9"/>
  <c r="P1351" i="9" s="1"/>
  <c r="V1352" i="9" l="1"/>
  <c r="P1352" i="9" s="1"/>
  <c r="Y1352" i="9"/>
  <c r="Y1353" i="9" l="1"/>
  <c r="V1353" i="9"/>
  <c r="P1353" i="9" s="1"/>
  <c r="Y1354" i="9" l="1"/>
  <c r="V1354" i="9"/>
  <c r="P1354" i="9" s="1"/>
  <c r="V1355" i="9" l="1"/>
  <c r="P1355" i="9" s="1"/>
  <c r="Y1355" i="9"/>
  <c r="Y1356" i="9" l="1"/>
  <c r="V1356" i="9"/>
  <c r="P1356" i="9" s="1"/>
  <c r="Y1357" i="9" l="1"/>
  <c r="V1357" i="9"/>
  <c r="P1357" i="9" s="1"/>
  <c r="Y1358" i="9" l="1"/>
  <c r="V1358" i="9"/>
  <c r="P1358" i="9" s="1"/>
  <c r="V1359" i="9" l="1"/>
  <c r="P1359" i="9" s="1"/>
  <c r="Y1359" i="9"/>
  <c r="Y1360" i="9" l="1"/>
  <c r="V1360" i="9"/>
  <c r="P1360" i="9" s="1"/>
  <c r="V1361" i="9" l="1"/>
  <c r="P1361" i="9" s="1"/>
  <c r="Y1361" i="9"/>
  <c r="V1362" i="9" l="1"/>
  <c r="P1362" i="9" s="1"/>
  <c r="Y1362" i="9"/>
  <c r="V1363" i="9" l="1"/>
  <c r="P1363" i="9" s="1"/>
  <c r="Y1363" i="9"/>
  <c r="V1364" i="9" l="1"/>
  <c r="P1364" i="9" s="1"/>
  <c r="Y1364" i="9"/>
  <c r="Y1365" i="9" l="1"/>
  <c r="V1365" i="9"/>
  <c r="P1365" i="9" s="1"/>
  <c r="Y1366" i="9" l="1"/>
  <c r="V1366" i="9"/>
  <c r="P1366" i="9" s="1"/>
  <c r="V1367" i="9" l="1"/>
  <c r="P1367" i="9" s="1"/>
  <c r="Y1367" i="9"/>
  <c r="Y1368" i="9" l="1"/>
  <c r="V1368" i="9"/>
  <c r="P1368" i="9" s="1"/>
  <c r="Y1369" i="9" l="1"/>
  <c r="V1369" i="9"/>
  <c r="P1369" i="9" s="1"/>
  <c r="V1370" i="9" l="1"/>
  <c r="P1370" i="9" s="1"/>
  <c r="Y1370" i="9"/>
  <c r="V1371" i="9" l="1"/>
  <c r="P1371" i="9" s="1"/>
  <c r="Y1371" i="9"/>
  <c r="V1372" i="9" l="1"/>
  <c r="P1372" i="9" s="1"/>
  <c r="Y1372" i="9"/>
  <c r="V1373" i="9" l="1"/>
  <c r="P1373" i="9" s="1"/>
  <c r="Y1373" i="9"/>
  <c r="V1374" i="9" l="1"/>
  <c r="P1374" i="9" s="1"/>
  <c r="Y1374" i="9"/>
  <c r="Y1375" i="9" l="1"/>
  <c r="V1375" i="9"/>
  <c r="P1375" i="9" s="1"/>
  <c r="V1376" i="9" l="1"/>
  <c r="P1376" i="9" s="1"/>
  <c r="Y1376" i="9"/>
  <c r="V1377" i="9" l="1"/>
  <c r="P1377" i="9" s="1"/>
  <c r="Y1377" i="9"/>
  <c r="V1378" i="9" l="1"/>
  <c r="P1378" i="9" s="1"/>
  <c r="Y1378" i="9"/>
  <c r="V1379" i="9" l="1"/>
  <c r="P1379" i="9" s="1"/>
  <c r="Y1379" i="9"/>
  <c r="Y1389" i="9" l="1"/>
  <c r="V1389" i="9"/>
  <c r="P1389" i="9" s="1"/>
  <c r="Y1390" i="9" l="1"/>
  <c r="V1390" i="9"/>
  <c r="P1390" i="9" s="1"/>
  <c r="Y1391" i="9" l="1"/>
  <c r="V1391" i="9"/>
  <c r="P1391" i="9" s="1"/>
  <c r="V1392" i="9" l="1"/>
  <c r="P1392" i="9" s="1"/>
  <c r="Y1392" i="9"/>
  <c r="V1393" i="9" l="1"/>
  <c r="P1393" i="9" s="1"/>
  <c r="Y1393" i="9"/>
  <c r="V1394" i="9" l="1"/>
  <c r="P1394" i="9" s="1"/>
  <c r="Y1394" i="9"/>
  <c r="V1398" i="9" l="1"/>
  <c r="P1398" i="9" s="1"/>
  <c r="Y1398" i="9"/>
  <c r="Y1399" i="9" l="1"/>
  <c r="V1399" i="9"/>
  <c r="P1399" i="9" s="1"/>
  <c r="V1400" i="9" l="1"/>
  <c r="P1400" i="9" s="1"/>
  <c r="Y1400" i="9"/>
  <c r="U13" i="9"/>
  <c r="J13" i="9"/>
  <c r="V13" i="9"/>
  <c r="Y13" i="9"/>
  <c r="N13" i="9"/>
  <c r="C14" i="9" l="1" a="1"/>
  <c r="C14" i="9" s="1"/>
  <c r="M14" i="9" l="1"/>
  <c r="K14" i="9"/>
  <c r="L14" i="9"/>
  <c r="N14" i="9"/>
  <c r="J14" i="9"/>
  <c r="U14" i="9"/>
  <c r="O14" i="9"/>
  <c r="V14" i="9"/>
  <c r="Y14" i="9"/>
  <c r="C15" i="9" l="1" a="1"/>
  <c r="C15" i="9" s="1"/>
  <c r="K15" i="9" l="1"/>
  <c r="L15" i="9"/>
  <c r="M15" i="9"/>
  <c r="O15" i="9"/>
  <c r="V15" i="9"/>
  <c r="N15" i="9"/>
  <c r="Y15" i="9"/>
  <c r="U15" i="9"/>
  <c r="J15" i="9"/>
  <c r="C16" i="9" l="1" a="1"/>
  <c r="C16" i="9" s="1"/>
  <c r="J16" i="9" l="1"/>
  <c r="U16" i="9"/>
  <c r="Y16" i="9"/>
  <c r="V16" i="9"/>
  <c r="N16" i="9"/>
  <c r="O16" i="9"/>
  <c r="C17" i="9" l="1" a="1"/>
  <c r="C17" i="9" s="1"/>
  <c r="J17" i="9" s="1"/>
  <c r="U17" i="9" l="1"/>
  <c r="Y17" i="9"/>
  <c r="N17" i="9"/>
  <c r="V17" i="9"/>
  <c r="O17" i="9"/>
  <c r="M17" i="9"/>
  <c r="L17" i="9"/>
  <c r="K17" i="9"/>
  <c r="C18" i="9" l="1" a="1"/>
  <c r="C18" i="9" s="1"/>
  <c r="O18" i="9" l="1"/>
  <c r="U18" i="9"/>
  <c r="V18" i="9"/>
  <c r="N18" i="9"/>
  <c r="J18" i="9"/>
  <c r="Y18" i="9"/>
  <c r="C19" i="9" s="1" a="1"/>
  <c r="C19" i="9" s="1"/>
  <c r="L19" i="9" s="1"/>
  <c r="J19" i="9" l="1"/>
  <c r="N19" i="9"/>
  <c r="M19" i="9"/>
  <c r="O19" i="9"/>
  <c r="V19" i="9"/>
  <c r="U19" i="9"/>
  <c r="K19" i="9"/>
  <c r="Y19" i="9"/>
  <c r="C20" i="9" s="1" a="1"/>
  <c r="C20" i="9" s="1"/>
  <c r="U20" i="9" l="1"/>
  <c r="M20" i="9"/>
  <c r="J20" i="9"/>
  <c r="N20" i="9"/>
  <c r="K20" i="9"/>
  <c r="Y20" i="9"/>
  <c r="C21" i="9" s="1" a="1"/>
  <c r="C21" i="9" s="1"/>
  <c r="O20" i="9"/>
  <c r="L20" i="9"/>
  <c r="V20" i="9"/>
  <c r="N21" i="9" l="1"/>
  <c r="J21" i="9"/>
  <c r="Y21" i="9"/>
  <c r="O21" i="9"/>
  <c r="V21" i="9"/>
  <c r="U21" i="9"/>
  <c r="C22" i="9" l="1" a="1"/>
  <c r="C22" i="9" s="1"/>
  <c r="J22" i="9" l="1"/>
  <c r="Y22" i="9"/>
  <c r="V22" i="9"/>
  <c r="M22" i="9"/>
  <c r="O22" i="9"/>
  <c r="K22" i="9"/>
  <c r="N22" i="9"/>
  <c r="L22" i="9"/>
  <c r="U22" i="9"/>
  <c r="C23" i="9" l="1" a="1"/>
  <c r="C23" i="9" s="1"/>
  <c r="O23" i="9" l="1"/>
  <c r="N23" i="9"/>
  <c r="J23" i="9"/>
  <c r="Y23" i="9"/>
  <c r="C24" i="9" s="1" a="1"/>
  <c r="C24" i="9" s="1"/>
  <c r="V23" i="9"/>
  <c r="M23" i="9"/>
  <c r="K23" i="9"/>
  <c r="L23" i="9"/>
  <c r="U23" i="9"/>
  <c r="O24" i="9" l="1"/>
  <c r="Y24" i="9"/>
  <c r="C25" i="9" s="1" a="1"/>
  <c r="C25" i="9" s="1"/>
  <c r="K24" i="9"/>
  <c r="L24" i="9"/>
  <c r="J24" i="9"/>
  <c r="M24" i="9"/>
  <c r="N24" i="9"/>
  <c r="V24" i="9"/>
  <c r="U24" i="9"/>
  <c r="C62" i="9" a="1"/>
  <c r="C62" i="9" s="1"/>
  <c r="J25" i="9" l="1"/>
  <c r="U25" i="9"/>
  <c r="Y25" i="9"/>
  <c r="O25" i="9"/>
  <c r="L25" i="9"/>
  <c r="K25" i="9"/>
  <c r="M25" i="9"/>
  <c r="V25" i="9"/>
  <c r="N25" i="9"/>
  <c r="M62" i="9"/>
  <c r="L62" i="9"/>
  <c r="K62" i="9"/>
  <c r="S62" i="9"/>
  <c r="O62" i="9"/>
  <c r="N62" i="9"/>
  <c r="J62" i="9"/>
  <c r="Y62" i="9"/>
  <c r="C63" i="9" s="1" a="1"/>
  <c r="C63" i="9" s="1"/>
  <c r="Y63" i="9" s="1"/>
  <c r="V62" i="9"/>
  <c r="P62" i="9" s="1"/>
  <c r="S59" i="9"/>
  <c r="S54" i="9"/>
  <c r="S56" i="9"/>
  <c r="S57" i="9"/>
  <c r="S61" i="9"/>
  <c r="S55" i="9"/>
  <c r="S60" i="9"/>
  <c r="S58" i="9"/>
  <c r="S51" i="9"/>
  <c r="C26" i="9" l="1" a="1"/>
  <c r="C26" i="9" s="1"/>
  <c r="V26" i="9" s="1"/>
  <c r="V63" i="9"/>
  <c r="P63" i="9" s="1"/>
  <c r="K63" i="9"/>
  <c r="L63" i="9"/>
  <c r="M63" i="9"/>
  <c r="O63" i="9"/>
  <c r="N63" i="9"/>
  <c r="J63" i="9"/>
  <c r="S63" i="9"/>
  <c r="R63" i="9" s="1"/>
  <c r="A51" i="9"/>
  <c r="B51" i="9"/>
  <c r="R51" i="9"/>
  <c r="B58" i="9"/>
  <c r="A58" i="9"/>
  <c r="R58" i="9"/>
  <c r="R55" i="9"/>
  <c r="A55" i="9"/>
  <c r="B55" i="9"/>
  <c r="R60" i="9"/>
  <c r="B60" i="9"/>
  <c r="A60" i="9"/>
  <c r="R57" i="9"/>
  <c r="B57" i="9"/>
  <c r="A57" i="9"/>
  <c r="R59" i="9"/>
  <c r="B59" i="9"/>
  <c r="A59" i="9"/>
  <c r="R56" i="9"/>
  <c r="B56" i="9"/>
  <c r="A56" i="9"/>
  <c r="A62" i="9"/>
  <c r="R62" i="9"/>
  <c r="B62" i="9"/>
  <c r="A61" i="9"/>
  <c r="R61" i="9"/>
  <c r="B61" i="9"/>
  <c r="R54" i="9"/>
  <c r="B54" i="9"/>
  <c r="A54" i="9"/>
  <c r="M26" i="9" l="1"/>
  <c r="O26" i="9"/>
  <c r="J26" i="9"/>
  <c r="N26" i="9"/>
  <c r="U26" i="9"/>
  <c r="L26" i="9"/>
  <c r="K26" i="9"/>
  <c r="Y26" i="9"/>
  <c r="C27" i="9" s="1" a="1"/>
  <c r="C27" i="9" s="1"/>
  <c r="O27" i="9" s="1"/>
  <c r="B63" i="9"/>
  <c r="A63" i="9"/>
  <c r="V27" i="9" l="1"/>
  <c r="U27" i="9"/>
  <c r="Y27" i="9"/>
  <c r="C28" i="9" s="1" a="1"/>
  <c r="C28" i="9" s="1"/>
  <c r="V28" i="9" s="1"/>
  <c r="N27" i="9"/>
  <c r="J27" i="9"/>
  <c r="M28" i="9" l="1"/>
  <c r="J28" i="9"/>
  <c r="N28" i="9"/>
  <c r="K28" i="9"/>
  <c r="Y28" i="9"/>
  <c r="C29" i="9" s="1" a="1"/>
  <c r="C29" i="9" s="1"/>
  <c r="K29" i="9" s="1"/>
  <c r="U28" i="9"/>
  <c r="L28" i="9"/>
  <c r="O28" i="9"/>
  <c r="J29" i="9" l="1"/>
  <c r="N29" i="9"/>
  <c r="V29" i="9"/>
  <c r="O29" i="9"/>
  <c r="L29" i="9"/>
  <c r="U29" i="9"/>
  <c r="Y29" i="9"/>
  <c r="C30" i="9" s="1" a="1"/>
  <c r="C30" i="9" s="1"/>
  <c r="E30" i="9" s="1"/>
  <c r="S30" i="9" s="1"/>
  <c r="A30" i="9" s="1"/>
  <c r="M29" i="9"/>
  <c r="R30" i="9" l="1"/>
  <c r="L30" i="9"/>
  <c r="J30" i="9"/>
  <c r="Y30" i="9"/>
  <c r="C31" i="9" s="1" a="1"/>
  <c r="C31" i="9" s="1"/>
  <c r="N31" i="9" s="1"/>
  <c r="B30" i="9"/>
  <c r="U30" i="9"/>
  <c r="O30" i="9"/>
  <c r="V30" i="9"/>
  <c r="P30" i="9" s="1"/>
  <c r="K30" i="9"/>
  <c r="N30" i="9"/>
  <c r="M30" i="9"/>
  <c r="U31" i="9" l="1"/>
  <c r="Y31" i="9"/>
  <c r="C32" i="9" s="1" a="1"/>
  <c r="C32" i="9" s="1"/>
  <c r="N32" i="9" s="1"/>
  <c r="V31" i="9"/>
  <c r="O31" i="9"/>
  <c r="K31" i="9"/>
  <c r="M31" i="9"/>
  <c r="J31" i="9"/>
  <c r="L31" i="9"/>
  <c r="E26" i="9"/>
  <c r="S26" i="9" s="1"/>
  <c r="E24" i="9"/>
  <c r="S24" i="9" s="1"/>
  <c r="Y32" i="9" l="1"/>
  <c r="V32" i="9"/>
  <c r="K32" i="9"/>
  <c r="J32" i="9"/>
  <c r="M32" i="9"/>
  <c r="O32" i="9"/>
  <c r="U32" i="9"/>
  <c r="L32" i="9"/>
  <c r="C33" i="9" a="1"/>
  <c r="C33" i="9" s="1"/>
  <c r="U33" i="9" s="1"/>
  <c r="E28" i="9"/>
  <c r="S28" i="9" s="1"/>
  <c r="A28" i="9" s="1"/>
  <c r="E14" i="9"/>
  <c r="S14" i="9" s="1"/>
  <c r="R26" i="9"/>
  <c r="B26" i="9"/>
  <c r="A26" i="9"/>
  <c r="E15" i="9"/>
  <c r="S15" i="9" s="1"/>
  <c r="E17" i="9"/>
  <c r="S17" i="9" s="1"/>
  <c r="R17" i="9" s="1"/>
  <c r="E20" i="9"/>
  <c r="S20" i="9" s="1"/>
  <c r="E19" i="9"/>
  <c r="S19" i="9" s="1"/>
  <c r="A24" i="9"/>
  <c r="R24" i="9"/>
  <c r="B24" i="9"/>
  <c r="E22" i="9"/>
  <c r="S22" i="9" s="1"/>
  <c r="E23" i="9"/>
  <c r="S23" i="9" s="1"/>
  <c r="E25" i="9"/>
  <c r="S25" i="9" s="1"/>
  <c r="O33" i="9" l="1"/>
  <c r="N33" i="9"/>
  <c r="J33" i="9"/>
  <c r="K33" i="9"/>
  <c r="L33" i="9"/>
  <c r="M33" i="9"/>
  <c r="V33" i="9"/>
  <c r="Y33" i="9"/>
  <c r="E29" i="9"/>
  <c r="S29" i="9" s="1"/>
  <c r="B28" i="9"/>
  <c r="R28" i="9"/>
  <c r="B14" i="9"/>
  <c r="A14" i="9"/>
  <c r="R14" i="9"/>
  <c r="A17" i="9"/>
  <c r="B17" i="9"/>
  <c r="B15" i="9"/>
  <c r="R15" i="9"/>
  <c r="A15" i="9"/>
  <c r="R19" i="9"/>
  <c r="A19" i="9"/>
  <c r="B19" i="9"/>
  <c r="R20" i="9"/>
  <c r="A20" i="9"/>
  <c r="B20" i="9"/>
  <c r="B23" i="9"/>
  <c r="R23" i="9"/>
  <c r="A23" i="9"/>
  <c r="R25" i="9"/>
  <c r="A25" i="9"/>
  <c r="B25" i="9"/>
  <c r="B22" i="9"/>
  <c r="A22" i="9"/>
  <c r="R22" i="9"/>
  <c r="C34" i="9" l="1" a="1"/>
  <c r="C34" i="9" s="1"/>
  <c r="B29" i="9"/>
  <c r="A29" i="9"/>
  <c r="R29" i="9"/>
  <c r="U34" i="9" l="1"/>
  <c r="V34" i="9"/>
  <c r="Y34" i="9"/>
  <c r="C35" i="9" s="1" a="1"/>
  <c r="C35" i="9" s="1"/>
  <c r="M35" i="9" s="1"/>
  <c r="J34" i="9"/>
  <c r="N34" i="9"/>
  <c r="O34" i="9"/>
  <c r="L35" i="9" l="1"/>
  <c r="K35" i="9"/>
  <c r="J35" i="9"/>
  <c r="N35" i="9"/>
  <c r="O35" i="9"/>
  <c r="U35" i="9"/>
  <c r="Y35" i="9"/>
  <c r="C36" i="9" s="1" a="1"/>
  <c r="C36" i="9" s="1"/>
  <c r="V35" i="9"/>
  <c r="O36" i="9" l="1"/>
  <c r="J36" i="9"/>
  <c r="N36" i="9"/>
  <c r="Y36" i="9"/>
  <c r="C37" i="9" s="1" a="1"/>
  <c r="C37" i="9" s="1"/>
  <c r="N37" i="9" s="1"/>
  <c r="U36" i="9"/>
  <c r="V36" i="9"/>
  <c r="U37" i="9" l="1"/>
  <c r="L37" i="9"/>
  <c r="Y37" i="9"/>
  <c r="C38" i="9" s="1" a="1"/>
  <c r="C38" i="9" s="1"/>
  <c r="N38" i="9" s="1"/>
  <c r="O37" i="9"/>
  <c r="M37" i="9"/>
  <c r="K37" i="9"/>
  <c r="V37" i="9"/>
  <c r="J37" i="9"/>
  <c r="L38" i="9" l="1"/>
  <c r="K38" i="9"/>
  <c r="M38" i="9"/>
  <c r="J38" i="9"/>
  <c r="U38" i="9"/>
  <c r="Y38" i="9"/>
  <c r="C39" i="9" s="1" a="1"/>
  <c r="C39" i="9" s="1"/>
  <c r="N39" i="9" s="1"/>
  <c r="V38" i="9"/>
  <c r="O38" i="9"/>
  <c r="E35" i="9"/>
  <c r="S35" i="9" s="1"/>
  <c r="O39" i="9" l="1"/>
  <c r="M39" i="9"/>
  <c r="L39" i="9"/>
  <c r="K39" i="9"/>
  <c r="U39" i="9"/>
  <c r="Y39" i="9"/>
  <c r="C40" i="9" s="1" a="1"/>
  <c r="C40" i="9" s="1"/>
  <c r="K40" i="9" s="1"/>
  <c r="V39" i="9"/>
  <c r="J39" i="9"/>
  <c r="E37" i="9"/>
  <c r="S37" i="9" s="1"/>
  <c r="A35" i="9"/>
  <c r="R35" i="9"/>
  <c r="B35" i="9"/>
  <c r="J40" i="9" l="1"/>
  <c r="N40" i="9"/>
  <c r="O40" i="9"/>
  <c r="L40" i="9"/>
  <c r="U40" i="9"/>
  <c r="V40" i="9"/>
  <c r="Y40" i="9"/>
  <c r="C41" i="9" s="1" a="1"/>
  <c r="C41" i="9" s="1"/>
  <c r="M40" i="9"/>
  <c r="E39" i="9"/>
  <c r="S39" i="9" s="1"/>
  <c r="E38" i="9"/>
  <c r="S38" i="9" s="1"/>
  <c r="B37" i="9"/>
  <c r="R37" i="9"/>
  <c r="A37" i="9"/>
  <c r="J41" i="9" l="1"/>
  <c r="N41" i="9"/>
  <c r="O41" i="9"/>
  <c r="V41" i="9"/>
  <c r="Y41" i="9"/>
  <c r="C42" i="9" s="1" a="1"/>
  <c r="C42" i="9" s="1"/>
  <c r="J42" i="9" s="1"/>
  <c r="U41" i="9"/>
  <c r="A39" i="9"/>
  <c r="B39" i="9"/>
  <c r="R39" i="9"/>
  <c r="B38" i="9"/>
  <c r="A38" i="9"/>
  <c r="R38" i="9"/>
  <c r="P25" i="9"/>
  <c r="P24" i="9"/>
  <c r="P23" i="9"/>
  <c r="V42" i="9" l="1"/>
  <c r="K42" i="9"/>
  <c r="N42" i="9"/>
  <c r="Y42" i="9"/>
  <c r="C43" i="9" s="1" a="1"/>
  <c r="C43" i="9" s="1"/>
  <c r="L42" i="9"/>
  <c r="U42" i="9"/>
  <c r="M42" i="9"/>
  <c r="O42" i="9"/>
  <c r="U43" i="9" l="1"/>
  <c r="J43" i="9"/>
  <c r="O43" i="9"/>
  <c r="N43" i="9"/>
  <c r="V43" i="9"/>
  <c r="Y43" i="9"/>
  <c r="C44" i="9" s="1" a="1"/>
  <c r="C44" i="9" s="1"/>
  <c r="E40" i="9"/>
  <c r="S40" i="9" s="1"/>
  <c r="E44" i="9" l="1"/>
  <c r="S44" i="9" s="1"/>
  <c r="O44" i="9"/>
  <c r="N44" i="9"/>
  <c r="J44" i="9"/>
  <c r="K44" i="9"/>
  <c r="L44" i="9"/>
  <c r="M44" i="9"/>
  <c r="Y44" i="9"/>
  <c r="C45" i="9" s="1" a="1"/>
  <c r="C45" i="9" s="1"/>
  <c r="V44" i="9"/>
  <c r="E42" i="9"/>
  <c r="S42" i="9" s="1"/>
  <c r="U44" i="9"/>
  <c r="B40" i="9"/>
  <c r="R40" i="9"/>
  <c r="A40" i="9"/>
  <c r="J45" i="9" l="1"/>
  <c r="O45" i="9"/>
  <c r="N45" i="9"/>
  <c r="V45" i="9"/>
  <c r="Y45" i="9"/>
  <c r="C46" i="9" s="1" a="1"/>
  <c r="C46" i="9" s="1"/>
  <c r="U45" i="9"/>
  <c r="A42" i="9"/>
  <c r="R42" i="9"/>
  <c r="B42" i="9"/>
  <c r="A44" i="9"/>
  <c r="R44" i="9"/>
  <c r="B44" i="9"/>
  <c r="E46" i="9" l="1"/>
  <c r="S46" i="9" s="1"/>
  <c r="O46" i="9"/>
  <c r="N46" i="9"/>
  <c r="J46" i="9"/>
  <c r="M46" i="9"/>
  <c r="K46" i="9"/>
  <c r="L46" i="9"/>
  <c r="Y46" i="9"/>
  <c r="C47" i="9" s="1" a="1"/>
  <c r="C47" i="9" s="1"/>
  <c r="V46" i="9"/>
  <c r="U46" i="9"/>
  <c r="E47" i="9" l="1"/>
  <c r="S47" i="9" s="1"/>
  <c r="K47" i="9"/>
  <c r="L47" i="9"/>
  <c r="M47" i="9"/>
  <c r="O47" i="9"/>
  <c r="N47" i="9"/>
  <c r="J47" i="9"/>
  <c r="Y47" i="9"/>
  <c r="C48" i="9" s="1" a="1"/>
  <c r="C48" i="9" s="1"/>
  <c r="V47" i="9"/>
  <c r="U47" i="9"/>
  <c r="B46" i="9"/>
  <c r="R46" i="9"/>
  <c r="A46" i="9"/>
  <c r="E48" i="9" l="1"/>
  <c r="S48" i="9" s="1"/>
  <c r="J48" i="9"/>
  <c r="L48" i="9"/>
  <c r="O48" i="9"/>
  <c r="K48" i="9"/>
  <c r="M48" i="9"/>
  <c r="N48" i="9"/>
  <c r="Y48" i="9"/>
  <c r="C49" i="9" s="1" a="1"/>
  <c r="C49" i="9" s="1"/>
  <c r="V48" i="9"/>
  <c r="U48" i="9"/>
  <c r="A47" i="9"/>
  <c r="B47" i="9"/>
  <c r="R47" i="9"/>
  <c r="K49" i="9" l="1"/>
  <c r="L49" i="9"/>
  <c r="Y49" i="9"/>
  <c r="C50" i="9" s="1" a="1"/>
  <c r="C50" i="9" s="1"/>
  <c r="V49" i="9"/>
  <c r="J49" i="9"/>
  <c r="M49" i="9"/>
  <c r="N49" i="9"/>
  <c r="O49" i="9"/>
  <c r="U49" i="9"/>
  <c r="A48" i="9"/>
  <c r="R48" i="9"/>
  <c r="B48" i="9"/>
  <c r="U50" i="9" l="1"/>
  <c r="U51" i="9" s="1"/>
  <c r="J50" i="9"/>
  <c r="Y50" i="9"/>
  <c r="C52" i="9" s="1" a="1"/>
  <c r="C52" i="9" s="1"/>
  <c r="V50" i="9"/>
  <c r="N50" i="9"/>
  <c r="O50" i="9"/>
  <c r="E52" i="9" l="1"/>
  <c r="S52" i="9" s="1"/>
  <c r="M52" i="9"/>
  <c r="N52" i="9"/>
  <c r="V52" i="9"/>
  <c r="P52" i="9" s="1"/>
  <c r="K52" i="9"/>
  <c r="O52" i="9"/>
  <c r="J52" i="9"/>
  <c r="Y52" i="9"/>
  <c r="C53" i="9" s="1" a="1"/>
  <c r="C53" i="9" s="1"/>
  <c r="L52" i="9"/>
  <c r="E18" i="9"/>
  <c r="S18" i="9" s="1"/>
  <c r="E16" i="9"/>
  <c r="S16" i="9" s="1"/>
  <c r="E49" i="9"/>
  <c r="S49" i="9" s="1"/>
  <c r="E43" i="9"/>
  <c r="S43" i="9" s="1"/>
  <c r="E34" i="9"/>
  <c r="S34" i="9" s="1"/>
  <c r="E21" i="9"/>
  <c r="S21" i="9" s="1"/>
  <c r="E36" i="9"/>
  <c r="S36" i="9" s="1"/>
  <c r="E41" i="9"/>
  <c r="S41" i="9" s="1"/>
  <c r="U52" i="9"/>
  <c r="E53" i="9" l="1"/>
  <c r="S53" i="9" s="1"/>
  <c r="E50" i="9"/>
  <c r="S50" i="9" s="1"/>
  <c r="B16" i="9"/>
  <c r="R16" i="9"/>
  <c r="A16" i="9"/>
  <c r="U53" i="9"/>
  <c r="M53" i="9"/>
  <c r="O53" i="9"/>
  <c r="K53" i="9"/>
  <c r="J53" i="9"/>
  <c r="N53" i="9"/>
  <c r="V53" i="9"/>
  <c r="P53" i="9" s="1"/>
  <c r="Y53" i="9"/>
  <c r="L53" i="9"/>
  <c r="L6" i="26" s="1"/>
  <c r="E13" i="9"/>
  <c r="S13" i="9" s="1"/>
  <c r="E32" i="9"/>
  <c r="S32" i="9" s="1"/>
  <c r="E31" i="9"/>
  <c r="S31" i="9" s="1"/>
  <c r="E45" i="9"/>
  <c r="S45" i="9" s="1"/>
  <c r="E27" i="9"/>
  <c r="S27" i="9" s="1"/>
  <c r="E33" i="9"/>
  <c r="S33" i="9" s="1"/>
  <c r="R18" i="9"/>
  <c r="A18" i="9"/>
  <c r="B18" i="9"/>
  <c r="B41" i="9"/>
  <c r="A41" i="9"/>
  <c r="R41" i="9"/>
  <c r="A36" i="9"/>
  <c r="B36" i="9"/>
  <c r="R36" i="9"/>
  <c r="R21" i="9"/>
  <c r="B21" i="9"/>
  <c r="A21" i="9"/>
  <c r="B34" i="9"/>
  <c r="R34" i="9"/>
  <c r="A34" i="9"/>
  <c r="A43" i="9"/>
  <c r="B43" i="9"/>
  <c r="R43" i="9"/>
  <c r="B52" i="9"/>
  <c r="A52" i="9"/>
  <c r="R52" i="9"/>
  <c r="B49" i="9"/>
  <c r="R49" i="9"/>
  <c r="A49" i="9"/>
  <c r="U54" i="9" l="1"/>
  <c r="U55" i="9" s="1"/>
  <c r="U56" i="9" s="1"/>
  <c r="U57" i="9" s="1"/>
  <c r="U58" i="9" s="1"/>
  <c r="U59" i="9" s="1"/>
  <c r="U60" i="9" s="1"/>
  <c r="U61" i="9" s="1"/>
  <c r="U62" i="9" s="1"/>
  <c r="U63" i="9" s="1"/>
  <c r="U64" i="9" s="1"/>
  <c r="U65" i="9" s="1"/>
  <c r="U66" i="9" s="1"/>
  <c r="U67" i="9" s="1"/>
  <c r="U68" i="9" s="1"/>
  <c r="U69" i="9" s="1"/>
  <c r="U70" i="9" s="1"/>
  <c r="U71" i="9" s="1"/>
  <c r="U72" i="9" s="1"/>
  <c r="U73" i="9" s="1"/>
  <c r="U74" i="9" s="1"/>
  <c r="U75" i="9" s="1"/>
  <c r="U76" i="9" s="1"/>
  <c r="U77" i="9" s="1"/>
  <c r="U78" i="9" s="1"/>
  <c r="U79" i="9" s="1"/>
  <c r="U80" i="9" s="1"/>
  <c r="U81" i="9" s="1"/>
  <c r="U82" i="9" s="1"/>
  <c r="U83" i="9" s="1"/>
  <c r="U84" i="9" s="1"/>
  <c r="U85" i="9" s="1"/>
  <c r="U86" i="9" s="1"/>
  <c r="U87" i="9" s="1"/>
  <c r="U88" i="9" s="1"/>
  <c r="U89" i="9" s="1"/>
  <c r="U90" i="9" s="1"/>
  <c r="U91" i="9" s="1"/>
  <c r="U92" i="9" s="1"/>
  <c r="U93" i="9" s="1"/>
  <c r="U94" i="9" s="1"/>
  <c r="U95" i="9" s="1"/>
  <c r="U96" i="9" s="1"/>
  <c r="U97" i="9" s="1"/>
  <c r="U98" i="9" s="1"/>
  <c r="U99" i="9" s="1"/>
  <c r="U100" i="9" s="1"/>
  <c r="U101" i="9" s="1"/>
  <c r="U102" i="9" s="1"/>
  <c r="U103" i="9" s="1"/>
  <c r="U104" i="9" s="1"/>
  <c r="U105" i="9" s="1"/>
  <c r="U106" i="9" s="1"/>
  <c r="U107" i="9" s="1"/>
  <c r="U108" i="9" s="1"/>
  <c r="U109" i="9" s="1"/>
  <c r="U110" i="9" s="1"/>
  <c r="U111" i="9" s="1"/>
  <c r="U112" i="9" s="1"/>
  <c r="U113" i="9" s="1"/>
  <c r="U114" i="9" s="1"/>
  <c r="U115" i="9" s="1"/>
  <c r="U116" i="9" s="1"/>
  <c r="U117" i="9" s="1"/>
  <c r="U118" i="9" s="1"/>
  <c r="U119" i="9" s="1"/>
  <c r="U120" i="9" s="1"/>
  <c r="U121" i="9" s="1"/>
  <c r="U122" i="9" s="1"/>
  <c r="U123" i="9" s="1"/>
  <c r="U124" i="9" s="1"/>
  <c r="U125" i="9" s="1"/>
  <c r="U126" i="9" s="1"/>
  <c r="U127" i="9" s="1"/>
  <c r="U128" i="9" s="1"/>
  <c r="U129" i="9" s="1"/>
  <c r="U130" i="9" s="1"/>
  <c r="U131" i="9" s="1"/>
  <c r="U132" i="9" s="1"/>
  <c r="U133" i="9" s="1"/>
  <c r="U134" i="9" s="1"/>
  <c r="U135" i="9" s="1"/>
  <c r="U136" i="9" s="1"/>
  <c r="U137" i="9" s="1"/>
  <c r="U138" i="9" s="1"/>
  <c r="U139" i="9" s="1"/>
  <c r="U140" i="9" s="1"/>
  <c r="U141" i="9" s="1"/>
  <c r="U142" i="9" s="1"/>
  <c r="U143" i="9" s="1"/>
  <c r="U144" i="9" s="1"/>
  <c r="U145" i="9" s="1"/>
  <c r="U146" i="9" s="1"/>
  <c r="U147" i="9" s="1"/>
  <c r="U148" i="9" s="1"/>
  <c r="U149" i="9" s="1"/>
  <c r="U150" i="9" s="1"/>
  <c r="U151" i="9" s="1"/>
  <c r="U152" i="9" s="1"/>
  <c r="U153" i="9" s="1"/>
  <c r="U154" i="9" s="1"/>
  <c r="U155" i="9" s="1"/>
  <c r="U156" i="9" s="1"/>
  <c r="U157" i="9" s="1"/>
  <c r="U158" i="9" s="1"/>
  <c r="U159" i="9" s="1"/>
  <c r="U160" i="9" s="1"/>
  <c r="U161" i="9" s="1"/>
  <c r="U162" i="9" s="1"/>
  <c r="U163" i="9" s="1"/>
  <c r="U164" i="9" s="1"/>
  <c r="U165" i="9" s="1"/>
  <c r="U166" i="9" s="1"/>
  <c r="U167" i="9" s="1"/>
  <c r="U168" i="9" s="1"/>
  <c r="U169" i="9" s="1"/>
  <c r="U170" i="9" s="1"/>
  <c r="U171" i="9" s="1"/>
  <c r="U172" i="9" s="1"/>
  <c r="U173" i="9" s="1"/>
  <c r="U174" i="9" s="1"/>
  <c r="U175" i="9" s="1"/>
  <c r="U176" i="9" s="1"/>
  <c r="U177" i="9" s="1"/>
  <c r="U178" i="9" s="1"/>
  <c r="U179" i="9" s="1"/>
  <c r="U180" i="9" s="1"/>
  <c r="U181" i="9" s="1"/>
  <c r="U182" i="9" s="1"/>
  <c r="U183" i="9" s="1"/>
  <c r="U184" i="9" s="1"/>
  <c r="U185" i="9" s="1"/>
  <c r="U186" i="9" s="1"/>
  <c r="U187" i="9" s="1"/>
  <c r="U188" i="9" s="1"/>
  <c r="U189" i="9" s="1"/>
  <c r="U190" i="9" s="1"/>
  <c r="U191" i="9" s="1"/>
  <c r="U192" i="9" s="1"/>
  <c r="U193" i="9" s="1"/>
  <c r="U194" i="9" s="1"/>
  <c r="U195" i="9" s="1"/>
  <c r="U196" i="9" s="1"/>
  <c r="U197" i="9" s="1"/>
  <c r="U198" i="9" s="1"/>
  <c r="U199" i="9" s="1"/>
  <c r="U200" i="9" s="1"/>
  <c r="U201" i="9" s="1"/>
  <c r="U202" i="9" s="1"/>
  <c r="U203" i="9" s="1"/>
  <c r="U204" i="9" s="1"/>
  <c r="U205" i="9" s="1"/>
  <c r="U206" i="9" s="1"/>
  <c r="U207" i="9" s="1"/>
  <c r="U208" i="9" s="1"/>
  <c r="U209" i="9" s="1"/>
  <c r="U210" i="9" s="1"/>
  <c r="U211" i="9" s="1"/>
  <c r="U212" i="9" s="1"/>
  <c r="U213" i="9" s="1"/>
  <c r="U214" i="9" s="1"/>
  <c r="U215" i="9" s="1"/>
  <c r="U216" i="9" s="1"/>
  <c r="U217" i="9" s="1"/>
  <c r="U218" i="9" s="1"/>
  <c r="U219" i="9" s="1"/>
  <c r="U220" i="9" s="1"/>
  <c r="U221" i="9" s="1"/>
  <c r="U222" i="9" s="1"/>
  <c r="U223" i="9" s="1"/>
  <c r="U224" i="9" s="1"/>
  <c r="U225" i="9" s="1"/>
  <c r="U226" i="9" s="1"/>
  <c r="U227" i="9" s="1"/>
  <c r="U228" i="9" s="1"/>
  <c r="U229" i="9" s="1"/>
  <c r="U230" i="9" s="1"/>
  <c r="U231" i="9" s="1"/>
  <c r="U232" i="9" s="1"/>
  <c r="U233" i="9" s="1"/>
  <c r="U234" i="9" s="1"/>
  <c r="U235" i="9" s="1"/>
  <c r="U236" i="9" s="1"/>
  <c r="U237" i="9" s="1"/>
  <c r="U238" i="9" s="1"/>
  <c r="U239" i="9" s="1"/>
  <c r="U240" i="9" s="1"/>
  <c r="U241" i="9" s="1"/>
  <c r="U242" i="9" s="1"/>
  <c r="U243" i="9" s="1"/>
  <c r="U244" i="9" s="1"/>
  <c r="U245" i="9" s="1"/>
  <c r="U246" i="9" s="1"/>
  <c r="U247" i="9" s="1"/>
  <c r="U248" i="9" s="1"/>
  <c r="U249" i="9" s="1"/>
  <c r="U250" i="9" s="1"/>
  <c r="U251" i="9" s="1"/>
  <c r="U252" i="9" s="1"/>
  <c r="U253" i="9" s="1"/>
  <c r="U254" i="9" s="1"/>
  <c r="U255" i="9" s="1"/>
  <c r="U256" i="9" s="1"/>
  <c r="U257" i="9" s="1"/>
  <c r="U258" i="9" s="1"/>
  <c r="U259" i="9" s="1"/>
  <c r="U260" i="9" s="1"/>
  <c r="U261" i="9" s="1"/>
  <c r="U262" i="9" s="1"/>
  <c r="U263" i="9" s="1"/>
  <c r="U264" i="9" s="1"/>
  <c r="U265" i="9" s="1"/>
  <c r="U266" i="9" s="1"/>
  <c r="U267" i="9" s="1"/>
  <c r="U268" i="9" s="1"/>
  <c r="U269" i="9" s="1"/>
  <c r="U270" i="9" s="1"/>
  <c r="U271" i="9" s="1"/>
  <c r="U272" i="9" s="1"/>
  <c r="U273" i="9" s="1"/>
  <c r="U274" i="9" s="1"/>
  <c r="U275" i="9" s="1"/>
  <c r="U276" i="9" s="1"/>
  <c r="U277" i="9" s="1"/>
  <c r="U278" i="9" s="1"/>
  <c r="U279" i="9" s="1"/>
  <c r="U280" i="9" s="1"/>
  <c r="U281" i="9" s="1"/>
  <c r="U282" i="9" s="1"/>
  <c r="U283" i="9" s="1"/>
  <c r="U284" i="9" s="1"/>
  <c r="U285" i="9" s="1"/>
  <c r="U286" i="9" s="1"/>
  <c r="U287" i="9" s="1"/>
  <c r="U288" i="9" s="1"/>
  <c r="U289" i="9" s="1"/>
  <c r="U290" i="9" s="1"/>
  <c r="U291" i="9" s="1"/>
  <c r="U292" i="9" s="1"/>
  <c r="U293" i="9" s="1"/>
  <c r="U294" i="9" s="1"/>
  <c r="U295" i="9" s="1"/>
  <c r="U296" i="9" s="1"/>
  <c r="U297" i="9" s="1"/>
  <c r="U298" i="9" s="1"/>
  <c r="U299" i="9" s="1"/>
  <c r="U300" i="9" s="1"/>
  <c r="U301" i="9" s="1"/>
  <c r="U302" i="9" s="1"/>
  <c r="U303" i="9" s="1"/>
  <c r="U304" i="9" s="1"/>
  <c r="U305" i="9" s="1"/>
  <c r="U306" i="9" s="1"/>
  <c r="U307" i="9" s="1"/>
  <c r="U308" i="9" s="1"/>
  <c r="U309" i="9" s="1"/>
  <c r="U310" i="9" s="1"/>
  <c r="U425" i="9" s="1"/>
  <c r="U426" i="9" s="1"/>
  <c r="U427" i="9" s="1"/>
  <c r="U428" i="9" s="1"/>
  <c r="U429" i="9" s="1"/>
  <c r="U430" i="9" s="1"/>
  <c r="U431" i="9" s="1"/>
  <c r="U432" i="9" s="1"/>
  <c r="U433" i="9" s="1"/>
  <c r="U434" i="9" s="1"/>
  <c r="U435" i="9" s="1"/>
  <c r="U436" i="9" s="1"/>
  <c r="U437" i="9" s="1"/>
  <c r="U438" i="9" s="1"/>
  <c r="U439" i="9" s="1"/>
  <c r="U440" i="9" s="1"/>
  <c r="U441" i="9" s="1"/>
  <c r="U442" i="9" s="1"/>
  <c r="U443" i="9" s="1"/>
  <c r="U444" i="9" s="1"/>
  <c r="U445" i="9" s="1"/>
  <c r="U446" i="9" s="1"/>
  <c r="U447" i="9" s="1"/>
  <c r="U448" i="9" s="1"/>
  <c r="U449" i="9" s="1"/>
  <c r="U450" i="9" s="1"/>
  <c r="U451" i="9" s="1"/>
  <c r="U452" i="9" s="1"/>
  <c r="U453" i="9" s="1"/>
  <c r="U454" i="9" s="1"/>
  <c r="U455" i="9" s="1"/>
  <c r="U456" i="9" s="1"/>
  <c r="A50" i="9"/>
  <c r="R50" i="9"/>
  <c r="B50" i="9"/>
  <c r="A53" i="9"/>
  <c r="R53" i="9"/>
  <c r="B53" i="9"/>
  <c r="A45" i="9"/>
  <c r="R45" i="9"/>
  <c r="B45" i="9"/>
  <c r="M6" i="26"/>
  <c r="G15" i="26" s="1"/>
  <c r="M6" i="19"/>
  <c r="A33" i="9"/>
  <c r="R33" i="9"/>
  <c r="B33" i="9"/>
  <c r="B27" i="9"/>
  <c r="A27" i="9"/>
  <c r="R27" i="9"/>
  <c r="K6" i="26"/>
  <c r="K6" i="19"/>
  <c r="R32" i="9"/>
  <c r="A32" i="9"/>
  <c r="B32" i="9"/>
  <c r="A13" i="9"/>
  <c r="R13" i="9"/>
  <c r="B13" i="9"/>
  <c r="B31" i="9"/>
  <c r="R31" i="9"/>
  <c r="A31" i="9"/>
  <c r="L6" i="19"/>
  <c r="U311" i="9" l="1"/>
  <c r="U312" i="9" s="1"/>
  <c r="U313" i="9" s="1"/>
  <c r="U314" i="9" s="1"/>
  <c r="U315" i="9" s="1"/>
  <c r="U316" i="9" s="1"/>
  <c r="U317" i="9" s="1"/>
  <c r="U318" i="9" s="1"/>
  <c r="U319" i="9" s="1"/>
  <c r="U320" i="9" s="1"/>
  <c r="U321" i="9" s="1"/>
  <c r="U322" i="9" s="1"/>
  <c r="U323" i="9" s="1"/>
  <c r="U324" i="9" s="1"/>
  <c r="U325" i="9" s="1"/>
  <c r="U326" i="9" s="1"/>
  <c r="U327" i="9" s="1"/>
  <c r="U328" i="9" s="1"/>
  <c r="U329" i="9" s="1"/>
  <c r="U330" i="9" s="1"/>
  <c r="U331" i="9" s="1"/>
  <c r="U332" i="9" s="1"/>
  <c r="U333" i="9" s="1"/>
  <c r="U334" i="9" s="1"/>
  <c r="U335" i="9" s="1"/>
  <c r="U336" i="9" s="1"/>
  <c r="U337" i="9" s="1"/>
  <c r="U338" i="9" s="1"/>
  <c r="U339" i="9" s="1"/>
  <c r="U340" i="9" s="1"/>
  <c r="U341" i="9" s="1"/>
  <c r="U342" i="9" s="1"/>
  <c r="U457" i="9" s="1"/>
  <c r="U458" i="9" s="1"/>
  <c r="U459" i="9" s="1"/>
  <c r="U460" i="9" s="1"/>
  <c r="U461" i="9" s="1"/>
  <c r="U462" i="9" s="1"/>
  <c r="U463" i="9" s="1"/>
  <c r="U464" i="9" s="1"/>
  <c r="U465" i="9" s="1"/>
  <c r="U466" i="9" s="1"/>
  <c r="U467" i="9" s="1"/>
  <c r="U468" i="9" s="1"/>
  <c r="U469" i="9" s="1"/>
  <c r="U470" i="9" s="1"/>
  <c r="U471" i="9" s="1"/>
  <c r="U472" i="9" s="1"/>
  <c r="U473" i="9" s="1"/>
  <c r="U474" i="9" s="1"/>
  <c r="U475" i="9" s="1"/>
  <c r="U476" i="9" s="1"/>
  <c r="U477" i="9" s="1"/>
  <c r="U478" i="9" s="1"/>
  <c r="U479" i="9" s="1"/>
  <c r="U480" i="9" s="1"/>
  <c r="U481" i="9" s="1"/>
  <c r="U482" i="9" s="1"/>
  <c r="U483" i="9" s="1"/>
  <c r="U484" i="9" s="1"/>
  <c r="U485" i="9" s="1"/>
  <c r="U486" i="9" s="1"/>
  <c r="U487" i="9" s="1"/>
  <c r="U488" i="9" s="1"/>
  <c r="K7" i="26"/>
  <c r="G14" i="26"/>
  <c r="H21" i="26"/>
  <c r="M21" i="26" s="1"/>
  <c r="H22" i="26"/>
  <c r="M22" i="26" s="1"/>
  <c r="M18" i="26"/>
  <c r="M20" i="26"/>
  <c r="M19" i="26"/>
  <c r="M16" i="26"/>
  <c r="G29" i="19"/>
  <c r="F15" i="19"/>
  <c r="F33" i="19"/>
  <c r="F30" i="19"/>
  <c r="F14" i="19"/>
  <c r="G26" i="19"/>
  <c r="G20" i="19"/>
  <c r="E33" i="19"/>
  <c r="G16" i="19"/>
  <c r="G15" i="19"/>
  <c r="K7" i="19"/>
  <c r="G23" i="19"/>
  <c r="G14" i="19"/>
  <c r="G30" i="19"/>
  <c r="G33" i="19"/>
  <c r="F16" i="19"/>
  <c r="U343" i="9" l="1"/>
  <c r="U344" i="9" s="1"/>
  <c r="H26" i="19"/>
  <c r="M26" i="19" s="1"/>
  <c r="H16" i="19"/>
  <c r="M16" i="19" s="1"/>
  <c r="H19" i="19"/>
  <c r="M19" i="19" s="1"/>
  <c r="H33" i="19"/>
  <c r="H15" i="19"/>
  <c r="M15" i="19" s="1"/>
  <c r="H23" i="19"/>
  <c r="H24" i="19" s="1"/>
  <c r="H25" i="19" s="1"/>
  <c r="H18" i="19"/>
  <c r="M18" i="19" s="1"/>
  <c r="H17" i="19"/>
  <c r="M17" i="19" s="1"/>
  <c r="H29" i="19"/>
  <c r="M29" i="19" s="1"/>
  <c r="H30" i="19"/>
  <c r="M30" i="19" s="1"/>
  <c r="H14" i="19"/>
  <c r="M14" i="19" s="1"/>
  <c r="H20" i="19"/>
  <c r="H21" i="19" s="1"/>
  <c r="H22" i="19" s="1"/>
  <c r="M32" i="19"/>
  <c r="G24" i="19"/>
  <c r="M31" i="19"/>
  <c r="G21" i="19"/>
  <c r="G27" i="19"/>
  <c r="G28" i="19" s="1"/>
  <c r="M33" i="19"/>
  <c r="M17" i="26"/>
  <c r="H14" i="26"/>
  <c r="M14" i="26" s="1"/>
  <c r="H15" i="26"/>
  <c r="M15" i="26" s="1"/>
  <c r="U345" i="9" l="1"/>
  <c r="U346" i="9" s="1"/>
  <c r="U347" i="9" s="1"/>
  <c r="U348" i="9" s="1"/>
  <c r="U349" i="9" s="1"/>
  <c r="U350" i="9" s="1"/>
  <c r="U351" i="9" s="1"/>
  <c r="U352" i="9" s="1"/>
  <c r="U353" i="9" s="1"/>
  <c r="U354" i="9" s="1"/>
  <c r="U355" i="9" s="1"/>
  <c r="M20" i="19"/>
  <c r="M23" i="19"/>
  <c r="G25" i="19"/>
  <c r="M25" i="19" s="1"/>
  <c r="M24" i="19"/>
  <c r="G22" i="19"/>
  <c r="M22" i="19" s="1"/>
  <c r="M21" i="19"/>
  <c r="U356" i="9"/>
  <c r="U406" i="9"/>
  <c r="U407" i="9" s="1"/>
  <c r="U408" i="9" s="1"/>
  <c r="U409" i="9" s="1"/>
  <c r="U410" i="9" s="1"/>
  <c r="U411" i="9" s="1"/>
  <c r="U412" i="9" s="1"/>
  <c r="U413" i="9" s="1"/>
  <c r="U414" i="9" s="1"/>
  <c r="U415" i="9" s="1"/>
  <c r="U416" i="9" s="1"/>
  <c r="U417" i="9" s="1"/>
  <c r="U418" i="9" s="1"/>
  <c r="U419" i="9" s="1"/>
  <c r="U420" i="9" s="1"/>
  <c r="U421" i="9" s="1"/>
  <c r="U422" i="9" s="1"/>
  <c r="U423" i="9" s="1"/>
  <c r="U424" i="9" s="1"/>
  <c r="U489" i="9" s="1"/>
  <c r="U490" i="9" s="1"/>
  <c r="U491" i="9" s="1"/>
  <c r="U492" i="9" s="1"/>
  <c r="U493" i="9" s="1"/>
  <c r="U494" i="9" s="1"/>
  <c r="U495" i="9" s="1"/>
  <c r="U496" i="9" s="1"/>
  <c r="U497" i="9" s="1"/>
  <c r="U498" i="9" s="1"/>
  <c r="U499" i="9" s="1"/>
  <c r="U500" i="9" s="1"/>
  <c r="U501" i="9" s="1"/>
  <c r="U502" i="9" s="1"/>
  <c r="U503" i="9" s="1"/>
  <c r="U504" i="9" s="1"/>
  <c r="U505" i="9" s="1"/>
  <c r="U506" i="9" s="1"/>
  <c r="U507" i="9" s="1"/>
  <c r="U508" i="9" s="1"/>
  <c r="U509" i="9" s="1"/>
  <c r="U510" i="9" s="1"/>
  <c r="U511" i="9" s="1"/>
  <c r="U512" i="9" s="1"/>
  <c r="U513" i="9" s="1"/>
  <c r="U514" i="9" s="1"/>
  <c r="U515" i="9" s="1"/>
  <c r="U516" i="9" s="1"/>
  <c r="U517" i="9" s="1"/>
  <c r="U518" i="9" s="1"/>
  <c r="U519" i="9" s="1"/>
  <c r="U520" i="9" s="1"/>
  <c r="U521" i="9" s="1"/>
  <c r="U522" i="9" s="1"/>
  <c r="U523" i="9" s="1"/>
  <c r="U524" i="9" s="1"/>
  <c r="U525" i="9" s="1"/>
  <c r="U526" i="9" s="1"/>
  <c r="U527" i="9" s="1"/>
  <c r="H27" i="19"/>
  <c r="M27" i="19" s="1"/>
  <c r="H28" i="19"/>
  <c r="M28" i="19" s="1"/>
  <c r="U642" i="9" l="1"/>
  <c r="U643" i="9" s="1"/>
  <c r="U644" i="9" s="1"/>
  <c r="U645" i="9" s="1"/>
  <c r="U646" i="9" s="1"/>
  <c r="U647" i="9" s="1"/>
  <c r="U648" i="9" s="1"/>
  <c r="U649" i="9" s="1"/>
  <c r="U650" i="9" s="1"/>
  <c r="U651" i="9" s="1"/>
  <c r="U652" i="9" s="1"/>
  <c r="U653" i="9" s="1"/>
  <c r="U654" i="9" s="1"/>
  <c r="U655" i="9" s="1"/>
  <c r="U656" i="9" s="1"/>
  <c r="U657" i="9" s="1"/>
  <c r="U658" i="9" s="1"/>
  <c r="U659" i="9" s="1"/>
  <c r="U660" i="9" s="1"/>
  <c r="U661" i="9" s="1"/>
  <c r="U662" i="9" s="1"/>
  <c r="U663" i="9" s="1"/>
  <c r="U664" i="9" s="1"/>
  <c r="U665" i="9" s="1"/>
  <c r="U666" i="9" s="1"/>
  <c r="U667" i="9" s="1"/>
  <c r="U668" i="9" s="1"/>
  <c r="U669" i="9" s="1"/>
  <c r="U670" i="9" s="1"/>
  <c r="U671" i="9" s="1"/>
  <c r="U672" i="9" s="1"/>
  <c r="U673" i="9" s="1"/>
  <c r="U528" i="9"/>
  <c r="U529" i="9" s="1"/>
  <c r="U530" i="9" s="1"/>
  <c r="U531" i="9" s="1"/>
  <c r="U532" i="9" s="1"/>
  <c r="U533" i="9" s="1"/>
  <c r="U534" i="9" s="1"/>
  <c r="U535" i="9" s="1"/>
  <c r="U536" i="9" s="1"/>
  <c r="U537" i="9" s="1"/>
  <c r="U538" i="9" s="1"/>
  <c r="U539" i="9" s="1"/>
  <c r="U540" i="9" s="1"/>
  <c r="U541" i="9" s="1"/>
  <c r="U542" i="9" s="1"/>
  <c r="U543" i="9" s="1"/>
  <c r="U544" i="9" s="1"/>
  <c r="U545" i="9" s="1"/>
  <c r="U546" i="9" s="1"/>
  <c r="U547" i="9" s="1"/>
  <c r="U548" i="9" s="1"/>
  <c r="U549" i="9" s="1"/>
  <c r="U550" i="9" s="1"/>
  <c r="U551" i="9" s="1"/>
  <c r="U552" i="9" s="1"/>
  <c r="U553" i="9" s="1"/>
  <c r="U554" i="9" s="1"/>
  <c r="U555" i="9" s="1"/>
  <c r="U556" i="9" s="1"/>
  <c r="U557" i="9" s="1"/>
  <c r="U558" i="9" s="1"/>
  <c r="U559" i="9" s="1"/>
  <c r="U357" i="9"/>
  <c r="U358" i="9" l="1"/>
  <c r="U359" i="9" s="1"/>
  <c r="U360" i="9" s="1"/>
  <c r="U361" i="9" s="1"/>
  <c r="U362" i="9" s="1"/>
  <c r="U363" i="9" s="1"/>
  <c r="U364" i="9" s="1"/>
  <c r="U365" i="9" s="1"/>
  <c r="U366" i="9" s="1"/>
  <c r="U367" i="9" s="1"/>
  <c r="U368" i="9" s="1"/>
  <c r="U369" i="9" s="1"/>
  <c r="U370" i="9" s="1"/>
  <c r="U371" i="9" s="1"/>
  <c r="U372" i="9" s="1"/>
  <c r="U373" i="9" s="1"/>
  <c r="U374" i="9" s="1"/>
  <c r="U375" i="9" s="1"/>
  <c r="U376" i="9" s="1"/>
  <c r="U377" i="9" s="1"/>
  <c r="U378" i="9" s="1"/>
  <c r="U379" i="9" s="1"/>
  <c r="U380" i="9" s="1"/>
  <c r="U381" i="9" s="1"/>
  <c r="U382" i="9" s="1"/>
  <c r="U383" i="9" s="1"/>
  <c r="U384" i="9" s="1"/>
  <c r="U385" i="9" s="1"/>
  <c r="U386" i="9" s="1"/>
  <c r="U387" i="9" s="1"/>
  <c r="U388" i="9" s="1"/>
  <c r="U389" i="9" s="1"/>
  <c r="U390" i="9" s="1"/>
  <c r="U391" i="9" s="1"/>
  <c r="U392" i="9" s="1"/>
  <c r="U393" i="9" s="1"/>
  <c r="U394" i="9" s="1"/>
  <c r="U395" i="9" s="1"/>
  <c r="U396" i="9" s="1"/>
  <c r="U397" i="9" s="1"/>
  <c r="U398" i="9" s="1"/>
  <c r="U399" i="9" s="1"/>
  <c r="U400" i="9" s="1"/>
  <c r="U401" i="9" s="1"/>
  <c r="U402" i="9" s="1"/>
  <c r="U403" i="9" s="1"/>
  <c r="U404" i="9" s="1"/>
  <c r="U405" i="9" s="1"/>
  <c r="U560" i="9"/>
  <c r="U561" i="9" s="1"/>
  <c r="U562" i="9" s="1"/>
  <c r="U563" i="9" s="1"/>
  <c r="U564" i="9" s="1"/>
  <c r="U565" i="9" s="1"/>
  <c r="U566" i="9" s="1"/>
  <c r="U567" i="9" s="1"/>
  <c r="U568" i="9" s="1"/>
  <c r="U569" i="9" s="1"/>
  <c r="U570" i="9" s="1"/>
  <c r="U571" i="9" s="1"/>
  <c r="U572" i="9" s="1"/>
  <c r="U674" i="9"/>
  <c r="U675" i="9" s="1"/>
  <c r="U676" i="9" s="1"/>
  <c r="U677" i="9" s="1"/>
  <c r="U678" i="9" s="1"/>
  <c r="U679" i="9" s="1"/>
  <c r="U680" i="9" s="1"/>
  <c r="U681" i="9" s="1"/>
  <c r="U682" i="9" s="1"/>
  <c r="U683" i="9" s="1"/>
  <c r="U684" i="9" s="1"/>
  <c r="U685" i="9" s="1"/>
  <c r="U686" i="9" s="1"/>
  <c r="U687" i="9" s="1"/>
  <c r="U688" i="9" s="1"/>
  <c r="U689" i="9" s="1"/>
  <c r="U690" i="9" s="1"/>
  <c r="U691" i="9" s="1"/>
  <c r="U692" i="9" s="1"/>
  <c r="U693" i="9" s="1"/>
  <c r="U694" i="9" s="1"/>
  <c r="U695" i="9" s="1"/>
  <c r="U696" i="9" s="1"/>
  <c r="U697" i="9" s="1"/>
  <c r="U698" i="9" s="1"/>
  <c r="U699" i="9" s="1"/>
  <c r="U700" i="9" s="1"/>
  <c r="U701" i="9" s="1"/>
  <c r="U702" i="9" s="1"/>
  <c r="U703" i="9" s="1"/>
  <c r="U704" i="9" s="1"/>
  <c r="U705" i="9" s="1"/>
  <c r="U623" i="9" l="1"/>
  <c r="U624" i="9" s="1"/>
  <c r="U625" i="9" s="1"/>
  <c r="U626" i="9" s="1"/>
  <c r="U627" i="9" s="1"/>
  <c r="U628" i="9" s="1"/>
  <c r="U629" i="9" s="1"/>
  <c r="U630" i="9" s="1"/>
  <c r="U631" i="9" s="1"/>
  <c r="U632" i="9" s="1"/>
  <c r="U633" i="9" s="1"/>
  <c r="U634" i="9" s="1"/>
  <c r="U635" i="9" s="1"/>
  <c r="U636" i="9" s="1"/>
  <c r="U637" i="9" s="1"/>
  <c r="U638" i="9" s="1"/>
  <c r="U639" i="9" s="1"/>
  <c r="U640" i="9" s="1"/>
  <c r="U641" i="9" s="1"/>
  <c r="U706" i="9" s="1"/>
  <c r="U707" i="9" s="1"/>
  <c r="U708" i="9" s="1"/>
  <c r="U709" i="9" s="1"/>
  <c r="U710" i="9" s="1"/>
  <c r="U711" i="9" s="1"/>
  <c r="U712" i="9" s="1"/>
  <c r="U713" i="9" s="1"/>
  <c r="U714" i="9" s="1"/>
  <c r="U715" i="9" s="1"/>
  <c r="U716" i="9" s="1"/>
  <c r="U717" i="9" s="1"/>
  <c r="U718" i="9" s="1"/>
  <c r="U719" i="9" s="1"/>
  <c r="U720" i="9" s="1"/>
  <c r="U721" i="9" s="1"/>
  <c r="U722" i="9" s="1"/>
  <c r="U723" i="9" s="1"/>
  <c r="U724" i="9" s="1"/>
  <c r="U725" i="9" s="1"/>
  <c r="U726" i="9" s="1"/>
  <c r="U727" i="9" s="1"/>
  <c r="U728" i="9" s="1"/>
  <c r="U729" i="9" s="1"/>
  <c r="U730" i="9" s="1"/>
  <c r="U731" i="9" s="1"/>
  <c r="U732" i="9" s="1"/>
  <c r="U733" i="9" s="1"/>
  <c r="U734" i="9" s="1"/>
  <c r="U735" i="9" s="1"/>
  <c r="U736" i="9" s="1"/>
  <c r="U737" i="9" s="1"/>
  <c r="U738" i="9" s="1"/>
  <c r="U739" i="9" s="1"/>
  <c r="U740" i="9" s="1"/>
  <c r="U741" i="9" s="1"/>
  <c r="U742" i="9" s="1"/>
  <c r="U743" i="9" s="1"/>
  <c r="U744" i="9" s="1"/>
  <c r="U745" i="9" s="1"/>
  <c r="U746" i="9" s="1"/>
  <c r="U747" i="9" s="1"/>
  <c r="U748" i="9" s="1"/>
  <c r="U749" i="9" s="1"/>
  <c r="U750" i="9" s="1"/>
  <c r="U751" i="9" s="1"/>
  <c r="U752" i="9" s="1"/>
  <c r="U753" i="9" s="1"/>
  <c r="U754" i="9" s="1"/>
  <c r="U755" i="9" s="1"/>
  <c r="U756" i="9" s="1"/>
  <c r="U757" i="9" s="1"/>
  <c r="U758" i="9" s="1"/>
  <c r="U759" i="9" s="1"/>
  <c r="U760" i="9" s="1"/>
  <c r="U761" i="9" s="1"/>
  <c r="U762" i="9" s="1"/>
  <c r="U763" i="9" s="1"/>
  <c r="U764" i="9" s="1"/>
  <c r="U765" i="9" s="1"/>
  <c r="U766" i="9" s="1"/>
  <c r="U767" i="9" s="1"/>
  <c r="U768" i="9" s="1"/>
  <c r="U769" i="9" s="1"/>
  <c r="U770" i="9" s="1"/>
  <c r="U771" i="9" s="1"/>
  <c r="U772" i="9" s="1"/>
  <c r="U773" i="9" s="1"/>
  <c r="U774" i="9" s="1"/>
  <c r="U775" i="9" s="1"/>
  <c r="U776" i="9" s="1"/>
  <c r="U777" i="9" s="1"/>
  <c r="U778" i="9" s="1"/>
  <c r="U779" i="9" s="1"/>
  <c r="U780" i="9" s="1"/>
  <c r="U781" i="9" s="1"/>
  <c r="U782" i="9" s="1"/>
  <c r="U783" i="9" s="1"/>
  <c r="U784" i="9" s="1"/>
  <c r="U785" i="9" s="1"/>
  <c r="U786" i="9" s="1"/>
  <c r="U787" i="9" s="1"/>
  <c r="U788" i="9" s="1"/>
  <c r="U789" i="9" s="1"/>
  <c r="U790" i="9" s="1"/>
  <c r="U791" i="9" s="1"/>
  <c r="U792" i="9" s="1"/>
  <c r="U793" i="9" s="1"/>
  <c r="U794" i="9" s="1"/>
  <c r="U795" i="9" s="1"/>
  <c r="U796" i="9" s="1"/>
  <c r="U797" i="9" s="1"/>
  <c r="U798" i="9" s="1"/>
  <c r="U799" i="9" s="1"/>
  <c r="U800" i="9" s="1"/>
  <c r="U801" i="9" s="1"/>
  <c r="U802" i="9" s="1"/>
  <c r="U803" i="9" s="1"/>
  <c r="U804" i="9" s="1"/>
  <c r="U805" i="9" s="1"/>
  <c r="U806" i="9" s="1"/>
  <c r="U807" i="9" s="1"/>
  <c r="U808" i="9" s="1"/>
  <c r="U809" i="9" s="1"/>
  <c r="U810" i="9" s="1"/>
  <c r="U811" i="9" s="1"/>
  <c r="U812" i="9" s="1"/>
  <c r="U813" i="9" s="1"/>
  <c r="U814" i="9" s="1"/>
  <c r="U815" i="9" s="1"/>
  <c r="U816" i="9" s="1"/>
  <c r="U817" i="9" s="1"/>
  <c r="U818" i="9" s="1"/>
  <c r="U819" i="9" s="1"/>
  <c r="U820" i="9" s="1"/>
  <c r="U821" i="9" s="1"/>
  <c r="U822" i="9" s="1"/>
  <c r="U823" i="9" s="1"/>
  <c r="U824" i="9" s="1"/>
  <c r="U825" i="9" s="1"/>
  <c r="U826" i="9" s="1"/>
  <c r="U827" i="9" s="1"/>
  <c r="U828" i="9" s="1"/>
  <c r="U829" i="9" s="1"/>
  <c r="U830" i="9" s="1"/>
  <c r="U831" i="9" s="1"/>
  <c r="U832" i="9" s="1"/>
  <c r="U833" i="9" s="1"/>
  <c r="U834" i="9" s="1"/>
  <c r="U835" i="9" s="1"/>
  <c r="U836" i="9" s="1"/>
  <c r="U837" i="9" s="1"/>
  <c r="U838" i="9" s="1"/>
  <c r="U839" i="9" s="1"/>
  <c r="U840" i="9" s="1"/>
  <c r="U841" i="9" s="1"/>
  <c r="U842" i="9" s="1"/>
  <c r="U843" i="9" s="1"/>
  <c r="U844" i="9" s="1"/>
  <c r="U845" i="9" s="1"/>
  <c r="U846" i="9" s="1"/>
  <c r="U847" i="9" s="1"/>
  <c r="U848" i="9" s="1"/>
  <c r="U849" i="9" s="1"/>
  <c r="U850" i="9" s="1"/>
  <c r="U851" i="9" s="1"/>
  <c r="U852" i="9" s="1"/>
  <c r="U853" i="9" s="1"/>
  <c r="U854" i="9" s="1"/>
  <c r="U855" i="9" s="1"/>
  <c r="U856" i="9" s="1"/>
  <c r="U857" i="9" s="1"/>
  <c r="U858" i="9" s="1"/>
  <c r="U859" i="9" s="1"/>
  <c r="U860" i="9" s="1"/>
  <c r="U861" i="9" s="1"/>
  <c r="U862" i="9" s="1"/>
  <c r="U863" i="9" s="1"/>
  <c r="U864" i="9" s="1"/>
  <c r="U865" i="9" s="1"/>
  <c r="U866" i="9" s="1"/>
  <c r="U867" i="9" s="1"/>
  <c r="U868" i="9" s="1"/>
  <c r="U869" i="9" s="1"/>
  <c r="U870" i="9" s="1"/>
  <c r="U871" i="9" s="1"/>
  <c r="U872" i="9" s="1"/>
  <c r="U873" i="9" s="1"/>
  <c r="U874" i="9" s="1"/>
  <c r="U875" i="9" s="1"/>
  <c r="U876" i="9" s="1"/>
  <c r="U877" i="9" s="1"/>
  <c r="U878" i="9" s="1"/>
  <c r="U879" i="9" s="1"/>
  <c r="U880" i="9" s="1"/>
  <c r="U881" i="9" s="1"/>
  <c r="U882" i="9" s="1"/>
  <c r="U883" i="9" s="1"/>
  <c r="U884" i="9" s="1"/>
  <c r="U885" i="9" s="1"/>
  <c r="U886" i="9" s="1"/>
  <c r="U887" i="9" s="1"/>
  <c r="U888" i="9" s="1"/>
  <c r="U889" i="9" s="1"/>
  <c r="U890" i="9" s="1"/>
  <c r="U891" i="9" s="1"/>
  <c r="U892" i="9" s="1"/>
  <c r="U893" i="9" s="1"/>
  <c r="U894" i="9" s="1"/>
  <c r="U895" i="9" s="1"/>
  <c r="U896" i="9" s="1"/>
  <c r="U897" i="9" s="1"/>
  <c r="U898" i="9" s="1"/>
  <c r="U899" i="9" s="1"/>
  <c r="U900" i="9" s="1"/>
  <c r="U901" i="9" s="1"/>
  <c r="U902" i="9" s="1"/>
  <c r="U903" i="9" s="1"/>
  <c r="U904" i="9" s="1"/>
  <c r="U905" i="9" s="1"/>
  <c r="U906" i="9" s="1"/>
  <c r="U907" i="9" s="1"/>
  <c r="U908" i="9" s="1"/>
  <c r="U909" i="9" s="1"/>
  <c r="U910" i="9" s="1"/>
  <c r="U911" i="9" s="1"/>
  <c r="U912" i="9" s="1"/>
  <c r="U913" i="9" s="1"/>
  <c r="U914" i="9" s="1"/>
  <c r="U915" i="9" s="1"/>
  <c r="U916" i="9" s="1"/>
  <c r="U917" i="9" s="1"/>
  <c r="U918" i="9" s="1"/>
  <c r="U919" i="9" s="1"/>
  <c r="U920" i="9" s="1"/>
  <c r="U921" i="9" s="1"/>
  <c r="U922" i="9" s="1"/>
  <c r="U923" i="9" s="1"/>
  <c r="U924" i="9" s="1"/>
  <c r="U925" i="9" s="1"/>
  <c r="U926" i="9" s="1"/>
  <c r="U927" i="9" s="1"/>
  <c r="U928" i="9" s="1"/>
  <c r="U929" i="9" s="1"/>
  <c r="U930" i="9" s="1"/>
  <c r="U931" i="9" s="1"/>
  <c r="U932" i="9" s="1"/>
  <c r="U933" i="9" s="1"/>
  <c r="U934" i="9" s="1"/>
  <c r="U935" i="9" s="1"/>
  <c r="U936" i="9" s="1"/>
  <c r="U937" i="9" s="1"/>
  <c r="U938" i="9" s="1"/>
  <c r="U939" i="9" s="1"/>
  <c r="U940" i="9" s="1"/>
  <c r="U941" i="9" s="1"/>
  <c r="U942" i="9" s="1"/>
  <c r="U943" i="9" s="1"/>
  <c r="U944" i="9" s="1"/>
  <c r="U945" i="9" s="1"/>
  <c r="U946" i="9" s="1"/>
  <c r="U947" i="9" s="1"/>
  <c r="U948" i="9" s="1"/>
  <c r="U949" i="9" s="1"/>
  <c r="U950" i="9" s="1"/>
  <c r="U951" i="9" s="1"/>
  <c r="U952" i="9" s="1"/>
  <c r="U953" i="9" s="1"/>
  <c r="U954" i="9" s="1"/>
  <c r="U955" i="9" s="1"/>
  <c r="U956" i="9" s="1"/>
  <c r="U957" i="9" s="1"/>
  <c r="U958" i="9" s="1"/>
  <c r="U959" i="9" s="1"/>
  <c r="U960" i="9" s="1"/>
  <c r="U961" i="9" s="1"/>
  <c r="U962" i="9" s="1"/>
  <c r="U963" i="9" s="1"/>
  <c r="U964" i="9" s="1"/>
  <c r="U965" i="9" s="1"/>
  <c r="U966" i="9" s="1"/>
  <c r="U967" i="9" s="1"/>
  <c r="U968" i="9" s="1"/>
  <c r="U969" i="9" s="1"/>
  <c r="U573" i="9"/>
  <c r="U574" i="9" s="1"/>
  <c r="U575" i="9" s="1"/>
  <c r="U576" i="9" s="1"/>
  <c r="U577" i="9" s="1"/>
  <c r="U578" i="9" s="1"/>
  <c r="U579" i="9" s="1"/>
  <c r="U580" i="9" s="1"/>
  <c r="U581" i="9" s="1"/>
  <c r="U582" i="9" s="1"/>
  <c r="U583" i="9" s="1"/>
  <c r="U584" i="9" s="1"/>
  <c r="U585" i="9" s="1"/>
  <c r="U586" i="9" s="1"/>
  <c r="U587" i="9" s="1"/>
  <c r="U588" i="9" s="1"/>
  <c r="U589" i="9" s="1"/>
  <c r="U590" i="9" s="1"/>
  <c r="U970" i="9" l="1"/>
  <c r="U971" i="9" s="1"/>
  <c r="U972" i="9" s="1"/>
  <c r="U973" i="9" s="1"/>
  <c r="U974" i="9" s="1"/>
  <c r="U975" i="9" s="1"/>
  <c r="U976" i="9" s="1"/>
  <c r="U977" i="9" s="1"/>
  <c r="U978" i="9" s="1"/>
  <c r="U979" i="9" s="1"/>
  <c r="U980" i="9" s="1"/>
  <c r="U981" i="9" s="1"/>
  <c r="U982" i="9" s="1"/>
  <c r="U983" i="9" s="1"/>
  <c r="U984" i="9" s="1"/>
  <c r="U985" i="9" s="1"/>
  <c r="U986" i="9" s="1"/>
  <c r="U987" i="9" s="1"/>
  <c r="U988" i="9" s="1"/>
  <c r="U989" i="9" s="1"/>
  <c r="U990" i="9" s="1"/>
  <c r="U991" i="9" s="1"/>
  <c r="U992" i="9" s="1"/>
  <c r="U993" i="9" s="1"/>
  <c r="U994" i="9" s="1"/>
  <c r="U995" i="9" s="1"/>
  <c r="U996" i="9" s="1"/>
  <c r="U997" i="9" s="1"/>
  <c r="U998" i="9" s="1"/>
  <c r="U999" i="9" s="1"/>
  <c r="U1000" i="9" s="1"/>
  <c r="U1001" i="9" s="1"/>
  <c r="U1002" i="9" s="1"/>
  <c r="U1003" i="9" s="1"/>
  <c r="U1004" i="9" s="1"/>
  <c r="U1005" i="9" s="1"/>
  <c r="U1006" i="9" s="1"/>
  <c r="U1007" i="9" s="1"/>
  <c r="U1008" i="9" s="1"/>
  <c r="U1009" i="9" s="1"/>
  <c r="U1010" i="9" s="1"/>
  <c r="U1011" i="9" s="1"/>
  <c r="U1012" i="9" s="1"/>
  <c r="U1013" i="9" s="1"/>
  <c r="U1014" i="9" s="1"/>
  <c r="U1015" i="9" s="1"/>
  <c r="U1016" i="9" s="1"/>
  <c r="U1017" i="9" s="1"/>
  <c r="U1018" i="9" s="1"/>
  <c r="U1019" i="9" s="1"/>
  <c r="U1020" i="9" s="1"/>
  <c r="U1021" i="9" s="1"/>
  <c r="U1022" i="9" s="1"/>
  <c r="U1023" i="9" s="1"/>
  <c r="U1024" i="9" s="1"/>
  <c r="U1025" i="9" s="1"/>
  <c r="U1026" i="9" s="1"/>
  <c r="U1027" i="9" s="1"/>
  <c r="U1028" i="9" s="1"/>
  <c r="U1029" i="9" s="1"/>
  <c r="U1030" i="9" s="1"/>
  <c r="U1031" i="9" s="1"/>
  <c r="U1032" i="9" s="1"/>
  <c r="U1033" i="9" s="1"/>
  <c r="U1034" i="9" s="1"/>
  <c r="U1035" i="9" s="1"/>
  <c r="U1036" i="9" s="1"/>
  <c r="U1037" i="9" s="1"/>
  <c r="U1038" i="9" s="1"/>
  <c r="U1039" i="9" s="1"/>
  <c r="U1040" i="9" s="1"/>
  <c r="U1041" i="9" s="1"/>
  <c r="U1042" i="9" s="1"/>
  <c r="U1043" i="9" s="1"/>
  <c r="U1044" i="9" s="1"/>
  <c r="U1045" i="9" s="1"/>
  <c r="U1046" i="9" s="1"/>
  <c r="U1047" i="9" s="1"/>
  <c r="U1048" i="9" s="1"/>
  <c r="U1049" i="9" s="1"/>
  <c r="U1050" i="9" s="1"/>
  <c r="U1051" i="9" s="1"/>
  <c r="U1052" i="9" s="1"/>
  <c r="U1053" i="9" s="1"/>
  <c r="U1054" i="9" s="1"/>
  <c r="U1055" i="9" s="1"/>
  <c r="U1056" i="9" s="1"/>
  <c r="U1057" i="9" s="1"/>
  <c r="U1058" i="9" s="1"/>
  <c r="U1059" i="9" s="1"/>
  <c r="U1060" i="9" s="1"/>
  <c r="U1061" i="9" s="1"/>
  <c r="U1062" i="9" s="1"/>
  <c r="U1063" i="9" s="1"/>
  <c r="U1064" i="9" s="1"/>
  <c r="U1065" i="9" s="1"/>
  <c r="U1066" i="9" s="1"/>
  <c r="U1067" i="9" s="1"/>
  <c r="U1068" i="9" s="1"/>
  <c r="U1069" i="9" s="1"/>
  <c r="U1070" i="9" s="1"/>
  <c r="U1071" i="9" s="1"/>
  <c r="U1072" i="9" s="1"/>
  <c r="U1073" i="9" s="1"/>
  <c r="U1074" i="9" s="1"/>
  <c r="U1075" i="9" s="1"/>
  <c r="U1076" i="9" s="1"/>
  <c r="U1077" i="9" s="1"/>
  <c r="U1078" i="9" s="1"/>
  <c r="U1079" i="9" s="1"/>
  <c r="U1080" i="9" s="1"/>
  <c r="U1081" i="9" s="1"/>
  <c r="U1082" i="9" s="1"/>
  <c r="U1083" i="9" s="1"/>
  <c r="U1084" i="9" s="1"/>
  <c r="U1085" i="9" s="1"/>
  <c r="U1086" i="9" s="1"/>
  <c r="U1087" i="9" s="1"/>
  <c r="U1088" i="9" s="1"/>
  <c r="U1089" i="9" s="1"/>
  <c r="U1090" i="9" s="1"/>
  <c r="U1091" i="9" s="1"/>
  <c r="U1092" i="9" s="1"/>
  <c r="U1093" i="9" s="1"/>
  <c r="U1094" i="9" s="1"/>
  <c r="U1095" i="9" s="1"/>
  <c r="U1096" i="9" s="1"/>
  <c r="U1097" i="9" s="1"/>
  <c r="U1098" i="9" s="1"/>
  <c r="U1099" i="9" s="1"/>
  <c r="U1100" i="9" s="1"/>
  <c r="U1101" i="9" s="1"/>
  <c r="U1102" i="9" s="1"/>
  <c r="U1103" i="9" s="1"/>
  <c r="U1104" i="9" s="1"/>
  <c r="U1105" i="9" s="1"/>
  <c r="U1106" i="9" s="1"/>
  <c r="U1107" i="9" s="1"/>
  <c r="U1108" i="9" s="1"/>
  <c r="U1109" i="9" s="1"/>
  <c r="U1110" i="9" s="1"/>
  <c r="U1111" i="9" s="1"/>
  <c r="U1112" i="9" s="1"/>
  <c r="U1113" i="9" s="1"/>
  <c r="U1114" i="9" s="1"/>
  <c r="U1115" i="9" s="1"/>
  <c r="U1116" i="9" s="1"/>
  <c r="U1117" i="9" s="1"/>
  <c r="U1118" i="9" s="1"/>
  <c r="U1119" i="9" s="1"/>
  <c r="U1120" i="9" s="1"/>
  <c r="U1121" i="9" s="1"/>
  <c r="U1122" i="9" s="1"/>
  <c r="U1123" i="9" s="1"/>
  <c r="U1124" i="9" s="1"/>
  <c r="U1125" i="9" s="1"/>
  <c r="U1126" i="9" s="1"/>
  <c r="U1127" i="9" s="1"/>
  <c r="U1128" i="9" s="1"/>
  <c r="U1129" i="9" s="1"/>
  <c r="U1130" i="9" s="1"/>
  <c r="U1131" i="9" s="1"/>
  <c r="U1132" i="9" s="1"/>
  <c r="U1133" i="9" s="1"/>
  <c r="U1134" i="9" s="1"/>
  <c r="U1135" i="9" s="1"/>
  <c r="U1136" i="9" s="1"/>
  <c r="U1137" i="9" s="1"/>
  <c r="U1138" i="9" s="1"/>
  <c r="U1139" i="9" s="1"/>
  <c r="U1140" i="9" s="1"/>
  <c r="U1141" i="9" s="1"/>
  <c r="U1142" i="9" s="1"/>
  <c r="U1143" i="9" s="1"/>
  <c r="U1144" i="9" s="1"/>
  <c r="U1145" i="9" s="1"/>
  <c r="U1146" i="9" s="1"/>
  <c r="U1147" i="9" s="1"/>
  <c r="U1148" i="9" s="1"/>
  <c r="U1149" i="9" s="1"/>
  <c r="U1150" i="9" s="1"/>
  <c r="U1151" i="9" s="1"/>
  <c r="U1152" i="9" s="1"/>
  <c r="U1153" i="9" s="1"/>
  <c r="U1154" i="9" s="1"/>
  <c r="U1155" i="9" s="1"/>
  <c r="U1156" i="9" s="1"/>
  <c r="U1157" i="9" s="1"/>
  <c r="U1158" i="9" s="1"/>
  <c r="U1159" i="9" s="1"/>
  <c r="U1160" i="9" s="1"/>
  <c r="U1161" i="9" s="1"/>
  <c r="U1162" i="9" s="1"/>
  <c r="U1163" i="9" s="1"/>
  <c r="U1164" i="9" s="1"/>
  <c r="U1165" i="9" s="1"/>
  <c r="U1166" i="9" s="1"/>
  <c r="U1167" i="9" s="1"/>
  <c r="U1168" i="9" s="1"/>
  <c r="U1169" i="9" s="1"/>
  <c r="U1170" i="9" s="1"/>
  <c r="U1171" i="9" s="1"/>
  <c r="U1172" i="9" s="1"/>
  <c r="U1173" i="9" s="1"/>
  <c r="U1174" i="9" s="1"/>
  <c r="U1175" i="9" s="1"/>
  <c r="U1176" i="9" s="1"/>
  <c r="U1177" i="9" s="1"/>
  <c r="U1178" i="9" s="1"/>
  <c r="U1179" i="9" s="1"/>
  <c r="U1180" i="9" s="1"/>
  <c r="U1181" i="9" s="1"/>
  <c r="U1182" i="9" s="1"/>
  <c r="U1183" i="9" s="1"/>
  <c r="U1184" i="9" s="1"/>
  <c r="U1185" i="9" s="1"/>
  <c r="U1186" i="9" s="1"/>
  <c r="U1187" i="9" s="1"/>
  <c r="U1188" i="9" s="1"/>
  <c r="U1189" i="9" s="1"/>
  <c r="U1190" i="9" s="1"/>
  <c r="U1191" i="9" s="1"/>
  <c r="U1192" i="9" s="1"/>
  <c r="U1193" i="9" s="1"/>
  <c r="U1194" i="9" s="1"/>
  <c r="U1195" i="9" s="1"/>
  <c r="U1196" i="9" s="1"/>
  <c r="U1197" i="9" s="1"/>
  <c r="U1198" i="9" s="1"/>
  <c r="U1199" i="9" s="1"/>
  <c r="U1200" i="9" s="1"/>
  <c r="U1201" i="9" s="1"/>
  <c r="U1202" i="9" s="1"/>
  <c r="U1203" i="9" s="1"/>
  <c r="U1204" i="9" s="1"/>
  <c r="U1205" i="9" s="1"/>
  <c r="U1206" i="9" s="1"/>
  <c r="U1207" i="9" s="1"/>
  <c r="U1208" i="9" s="1"/>
  <c r="U1209" i="9" s="1"/>
  <c r="U1210" i="9" s="1"/>
  <c r="U1211" i="9" s="1"/>
  <c r="U1212" i="9" s="1"/>
  <c r="U1213" i="9" s="1"/>
  <c r="U1214" i="9" s="1"/>
  <c r="U1215" i="9" s="1"/>
  <c r="U1216" i="9" s="1"/>
  <c r="U1217" i="9" s="1"/>
  <c r="U1218" i="9" s="1"/>
  <c r="U1219" i="9" s="1"/>
  <c r="U1220" i="9" s="1"/>
  <c r="U1221" i="9" s="1"/>
  <c r="U1222" i="9" s="1"/>
  <c r="U1223" i="9" s="1"/>
  <c r="U1224" i="9" s="1"/>
  <c r="U1225" i="9" s="1"/>
  <c r="U1226" i="9" s="1"/>
  <c r="U1227" i="9" s="1"/>
  <c r="U1228" i="9" s="1"/>
  <c r="U1229" i="9" s="1"/>
  <c r="U1230" i="9" s="1"/>
  <c r="U1231" i="9" s="1"/>
  <c r="U1232" i="9" s="1"/>
  <c r="U1233" i="9" s="1"/>
  <c r="U1234" i="9" s="1"/>
  <c r="U1235" i="9" s="1"/>
  <c r="U1236" i="9" s="1"/>
  <c r="U1237" i="9" s="1"/>
  <c r="U1238" i="9" s="1"/>
  <c r="U1239" i="9" s="1"/>
  <c r="U1240" i="9" s="1"/>
  <c r="U1241" i="9" s="1"/>
  <c r="U1242" i="9" s="1"/>
  <c r="U1243" i="9" s="1"/>
  <c r="U1244" i="9" s="1"/>
  <c r="U1245" i="9" s="1"/>
  <c r="U1246" i="9" s="1"/>
  <c r="U1247" i="9" s="1"/>
  <c r="U1248" i="9" s="1"/>
  <c r="U1249" i="9" s="1"/>
  <c r="U1250" i="9" s="1"/>
  <c r="U1251" i="9" s="1"/>
  <c r="U1252" i="9" s="1"/>
  <c r="U1253" i="9" s="1"/>
  <c r="U1254" i="9" s="1"/>
  <c r="U1255" i="9" s="1"/>
  <c r="U1256" i="9" s="1"/>
  <c r="U1257" i="9" s="1"/>
  <c r="U1258" i="9" s="1"/>
  <c r="U1259" i="9" s="1"/>
  <c r="U1260" i="9" s="1"/>
  <c r="U1261" i="9" s="1"/>
  <c r="U1262" i="9" s="1"/>
  <c r="U1263" i="9" s="1"/>
  <c r="U1264" i="9" s="1"/>
  <c r="U1265" i="9" s="1"/>
  <c r="U1266" i="9" s="1"/>
  <c r="U1267" i="9" s="1"/>
  <c r="U1268" i="9" s="1"/>
  <c r="U1269" i="9" s="1"/>
  <c r="U1270" i="9" s="1"/>
  <c r="U1271" i="9" s="1"/>
  <c r="U1272" i="9" s="1"/>
  <c r="U1273" i="9" s="1"/>
  <c r="U1274" i="9" s="1"/>
  <c r="U1275" i="9" s="1"/>
  <c r="U1276" i="9" s="1"/>
  <c r="U1277" i="9" s="1"/>
  <c r="U1278" i="9" s="1"/>
  <c r="U1279" i="9" s="1"/>
  <c r="U1280" i="9" s="1"/>
  <c r="U1281" i="9" s="1"/>
  <c r="U1282" i="9" s="1"/>
  <c r="U1283" i="9" s="1"/>
  <c r="U1284" i="9" s="1"/>
  <c r="U1285" i="9" s="1"/>
  <c r="U1286" i="9" s="1"/>
  <c r="U1287" i="9" s="1"/>
  <c r="U1288" i="9" s="1"/>
  <c r="U1289" i="9" s="1"/>
  <c r="U1290" i="9" s="1"/>
  <c r="U1291" i="9" s="1"/>
  <c r="U1292" i="9" s="1"/>
  <c r="U1293" i="9" s="1"/>
  <c r="U1294" i="9" s="1"/>
  <c r="U1295" i="9" s="1"/>
  <c r="U1296" i="9" s="1"/>
  <c r="U1297" i="9" s="1"/>
  <c r="U1298" i="9" s="1"/>
  <c r="U1299" i="9" s="1"/>
  <c r="U1300" i="9" s="1"/>
  <c r="U1301" i="9" s="1"/>
  <c r="U1302" i="9" s="1"/>
  <c r="U1303" i="9" s="1"/>
  <c r="U1304" i="9" s="1"/>
  <c r="U1305" i="9" s="1"/>
  <c r="U1306" i="9" s="1"/>
  <c r="U1307" i="9" s="1"/>
  <c r="U1308" i="9" s="1"/>
  <c r="U1309" i="9" s="1"/>
  <c r="U1310" i="9" s="1"/>
  <c r="U1311" i="9" s="1"/>
  <c r="U1312" i="9" s="1"/>
  <c r="U1313" i="9" s="1"/>
  <c r="U1314" i="9" s="1"/>
  <c r="U1315" i="9" s="1"/>
  <c r="U1316" i="9" s="1"/>
  <c r="U1317" i="9" s="1"/>
  <c r="U1318" i="9" s="1"/>
  <c r="U1319" i="9" s="1"/>
  <c r="U1320" i="9" s="1"/>
  <c r="U1321" i="9" s="1"/>
  <c r="U1322" i="9" s="1"/>
  <c r="U1323" i="9" s="1"/>
  <c r="U1324" i="9" s="1"/>
  <c r="U1325" i="9" s="1"/>
  <c r="U1326" i="9" s="1"/>
  <c r="U1327" i="9" s="1"/>
  <c r="U1328" i="9" s="1"/>
  <c r="U1329" i="9" s="1"/>
  <c r="U1330" i="9" s="1"/>
  <c r="U1331" i="9" s="1"/>
  <c r="U1332" i="9" s="1"/>
  <c r="U1333" i="9" s="1"/>
  <c r="U1334" i="9" s="1"/>
  <c r="U1335" i="9" s="1"/>
  <c r="U1336" i="9" s="1"/>
  <c r="U1337" i="9" s="1"/>
  <c r="U1338" i="9" s="1"/>
  <c r="U1339" i="9" s="1"/>
  <c r="U1340" i="9" s="1"/>
  <c r="U1341" i="9" s="1"/>
  <c r="U1342" i="9" s="1"/>
  <c r="U1343" i="9" s="1"/>
  <c r="U1344" i="9" s="1"/>
  <c r="U1345" i="9" s="1"/>
  <c r="U1346" i="9" s="1"/>
  <c r="U1347" i="9" s="1"/>
  <c r="U1348" i="9" s="1"/>
  <c r="U1349" i="9" s="1"/>
  <c r="U1350" i="9" s="1"/>
  <c r="U1351" i="9" s="1"/>
  <c r="U1352" i="9" s="1"/>
  <c r="U1353" i="9" s="1"/>
  <c r="U1354" i="9" s="1"/>
  <c r="U1355" i="9" s="1"/>
  <c r="U1356" i="9" s="1"/>
  <c r="U1357" i="9" s="1"/>
  <c r="U1358" i="9" s="1"/>
  <c r="U1359" i="9" s="1"/>
  <c r="U1360" i="9" s="1"/>
  <c r="U1361" i="9" s="1"/>
  <c r="U1362" i="9" s="1"/>
  <c r="U1363" i="9" s="1"/>
  <c r="U1364" i="9" s="1"/>
  <c r="U1365" i="9" s="1"/>
  <c r="U1366" i="9" s="1"/>
  <c r="U1367" i="9" s="1"/>
  <c r="U1368" i="9" s="1"/>
  <c r="U1369" i="9" s="1"/>
  <c r="U1370" i="9" s="1"/>
  <c r="U1371" i="9" s="1"/>
  <c r="U1372" i="9" s="1"/>
  <c r="U1373" i="9" s="1"/>
  <c r="U1374" i="9" s="1"/>
  <c r="U1375" i="9" s="1"/>
  <c r="U1376" i="9" s="1"/>
  <c r="U1377" i="9" s="1"/>
  <c r="U1378" i="9" s="1"/>
  <c r="U1379" i="9" s="1"/>
  <c r="U1380" i="9" s="1"/>
  <c r="U1381" i="9" s="1"/>
  <c r="U1382" i="9" s="1"/>
  <c r="U1383" i="9" s="1"/>
  <c r="U1384" i="9" s="1"/>
  <c r="U1385" i="9" s="1"/>
  <c r="U1386" i="9" s="1"/>
  <c r="U1387" i="9" s="1"/>
  <c r="U1388" i="9" s="1"/>
  <c r="U1389" i="9" s="1"/>
  <c r="U1390" i="9" s="1"/>
  <c r="U1391" i="9" s="1"/>
  <c r="U1392" i="9" s="1"/>
  <c r="U1393" i="9" s="1"/>
  <c r="U1394" i="9" s="1"/>
  <c r="U1395" i="9" s="1"/>
  <c r="U1396" i="9" s="1"/>
  <c r="U1397" i="9" s="1"/>
  <c r="U1398" i="9" s="1"/>
  <c r="U1399" i="9" s="1"/>
  <c r="U1400" i="9" s="1"/>
  <c r="U591" i="9"/>
  <c r="U592" i="9" l="1"/>
  <c r="U593" i="9" l="1"/>
  <c r="U594" i="9" l="1"/>
  <c r="U595" i="9" l="1"/>
  <c r="U596" i="9" l="1"/>
  <c r="U597" i="9" l="1"/>
  <c r="U598" i="9" s="1"/>
  <c r="U599" i="9" s="1"/>
  <c r="U600" i="9" s="1"/>
  <c r="U601" i="9" s="1"/>
  <c r="U602" i="9" s="1"/>
  <c r="U603" i="9" s="1"/>
  <c r="U604" i="9" s="1"/>
  <c r="U605" i="9" s="1"/>
  <c r="U606" i="9" s="1"/>
  <c r="U607" i="9" s="1"/>
  <c r="U608" i="9" s="1"/>
  <c r="U609" i="9" s="1"/>
  <c r="U610" i="9" s="1"/>
  <c r="U611" i="9" s="1"/>
  <c r="U612" i="9" s="1"/>
  <c r="U613" i="9" s="1"/>
  <c r="U614" i="9" s="1"/>
  <c r="U615" i="9" s="1"/>
  <c r="U616" i="9" s="1"/>
  <c r="U617" i="9" s="1"/>
  <c r="U618" i="9" s="1"/>
  <c r="U619" i="9" s="1"/>
  <c r="U620" i="9" s="1"/>
  <c r="U621" i="9" s="1"/>
  <c r="U622" i="9" s="1"/>
  <c r="P50" i="9" s="1"/>
  <c r="P14" i="9"/>
  <c r="P48" i="9" l="1"/>
  <c r="P49" i="9"/>
  <c r="P46" i="9"/>
  <c r="P47" i="9"/>
  <c r="P44" i="9"/>
  <c r="P45" i="9"/>
  <c r="P42" i="9"/>
  <c r="P43" i="9"/>
  <c r="P40" i="9"/>
  <c r="P41" i="9"/>
  <c r="P31" i="9"/>
  <c r="P32" i="9"/>
  <c r="P34" i="9"/>
  <c r="P33" i="9"/>
  <c r="P35" i="9"/>
  <c r="P36" i="9"/>
  <c r="P37" i="9"/>
  <c r="P38" i="9"/>
  <c r="P39" i="9"/>
  <c r="P16" i="9"/>
  <c r="P29" i="9"/>
  <c r="P28" i="9"/>
  <c r="P18" i="9"/>
  <c r="P20" i="9"/>
  <c r="P21" i="9"/>
  <c r="P22" i="9"/>
  <c r="P15" i="9"/>
  <c r="P17" i="9"/>
  <c r="P19" i="9"/>
  <c r="P27" i="9"/>
  <c r="P26" i="9"/>
  <c r="P13" i="9"/>
  <c r="P4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BoHo</author>
  </authors>
  <commentList>
    <comment ref="R210" authorId="0" shapeId="0" xr:uid="{8A9387AE-D4A7-4C65-9D3C-3971582607A2}">
      <text>
        <r>
          <rPr>
            <b/>
            <sz val="9"/>
            <color indexed="81"/>
            <rFont val="Tahoma"/>
            <family val="2"/>
          </rPr>
          <t>BoHo:</t>
        </r>
        <r>
          <rPr>
            <sz val="9"/>
            <color indexed="81"/>
            <rFont val="Tahoma"/>
            <family val="2"/>
          </rPr>
          <t xml:space="preserve">
=((Rộng*Dài*Slg)*10^-6)*1.6*10.764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<sst xmlns="http://schemas.openxmlformats.org/spreadsheetml/2006/main" count="1576" uniqueCount="396">
  <si>
    <t>SLg</t>
  </si>
  <si>
    <t>Qui Cách Tinh Chế</t>
  </si>
  <si>
    <t>Sơn lót</t>
  </si>
  <si>
    <t>Dán cạnh</t>
  </si>
  <si>
    <t>Mã H. thiện</t>
  </si>
  <si>
    <t>Hoàn thiện</t>
  </si>
  <si>
    <t>Số cạnh</t>
  </si>
  <si>
    <t xml:space="preserve">Chiều dài
chỉ cạnh
(m)  </t>
  </si>
  <si>
    <t xml:space="preserve">Diện tích (m2) </t>
  </si>
  <si>
    <t>Vật liệu:</t>
  </si>
  <si>
    <t>STT</t>
  </si>
  <si>
    <t>CĂN CỨ</t>
  </si>
  <si>
    <t>NGÀY CẬP NHẬT</t>
  </si>
  <si>
    <t>NGƯỜI THỰC HIỆN</t>
  </si>
  <si>
    <t>A</t>
  </si>
  <si>
    <t>B</t>
  </si>
  <si>
    <t>Chất liệu</t>
  </si>
  <si>
    <t xml:space="preserve">Mã vật liệu </t>
  </si>
  <si>
    <t>DÀY
(mm)</t>
  </si>
  <si>
    <t>RỘNG
(mm)</t>
  </si>
  <si>
    <t>DÀI
(mm)</t>
  </si>
  <si>
    <t>Mục số :</t>
  </si>
  <si>
    <t>Hoàn thiện :</t>
  </si>
  <si>
    <t>Mã sản phẩm :</t>
  </si>
  <si>
    <t>Đơn hàng :</t>
  </si>
  <si>
    <t>Dự án :</t>
  </si>
  <si>
    <t>Số lượng :</t>
  </si>
  <si>
    <t>Kích thước :</t>
  </si>
  <si>
    <t>Tên Sản phẩm:</t>
  </si>
  <si>
    <t>Số hiệu:</t>
  </si>
  <si>
    <t>Lần ban hành:</t>
  </si>
  <si>
    <t>Ngày hiệu lực:</t>
  </si>
  <si>
    <t>Hình ảnh sản phẩm</t>
  </si>
  <si>
    <t>NỘI DUNG THAY ĐỔI</t>
  </si>
  <si>
    <t>Kết cấu :</t>
  </si>
  <si>
    <t>Số mặt sơn theo mã</t>
  </si>
  <si>
    <t>Số mặt sơn lót</t>
  </si>
  <si>
    <t xml:space="preserve">Sơn
 H. Thiện </t>
  </si>
  <si>
    <t>Tổng cộng:</t>
  </si>
  <si>
    <t>B.1</t>
  </si>
  <si>
    <t>D</t>
  </si>
  <si>
    <t>C</t>
  </si>
  <si>
    <t>E</t>
  </si>
  <si>
    <t>Tên chi tiết</t>
  </si>
  <si>
    <t>BM02-QT03-NM</t>
  </si>
  <si>
    <r>
      <rPr>
        <b/>
        <i/>
        <u/>
        <sz val="10"/>
        <color theme="1"/>
        <rFont val="Times New Roman"/>
        <family val="1"/>
      </rPr>
      <t>*Ghi chú:</t>
    </r>
    <r>
      <rPr>
        <i/>
        <sz val="10"/>
        <color theme="1"/>
        <rFont val="Times New Roman"/>
        <family val="1"/>
      </rPr>
      <t xml:space="preserve"> 1m1d0n tương ứng với: 1 mặt, 1 cạnh dài, 0 cạnh ngắn</t>
    </r>
  </si>
  <si>
    <t xml:space="preserve"> Đỗ Hồng Thái</t>
  </si>
  <si>
    <t>ĐVT</t>
  </si>
  <si>
    <t>Khối lượng tinh</t>
  </si>
  <si>
    <t>Kiểm duyệt</t>
  </si>
  <si>
    <t>`</t>
  </si>
  <si>
    <t>B.2</t>
  </si>
  <si>
    <t>NHÓM CHỈ CẠNH</t>
  </si>
  <si>
    <t>VẬT TƯ PHỤ</t>
  </si>
  <si>
    <t>PHỤ KIỆN</t>
  </si>
  <si>
    <t>THẦU PHỤ GIA CÔNG</t>
  </si>
  <si>
    <t>LỌC IN</t>
  </si>
  <si>
    <t>Người Lập</t>
  </si>
  <si>
    <t>NCC</t>
  </si>
  <si>
    <t>VẬT TƯ FOAM SOFA</t>
  </si>
  <si>
    <t>BẢNG CHI TIẾT NGUYÊN LIỆU
PHẦN I - PHIẾU KIỂM SOÁT THÔNG TIN SẢN PHẨM</t>
  </si>
  <si>
    <t>Mã Vật Tư</t>
  </si>
  <si>
    <t>Tên Vật Tư</t>
  </si>
  <si>
    <t>BẢNG CHI TIẾT NGUYÊN LIỆU (BOM)
PHẦN II - BẢNG KÊ CHI TIẾT  - VẬT TƯ TẤM &amp; GỖ &amp; FOAM &amp; VẢI</t>
  </si>
  <si>
    <t>Nguyễn Văn Tâm</t>
  </si>
  <si>
    <t>Nguyễn Tân Hồng</t>
  </si>
  <si>
    <t>Đỗ Hồng Thái</t>
  </si>
  <si>
    <t>Nhập lại số lượng SP theo đơn hàng vào ô này</t>
  </si>
  <si>
    <t>Số lượng</t>
  </si>
  <si>
    <t>Ghi chú, hình ảnh</t>
  </si>
  <si>
    <t>Qui cách</t>
  </si>
  <si>
    <t>VẬT TƯ GỖ, VẬT TƯ TẤM</t>
  </si>
  <si>
    <t>VẬT TƯ VẢI, DA, SIMILI</t>
  </si>
  <si>
    <t>MÃ SP</t>
  </si>
  <si>
    <t>Mục số</t>
  </si>
  <si>
    <t>IN</t>
  </si>
  <si>
    <t>Md</t>
  </si>
  <si>
    <t>Sf</t>
  </si>
  <si>
    <t>SLSP</t>
  </si>
  <si>
    <t>Nhà máy</t>
  </si>
  <si>
    <t>Giao thầu phụ</t>
  </si>
  <si>
    <t>Giao công trình</t>
  </si>
  <si>
    <t>BẢNG CHI TIẾT NGUYÊN LIỆU (BOM)
PHẦN III - BẢNG TẬP HỢP HARDWARE + VẬT TƯ PHỤ + CƠ KHÍ + THẦU PHỤ</t>
  </si>
  <si>
    <t>Ghi chú</t>
  </si>
  <si>
    <t>Hình ảnh</t>
  </si>
  <si>
    <t>Đặng Quốc Dự</t>
  </si>
  <si>
    <t>Phạm Thanh Huy</t>
  </si>
  <si>
    <t>Nguyễn Huỳnh Định</t>
  </si>
  <si>
    <t>Võ Thị Thúy Hằng</t>
  </si>
  <si>
    <t>Name</t>
  </si>
  <si>
    <t>Vật tư điển hình</t>
  </si>
  <si>
    <t>Đơn vị</t>
  </si>
  <si>
    <t>Gỗ Thông dày 35mm</t>
  </si>
  <si>
    <t>Gỗ ASH loại A dày 35mm</t>
  </si>
  <si>
    <t>MDF HMR E2 - 17x1220x2440 (mm)</t>
  </si>
  <si>
    <t>MDF HMR E2 2M VER YL-V4227 - 17x1220x2440 (mm)</t>
  </si>
  <si>
    <t>MDF HMR E2 1M VER YL-V4227 1M VER Tạp - 17x1220x2440 (mm)</t>
  </si>
  <si>
    <t>MDF HMR E2 2M LAM LL2263 - 17x1220x2440 (mm)</t>
  </si>
  <si>
    <t>MDF HMR E2 1M LAM LL2263 1M Backer - 17x1220x2440 (mm)</t>
  </si>
  <si>
    <t>PB Carb P2 - 25x1220x2440 (mm)</t>
  </si>
  <si>
    <t>PB - 25x1220x2440 (mm)</t>
  </si>
  <si>
    <t>Tấm nhựa WPB - 18x1220x2440 (mm)</t>
  </si>
  <si>
    <t>Ván gỗ ghép tràm CC - 35x1220x2440 (mm)</t>
  </si>
  <si>
    <t>Ván gỗ ghép tràm BC - 32x1220x2440 (mm)</t>
  </si>
  <si>
    <t>MDF HMR E2 2M MEL MS 4621 - 17x1220x2440 (mm)</t>
  </si>
  <si>
    <t>Plywood LVD nội thất - 18x1220x2440 (mm)</t>
  </si>
  <si>
    <t>Plywood LVD E0 - 18x1220x2440 (mm)</t>
  </si>
  <si>
    <t>Plywood SOFA - 18x1220x2440 (mm)</t>
  </si>
  <si>
    <t>Plywood LVD Carb P2 - 18x1220x2440 (mm)</t>
  </si>
  <si>
    <t>Chỉ veneer YL37 - 0.6x20 (mm)</t>
  </si>
  <si>
    <t>Chỉ nhựa 8843UN - 0.8x23 (mm)</t>
  </si>
  <si>
    <t>Tên Kiện Hàng</t>
  </si>
  <si>
    <t>Tên  
kiện Hàng</t>
  </si>
  <si>
    <t>Qui Cách bao bì</t>
  </si>
  <si>
    <t>Tiêu chuẩn bao bì</t>
  </si>
  <si>
    <t>Khối lượng</t>
  </si>
  <si>
    <t>F</t>
  </si>
  <si>
    <t>BAO BÌ</t>
  </si>
  <si>
    <t>STT Kiện</t>
  </si>
  <si>
    <t>XƯỞNG KIM LOẠI</t>
  </si>
  <si>
    <t>VẬT TƯ KIM LOẠI</t>
  </si>
  <si>
    <t>GIA CÔNG KIM LOẠI</t>
  </si>
  <si>
    <t>LOC 
KIỆN</t>
  </si>
  <si>
    <t>BẢNG KÊ CHI TIẾT ĐÓNG GÓI
TIÊU CHUẨN: XK-LOẠI 1</t>
  </si>
  <si>
    <t>Đinh Văn Chương</t>
  </si>
  <si>
    <t>Trần Thị Thanh Xuân</t>
  </si>
  <si>
    <t xml:space="preserve">DÀI </t>
  </si>
  <si>
    <t>RỘNG</t>
  </si>
  <si>
    <t>CAO</t>
  </si>
  <si>
    <t>Đặng Vũ Hiệp</t>
  </si>
  <si>
    <t>V GẤP CẠNH TRÊN + DƯỚI</t>
  </si>
  <si>
    <t>Giấy carton V gấp cạnh - 3x35x25x2400 (mm)</t>
  </si>
  <si>
    <t>THANH</t>
  </si>
  <si>
    <t>V GẤP CẠNH ĐỨNG</t>
  </si>
  <si>
    <t>Màng nhựa PE</t>
  </si>
  <si>
    <t>Màng nhựa PE - 500 (mm)</t>
  </si>
  <si>
    <t>MD</t>
  </si>
  <si>
    <t>PE FOAM</t>
  </si>
  <si>
    <t>Màng EPE foam - 1x1200 (mm)</t>
  </si>
  <si>
    <t>Băng keo</t>
  </si>
  <si>
    <t>Băng keo trong 48 (mm)</t>
  </si>
  <si>
    <t>BẢNG KÊ CHI TIẾT ĐÓNG GÓI
TIÊU CHUẨN:XK- LOẠI 2</t>
  </si>
  <si>
    <t>BẢNG KÊ CHI TIẾT ĐÓNG GÓI
TIÊU CHUẨN: XK-LOẠI 3</t>
  </si>
  <si>
    <t>Xốp tấm nóc</t>
  </si>
  <si>
    <t>Xốp tấm - 2000x1000x20 (mm)</t>
  </si>
  <si>
    <t>Tấm1</t>
  </si>
  <si>
    <t>Xốp tấm hông</t>
  </si>
  <si>
    <t>Giấy carton 5 lớp - 1800x3100 (mm)</t>
  </si>
  <si>
    <t>Tấm2</t>
  </si>
  <si>
    <t>Xốp tấm mặt trước, mặt sau</t>
  </si>
  <si>
    <t>V góc (Carton 5L) - ngoài</t>
  </si>
  <si>
    <t>Xốp góc</t>
  </si>
  <si>
    <t>Xốp ke góc - 20x100x100x100 (mm)</t>
  </si>
  <si>
    <t>cái</t>
  </si>
  <si>
    <t>V góc (Carton 5L) trong</t>
  </si>
  <si>
    <t>V cạnh đứng - ngoài</t>
  </si>
  <si>
    <t xml:space="preserve">V xốp đứng </t>
  </si>
  <si>
    <t>V cạnh đứng - trong</t>
  </si>
  <si>
    <t>V cạnh ngang - ngoài</t>
  </si>
  <si>
    <t>V xốp ngang</t>
  </si>
  <si>
    <t>V cạnh ngang - trong</t>
  </si>
  <si>
    <t>V cạnh hông - ngoài</t>
  </si>
  <si>
    <t>V xốp hông</t>
  </si>
  <si>
    <t>V cạnh hông  - trong</t>
  </si>
  <si>
    <t>Thanh xốp đáy</t>
  </si>
  <si>
    <t>PLYWOOD/ VÁN MDF</t>
  </si>
  <si>
    <t>Plywood LVD E2 - 9x1220x2440 (mm)
MDF Trơn tận dụng</t>
  </si>
  <si>
    <t>TRÊN 30KG THÌ SỬ DỤNG.
DƯỚI 30KG THÌ KHÔNG SỬ DỤNG</t>
  </si>
  <si>
    <t>Tấm</t>
  </si>
  <si>
    <t>THÙNG BAO NGOÀI</t>
  </si>
  <si>
    <t>CÓ THỂ ĐẶT GIA CÔNG BÊN NGOÀI</t>
  </si>
  <si>
    <t>TẤM</t>
  </si>
  <si>
    <t>.</t>
  </si>
  <si>
    <t>BẢNG KÊ CHI TIẾT ĐÓNG GÓI
TIÊU CHUẨN: XK-LOẠI 4 - ĐI CONT</t>
  </si>
  <si>
    <t>Gỗ đứng</t>
  </si>
  <si>
    <t>Plywood LVD E2 - 18x1220x2440 (mm) /
MDF Trơn tận dụng</t>
  </si>
  <si>
    <t>Gỗ ngang</t>
  </si>
  <si>
    <t>Gỗ đáy kiện</t>
  </si>
  <si>
    <t>ghép dày 60mm</t>
  </si>
  <si>
    <t>Dây đai</t>
  </si>
  <si>
    <t>Dây đai - 0.8x12 (mm) nhựa PET</t>
  </si>
  <si>
    <t>BẢNG KÊ CHI TIẾT ĐÓNG GÓI
TIÊU CHUẨN: XK-LOẠI 5 - ĐI AIR</t>
  </si>
  <si>
    <t>Gỗ ngang nóc + đáy</t>
  </si>
  <si>
    <t>Gỗ dọc hông</t>
  </si>
  <si>
    <t>Gỗ ngang trước sau</t>
  </si>
  <si>
    <t/>
  </si>
  <si>
    <t>KIỆN</t>
  </si>
  <si>
    <t>PLDG</t>
  </si>
  <si>
    <t>Nguyên vật liệu</t>
  </si>
  <si>
    <t>Phân lớp</t>
  </si>
  <si>
    <t>áàảãạâấầẩẫậăắằẳẵặéèẻẽẹêếềểễệíìỉĩịóòỏõọôốồổỗộơớờởỡợúùủũụưứừửữựýỳỷỹỵđÁÀẢÃẠÂẤẦẨẪẬĂẮẰẲẴẶÉÈẺẼẸÊẾỀỂỄỆÍÌỈĨỊÓÒỎÕỌÔỐỒỔỖỘƠỚỜỞỠỢÚÙỦŨỤƯỨỪỬỮỰÝỲỶỸỊĐ</t>
  </si>
  <si>
    <t>aaaaaaaaaaaaaaaaaeeeeeeeeeeeiiiiiooooooooooooooooouuuuuuuuuuuyyyyydAAAAAAAAAAAAAAAAAEEEEEEEEEEEIIIIIOOOOOOOOOOOOOOOOOUUUUUUUUUUUYYYYYD</t>
  </si>
  <si>
    <t>DÀY</t>
  </si>
  <si>
    <t>SL</t>
  </si>
  <si>
    <t>DÀI</t>
  </si>
  <si>
    <t>Kg</t>
  </si>
  <si>
    <t>Cái</t>
  </si>
  <si>
    <t>BẢNG KÊ CHI TIẾT ĐÓNG GÓI
TIÊU CHUẨN: CỬA</t>
  </si>
  <si>
    <t>TRUNG BÌNH</t>
  </si>
  <si>
    <t>KB+RB</t>
  </si>
  <si>
    <t>CHỈ</t>
  </si>
  <si>
    <t>CỬA C.CHÁY</t>
  </si>
  <si>
    <t>CỬA THƯỜNG</t>
  </si>
  <si>
    <t>THỰC TẾ</t>
  </si>
  <si>
    <t>V gấp cạnh trên, dưới</t>
  </si>
  <si>
    <t>V gấp cạnh đứng</t>
  </si>
  <si>
    <t>Cuộn</t>
  </si>
  <si>
    <t>Giấy Carton bao gói</t>
  </si>
  <si>
    <t>Giấy carton 2 lớp 1300mm (2.15md/1kg)</t>
  </si>
  <si>
    <t>Màng Fim</t>
  </si>
  <si>
    <t>Băng keo CHC 50700 - khổ 1250 (mm) trắng trong</t>
  </si>
  <si>
    <t>Foam lót</t>
  </si>
  <si>
    <t>V góc nhựa dài</t>
  </si>
  <si>
    <t>Ke góc vuông - 1x23x100x100 (mm) nhựa màu đen</t>
  </si>
  <si>
    <t>V góc nhựa ngắn</t>
  </si>
  <si>
    <t>Ke góc vuông - 2x40x60x60 (mm) nhựa màu đen</t>
  </si>
  <si>
    <t>0</t>
  </si>
  <si>
    <t>TPGC</t>
  </si>
  <si>
    <t>XK_CHUẨN 3</t>
  </si>
  <si>
    <t>Theo bản vẽ</t>
  </si>
  <si>
    <t>1 Hệ</t>
  </si>
  <si>
    <t>Theo module và giao rời</t>
  </si>
  <si>
    <t>LAGOME_BURNLEY MALTINGS</t>
  </si>
  <si>
    <t>L01</t>
  </si>
  <si>
    <t xml:space="preserve">PB E1 chống ẩm 2M Melamine MEL1: MS 024T
</t>
  </si>
  <si>
    <t>MEL01</t>
  </si>
  <si>
    <t>Đồng màu MEL1</t>
  </si>
  <si>
    <t>2573_LAGOME_CT07</t>
  </si>
  <si>
    <t>P1.A - HONG</t>
  </si>
  <si>
    <t>GIAO RỜI</t>
  </si>
  <si>
    <t>Hông trái_01_001</t>
  </si>
  <si>
    <t>PB HMR E1 2M MEL MS 024T - 16x1220x2440 (mm)</t>
  </si>
  <si>
    <t>Chỉ nhựa MS 024T - 0.8x21 (mm)</t>
  </si>
  <si>
    <t>1d2r</t>
  </si>
  <si>
    <t>Hông phải_01_002</t>
  </si>
  <si>
    <t>P1.B - HAU</t>
  </si>
  <si>
    <t>Hậu_02_001</t>
  </si>
  <si>
    <t>2d2r</t>
  </si>
  <si>
    <t>Nóc_03_001</t>
  </si>
  <si>
    <t>1d0r</t>
  </si>
  <si>
    <t>Đáy_03_002</t>
  </si>
  <si>
    <t>P1.D - KE ADJ</t>
  </si>
  <si>
    <t>Kệ di động 1_04_001</t>
  </si>
  <si>
    <t>Kệ di động 2_04_002</t>
  </si>
  <si>
    <t>Kệ di động 3_04_003</t>
  </si>
  <si>
    <t>Kệ di động 4_04_004</t>
  </si>
  <si>
    <t>Kệ di động 5_04_005</t>
  </si>
  <si>
    <t>P2 - TU WM/DR</t>
  </si>
  <si>
    <t>Hông phải_05_001</t>
  </si>
  <si>
    <t>MDF HMR E1 2M MEL MS 024T - 17x1220x2440 (mm)</t>
  </si>
  <si>
    <t>Nóc_05_003</t>
  </si>
  <si>
    <t>Kè hậu_05_004</t>
  </si>
  <si>
    <t>P3 - THUNG TU</t>
  </si>
  <si>
    <t>HOÀN THIỆN ĐI MODULE</t>
  </si>
  <si>
    <t>Hông trái_06_001</t>
  </si>
  <si>
    <t>Hông phải_06_002</t>
  </si>
  <si>
    <t>Nóc_06_003</t>
  </si>
  <si>
    <t>Đáy_06_004</t>
  </si>
  <si>
    <t>Hậu_06_005</t>
  </si>
  <si>
    <t>Len chận cánh_06_006</t>
  </si>
  <si>
    <t>Kệ di động_06_007</t>
  </si>
  <si>
    <t>P4 - THUNG TU</t>
  </si>
  <si>
    <t>Hông trái_07_001</t>
  </si>
  <si>
    <t>Hông phải_07_002</t>
  </si>
  <si>
    <t>Nóc_07_003</t>
  </si>
  <si>
    <t>Đáy_07_004</t>
  </si>
  <si>
    <t>Hậu_07_005</t>
  </si>
  <si>
    <t>Len chận cánh_07_006</t>
  </si>
  <si>
    <t>Kè hậu_07_007</t>
  </si>
  <si>
    <t>Kệ di động_07_008</t>
  </si>
  <si>
    <t>P5 - KHUNG CHAN</t>
  </si>
  <si>
    <t>P1_Xương ngang_08_001</t>
  </si>
  <si>
    <t>VÁN tận dụng (Loại bất kỳ)</t>
  </si>
  <si>
    <t>2m2d2r</t>
  </si>
  <si>
    <t>P1_Xương dọc_08_002</t>
  </si>
  <si>
    <t>P1_Xương nóc_08_003</t>
  </si>
  <si>
    <t>P1_Kè góc_08_004</t>
  </si>
  <si>
    <t>Gỗ Tận dụng - xx (mm)</t>
  </si>
  <si>
    <t>P3_Xương ngang_08_005</t>
  </si>
  <si>
    <t>P3_Xương ngang_08_006</t>
  </si>
  <si>
    <t>P3_Xương dọc_08_007</t>
  </si>
  <si>
    <t>P3_Xương nóc_08_008</t>
  </si>
  <si>
    <t>P3_Kè góc_08_009</t>
  </si>
  <si>
    <t>P4_Xương ngang_08_010</t>
  </si>
  <si>
    <t>P4_Xương ngang_08_011</t>
  </si>
  <si>
    <t>P4_Xương dọc_08_012</t>
  </si>
  <si>
    <t>P4_Xương nóc_08_013</t>
  </si>
  <si>
    <t>P4_Kè góc_08_014</t>
  </si>
  <si>
    <t>P6 - EN PANEL</t>
  </si>
  <si>
    <t>Hông phụ_09_001</t>
  </si>
  <si>
    <t>P7 - FILLER</t>
  </si>
  <si>
    <t>Gia giảm_10_001</t>
  </si>
  <si>
    <t>Gia giảm_10_002</t>
  </si>
  <si>
    <t>Gia giảm_10_003</t>
  </si>
  <si>
    <t>Xương kè gia giảm_10_004</t>
  </si>
  <si>
    <t>P8 - KE HAU</t>
  </si>
  <si>
    <t>Kè hậu_11_001</t>
  </si>
  <si>
    <t>P9 - CANH P1</t>
  </si>
  <si>
    <t>Cánh trái_12_001</t>
  </si>
  <si>
    <t>P10 - CANH P3 + P4</t>
  </si>
  <si>
    <t>Cánh phải_P3_13_001</t>
  </si>
  <si>
    <t>Cánh trái_P3_13_002</t>
  </si>
  <si>
    <t>Cánh phải_P4_13_003</t>
  </si>
  <si>
    <t>Cánh trái_P4_13_004</t>
  </si>
  <si>
    <t>P11 - LEN CHAN</t>
  </si>
  <si>
    <t>Len chân_P1_14_001</t>
  </si>
  <si>
    <t>Len chân_P3+P4_14_002</t>
  </si>
  <si>
    <t>Chỉ nhựa MS 024T - 0.8x28 (mm)</t>
  </si>
  <si>
    <t>NVL7-000394</t>
  </si>
  <si>
    <t>Vis gỗ đầu chìm - M4x15 (mm) inox 304</t>
  </si>
  <si>
    <t>Con</t>
  </si>
  <si>
    <t>M4x15x8</t>
  </si>
  <si>
    <t>Inox 304</t>
  </si>
  <si>
    <t>Bắt bản lề</t>
  </si>
  <si>
    <t>NVL7-000405</t>
  </si>
  <si>
    <t>Vis gỗ đầu chìm - M4x30 (mm) thép xi trắng</t>
  </si>
  <si>
    <t>M4x30x8</t>
  </si>
  <si>
    <t>Thép xi trắng</t>
  </si>
  <si>
    <t>Bắt hậu tủ, + liên kết xương kè , các module, bắt pát 4 lỗ với hông tủ P1</t>
  </si>
  <si>
    <t>NVL7-000409</t>
  </si>
  <si>
    <t>Vis gỗ đầu chìm - M4x40 (mm) thép xi trắng</t>
  </si>
  <si>
    <t>M4x40x8</t>
  </si>
  <si>
    <t>Ghép tủ, khung chân,</t>
  </si>
  <si>
    <t>NVL7-000285</t>
  </si>
  <si>
    <t>Chốt gỗ - Ø8x30 (mm)</t>
  </si>
  <si>
    <t>Ø8x30</t>
  </si>
  <si>
    <t>Gỗ tự nhiên</t>
  </si>
  <si>
    <t>Ghép tủ</t>
  </si>
  <si>
    <t>NVL7-000271</t>
  </si>
  <si>
    <t>Chân đế tăng đưa - M8x15x20 (mm) nhựa đen</t>
  </si>
  <si>
    <t>M8x15x20</t>
  </si>
  <si>
    <t>Nhựa đen</t>
  </si>
  <si>
    <t>Gắn khung chân</t>
  </si>
  <si>
    <t>NVL7-000330</t>
  </si>
  <si>
    <t>Tán cấy có vành - M8x20 (mm) thép xi 7 màu</t>
  </si>
  <si>
    <t>M8x20</t>
  </si>
  <si>
    <t>Thép xi 7 màu</t>
  </si>
  <si>
    <t>NVL6-000065</t>
  </si>
  <si>
    <t>Keo titebond II Premium 473ml/0.5kg - Tem xanh dương</t>
  </si>
  <si>
    <t>Chai</t>
  </si>
  <si>
    <t>473ml/0.5kg</t>
  </si>
  <si>
    <t>Tem chai màu xanh dương - Premium</t>
  </si>
  <si>
    <t>NVL6-000120</t>
  </si>
  <si>
    <t>Đinh U1013J - 5000 cây/hộp</t>
  </si>
  <si>
    <t>Hộp</t>
  </si>
  <si>
    <t>5000 Cây/Hộp</t>
  </si>
  <si>
    <t>Ghép khung xương</t>
  </si>
  <si>
    <t>NVL10-000048</t>
  </si>
  <si>
    <t>Đinh F30 - 5000 cây/hộp</t>
  </si>
  <si>
    <t>NVL7-000396</t>
  </si>
  <si>
    <t>Vis gỗ đầu chìm - M4x15 (mm) thép xi trắng</t>
  </si>
  <si>
    <t>Bắt pát 4 lỗ, giao Công trình bắt pát 4 lỗ lên tâm nóc tủ P2</t>
  </si>
  <si>
    <t>NVL8-000017</t>
  </si>
  <si>
    <t>Bản lề giảm chấn trùm ngoài SM110 315.11.750 - Hafele</t>
  </si>
  <si>
    <t>Thép</t>
  </si>
  <si>
    <t>Hafele</t>
  </si>
  <si>
    <t>NVL8-000018</t>
  </si>
  <si>
    <t>Đế bản lề 315.98.550 - Hafele</t>
  </si>
  <si>
    <t>NVL8-001424</t>
  </si>
  <si>
    <t>Chốt đỡ kệ - Ø5 (mm) Nhựa trong</t>
  </si>
  <si>
    <t>Ø5</t>
  </si>
  <si>
    <t>Nhựa trong</t>
  </si>
  <si>
    <t>Phú Hải</t>
  </si>
  <si>
    <t>NVL8-001776</t>
  </si>
  <si>
    <t>Cao su chêm cửa Vinahardware - CSC102 - Hoa Đạt</t>
  </si>
  <si>
    <t>10x2mm</t>
  </si>
  <si>
    <t>Hoa Đạt</t>
  </si>
  <si>
    <t>NVL8-001777</t>
  </si>
  <si>
    <t>Tắc kê nhựa cho bản lề Vinahardware loại M4x10mm VNH WG410-WG410</t>
  </si>
  <si>
    <t>M4x10 (mm)</t>
  </si>
  <si>
    <t>NVL8-001778</t>
  </si>
  <si>
    <t>Sticker 215 - che lỗ vít Ø15 (mm) (Đồng màu MEL MS 024T)</t>
  </si>
  <si>
    <t>Ø15 (mm)</t>
  </si>
  <si>
    <t>NVL8-001782</t>
  </si>
  <si>
    <t>Patte góc vuông 4 lỗ - 27x27x27x12 (mm) nhựa trắng</t>
  </si>
  <si>
    <t>27x27x27x12</t>
  </si>
  <si>
    <t>Nhựa trắng</t>
  </si>
  <si>
    <t>NVL8-001281</t>
  </si>
  <si>
    <t>Thanh chống cong 406.99.120 - Hafele</t>
  </si>
  <si>
    <t>Bộ</t>
  </si>
  <si>
    <t>Gắn tại nhà máy</t>
  </si>
  <si>
    <t>NVL8-001009</t>
  </si>
  <si>
    <t>Patte L 4 lỗ - 2x50x40x37 (mm) thép xi trắng</t>
  </si>
  <si>
    <t>2x50x40x37</t>
  </si>
  <si>
    <t>Hàng chợ</t>
  </si>
  <si>
    <t>Giao công trình liên kết nóc tủ P2 với hông P1</t>
  </si>
  <si>
    <t>Dán cạnh vát tay nắm</t>
  </si>
  <si>
    <t>Lop 1</t>
  </si>
  <si>
    <t>Lop 2</t>
  </si>
  <si>
    <t>Lop 3</t>
  </si>
  <si>
    <t>Lop 4</t>
  </si>
  <si>
    <t>Lop 5</t>
  </si>
  <si>
    <t>Lop 1, Lop 2</t>
  </si>
  <si>
    <t>Laundry_ (TH 11)</t>
  </si>
  <si>
    <t>P1.C - NOC + DAY</t>
  </si>
  <si>
    <t>Tính dư chiều dài cắt thực tế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</si>
</sst>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0"/>
    <numFmt numFmtId="165" formatCode="m/d/yy;@"/>
    <numFmt numFmtId="166" formatCode="0.0000"/>
    <numFmt numFmtId="167" formatCode="0.000"/>
    <numFmt numFmtId="168" formatCode="0.0"/>
    <numFmt numFmtId="169" formatCode="0.0000000"/>
  </numFmts>
  <fonts count="65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indexed="8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3"/>
      <name val="Times New Roman"/>
      <family val="1"/>
    </font>
    <font>
      <sz val="12"/>
      <color theme="1"/>
      <name val="Times New Roman"/>
      <family val="1"/>
    </font>
    <font>
      <b/>
      <i/>
      <sz val="20"/>
      <color theme="1"/>
      <name val="Times New Roman"/>
      <family val="1"/>
    </font>
    <font>
      <b/>
      <sz val="22"/>
      <color theme="1"/>
      <name val="Times New Roman"/>
      <family val="1"/>
    </font>
    <font>
      <b/>
      <sz val="10"/>
      <color theme="1"/>
      <name val="Times New Roman"/>
      <family val="1"/>
    </font>
    <font>
      <i/>
      <sz val="9"/>
      <color theme="1"/>
      <name val="Times New Roman"/>
      <family val="1"/>
    </font>
    <font>
      <b/>
      <sz val="12"/>
      <color theme="1"/>
      <name val="Times New Roman"/>
      <family val="1"/>
    </font>
    <font>
      <b/>
      <sz val="11.5"/>
      <color theme="1"/>
      <name val="Times New Roman"/>
      <family val="1"/>
    </font>
    <font>
      <sz val="11"/>
      <color theme="1"/>
      <name val="Times New Roman"/>
      <family val="1"/>
    </font>
    <font>
      <b/>
      <i/>
      <sz val="10"/>
      <color theme="1"/>
      <name val="Times New Roman"/>
      <family val="1"/>
    </font>
    <font>
      <b/>
      <i/>
      <sz val="11"/>
      <color theme="1"/>
      <name val="Times New Roman"/>
      <family val="1"/>
    </font>
    <font>
      <i/>
      <sz val="11"/>
      <color theme="1"/>
      <name val="Times New Roman"/>
      <family val="1"/>
    </font>
    <font>
      <b/>
      <sz val="11"/>
      <name val="Times New Roman"/>
      <family val="1"/>
    </font>
    <font>
      <b/>
      <sz val="11"/>
      <color theme="1"/>
      <name val="Times New Roman"/>
      <family val="1"/>
    </font>
    <font>
      <sz val="11"/>
      <name val="Times New Roman"/>
      <family val="1"/>
    </font>
    <font>
      <i/>
      <sz val="8"/>
      <color theme="1"/>
      <name val="Times New Roman"/>
      <family val="1"/>
    </font>
    <font>
      <b/>
      <sz val="16"/>
      <color theme="1"/>
      <name val="Times New Roman"/>
      <family val="1"/>
    </font>
    <font>
      <b/>
      <sz val="9"/>
      <color theme="1"/>
      <name val="Times New Roman"/>
      <family val="1"/>
    </font>
    <font>
      <i/>
      <sz val="10"/>
      <color theme="1"/>
      <name val="Times New Roman"/>
      <family val="1"/>
    </font>
    <font>
      <b/>
      <i/>
      <u/>
      <sz val="10"/>
      <color theme="1"/>
      <name val="Times New Roman"/>
      <family val="1"/>
    </font>
    <font>
      <sz val="8"/>
      <name val="Calibri"/>
      <family val="2"/>
      <scheme val="minor"/>
    </font>
    <font>
      <sz val="11"/>
      <name val="VNI-Helve-Condense"/>
    </font>
    <font>
      <b/>
      <i/>
      <sz val="9"/>
      <color indexed="8"/>
      <name val="Times New Roman"/>
      <family val="1"/>
    </font>
    <font>
      <b/>
      <i/>
      <sz val="8"/>
      <color indexed="8"/>
      <name val="Times New Roman"/>
      <family val="1"/>
    </font>
    <font>
      <b/>
      <i/>
      <sz val="9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9"/>
      <color theme="0"/>
      <name val="Times New Roman"/>
      <family val="1"/>
    </font>
    <font>
      <sz val="9"/>
      <color theme="1"/>
      <name val="Times New Roman"/>
      <family val="1"/>
    </font>
    <font>
      <sz val="12"/>
      <name val="Times New Roman"/>
      <family val="1"/>
    </font>
    <font>
      <b/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b/>
      <i/>
      <sz val="14"/>
      <color theme="1"/>
      <name val="Times New Roman"/>
      <family val="1"/>
    </font>
    <font>
      <b/>
      <i/>
      <sz val="14"/>
      <color rgb="FF0000CC"/>
      <name val="Times New Roman"/>
      <family val="1"/>
    </font>
    <font>
      <i/>
      <sz val="9"/>
      <color rgb="FF0000CC"/>
      <name val="Times New Roman"/>
      <family val="1"/>
    </font>
    <font>
      <b/>
      <i/>
      <sz val="22"/>
      <color rgb="FFFF0000"/>
      <name val="Times New Roman"/>
      <family val="1"/>
    </font>
    <font>
      <b/>
      <sz val="11"/>
      <color rgb="FFFF0000"/>
      <name val="Times New Roman"/>
      <family val="1"/>
    </font>
    <font>
      <b/>
      <sz val="11.5"/>
      <color rgb="FFFF0000"/>
      <name val="Times New Roman"/>
      <family val="1"/>
    </font>
    <font>
      <b/>
      <sz val="12"/>
      <name val="Times New Roman"/>
      <family val="1"/>
    </font>
    <font>
      <b/>
      <sz val="10"/>
      <name val="Times New Roman"/>
      <family val="1"/>
    </font>
    <font>
      <sz val="9"/>
      <name val="Times New Roman"/>
      <family val="1"/>
    </font>
    <font>
      <b/>
      <sz val="14"/>
      <color rgb="FFFF0000"/>
      <name val="Times New Roman"/>
      <family val="1"/>
    </font>
    <font>
      <sz val="11"/>
      <color rgb="FFFF0000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Times New Roman"/>
      <family val="1"/>
      <charset val="163"/>
    </font>
    <font>
      <b/>
      <sz val="20"/>
      <color rgb="FFFF0000"/>
      <name val="Times New Roman"/>
      <family val="1"/>
      <charset val="163"/>
    </font>
    <font>
      <sz val="11"/>
      <color theme="0" tint="-0.34998626667073579"/>
      <name val="Times New Roman"/>
      <family val="1"/>
    </font>
    <font>
      <i/>
      <sz val="12"/>
      <color theme="1"/>
      <name val="Times New Roman"/>
      <family val="1"/>
    </font>
    <font>
      <b/>
      <i/>
      <sz val="12"/>
      <color theme="1"/>
      <name val="Times New Roman"/>
      <family val="1"/>
    </font>
    <font>
      <sz val="13"/>
      <color theme="1"/>
      <name val="Times New Roman"/>
      <family val="1"/>
    </font>
    <font>
      <sz val="13"/>
      <name val="Times New Roman"/>
      <family val="1"/>
    </font>
    <font>
      <sz val="13"/>
      <color indexed="8"/>
      <name val="Times New Roman"/>
      <family val="1"/>
    </font>
    <font>
      <b/>
      <sz val="13"/>
      <color theme="1"/>
      <name val="Times New Roman"/>
      <family val="1"/>
    </font>
    <font>
      <b/>
      <sz val="13"/>
      <color rgb="FFFF0000"/>
      <name val="Times New Roman"/>
      <family val="1"/>
    </font>
    <font>
      <sz val="11"/>
      <color rgb="FF0070C0"/>
      <name val="Times New Roman"/>
      <family val="1"/>
    </font>
    <font>
      <sz val="11"/>
      <color rgb="FF000000"/>
      <name val="Times New Roman"/>
      <family val="1"/>
    </font>
    <font>
      <b/>
      <i/>
      <sz val="13"/>
      <color theme="1"/>
      <name val="Times New Roman"/>
      <family val="1"/>
    </font>
    <font>
      <sz val="14"/>
      <color theme="1"/>
      <name val="Times New Roman"/>
      <family val="1"/>
    </font>
    <font>
      <b/>
      <sz val="15"/>
      <color theme="1"/>
      <name val="Times New Roman"/>
      <family val="1"/>
    </font>
    <font>
      <b/>
      <i/>
      <sz val="15"/>
      <color theme="1"/>
      <name val="Times New Roman"/>
      <family val="1"/>
    </font>
    <font>
      <b/>
      <sz val="17"/>
      <color theme="1"/>
      <name val="Times New Roman"/>
      <family val="1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9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14">
    <xf numFmtId="0" fontId="0" fillId="0" borderId="0"/>
    <xf numFmtId="0" fontId="1" fillId="0" borderId="0"/>
    <xf numFmtId="0" fontId="2" fillId="0" borderId="0" applyNumberFormat="0" applyFill="0" applyBorder="0" applyProtection="0">
      <alignment vertical="top"/>
    </xf>
    <xf numFmtId="0" fontId="1" fillId="0" borderId="0"/>
    <xf numFmtId="0" fontId="2" fillId="0" borderId="0" applyNumberFormat="0" applyFill="0" applyBorder="0" applyProtection="0">
      <alignment vertical="top"/>
    </xf>
    <xf numFmtId="0" fontId="1" fillId="0" borderId="0"/>
    <xf numFmtId="0" fontId="1" fillId="0" borderId="0"/>
    <xf numFmtId="0" fontId="2" fillId="0" borderId="0" applyNumberFormat="0" applyFill="0" applyBorder="0" applyProtection="0">
      <alignment vertical="top"/>
    </xf>
    <xf numFmtId="0" fontId="3" fillId="0" borderId="0"/>
    <xf numFmtId="0" fontId="3" fillId="0" borderId="0"/>
    <xf numFmtId="0" fontId="25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/>
    <xf numFmtId="0" fontId="2" fillId="0" borderId="0">
      <alignment vertical="top"/>
    </xf>
  </cellStyleXfs>
  <cellXfs count="446">
    <xf numFmtId="0" fontId="0" fillId="0" borderId="0" xfId="0"/>
    <xf numFmtId="0" fontId="11" fillId="0" borderId="1" xfId="1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vertical="center"/>
      <protection locked="0"/>
    </xf>
    <xf numFmtId="14" fontId="12" fillId="0" borderId="1" xfId="0" applyNumberFormat="1" applyFont="1" applyBorder="1" applyAlignment="1" applyProtection="1">
      <alignment horizontal="center" vertical="center"/>
      <protection locked="0"/>
    </xf>
    <xf numFmtId="0" fontId="13" fillId="0" borderId="1" xfId="0" applyFont="1" applyBorder="1" applyAlignment="1" applyProtection="1">
      <alignment horizontal="center" vertical="center"/>
      <protection locked="0"/>
    </xf>
    <xf numFmtId="0" fontId="14" fillId="0" borderId="1" xfId="0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17" fillId="0" borderId="0" xfId="0" applyFont="1" applyAlignment="1" applyProtection="1">
      <alignment vertical="center"/>
      <protection locked="0"/>
    </xf>
    <xf numFmtId="0" fontId="18" fillId="0" borderId="0" xfId="3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14" fontId="17" fillId="0" borderId="1" xfId="0" applyNumberFormat="1" applyFont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vertical="center"/>
      <protection locked="0"/>
    </xf>
    <xf numFmtId="0" fontId="27" fillId="0" borderId="0" xfId="0" applyFont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left" vertical="center" wrapText="1"/>
      <protection locked="0"/>
    </xf>
    <xf numFmtId="0" fontId="8" fillId="0" borderId="1" xfId="0" applyFont="1" applyBorder="1" applyAlignment="1" applyProtection="1">
      <alignment vertic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28" fillId="0" borderId="0" xfId="0" applyFont="1" applyAlignment="1" applyProtection="1">
      <alignment vertical="center"/>
      <protection locked="0"/>
    </xf>
    <xf numFmtId="0" fontId="12" fillId="0" borderId="0" xfId="0" applyFont="1" applyAlignment="1" applyProtection="1">
      <alignment horizont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22" fillId="0" borderId="0" xfId="0" applyFont="1" applyAlignment="1" applyProtection="1">
      <alignment vertical="center"/>
      <protection locked="0"/>
    </xf>
    <xf numFmtId="0" fontId="30" fillId="0" borderId="0" xfId="0" applyFont="1" applyAlignment="1" applyProtection="1">
      <alignment vertical="center"/>
      <protection locked="0"/>
    </xf>
    <xf numFmtId="1" fontId="16" fillId="0" borderId="0" xfId="2" applyNumberFormat="1" applyFont="1" applyBorder="1" applyAlignment="1" applyProtection="1">
      <alignment vertical="center" wrapText="1"/>
      <protection locked="0"/>
    </xf>
    <xf numFmtId="1" fontId="16" fillId="0" borderId="0" xfId="2" applyNumberFormat="1" applyFont="1" applyBorder="1" applyAlignment="1" applyProtection="1">
      <alignment horizontal="center" vertical="center"/>
      <protection locked="0"/>
    </xf>
    <xf numFmtId="0" fontId="16" fillId="0" borderId="0" xfId="3" applyFont="1" applyAlignment="1" applyProtection="1">
      <alignment horizontal="center" vertical="center"/>
      <protection locked="0"/>
    </xf>
    <xf numFmtId="0" fontId="16" fillId="0" borderId="0" xfId="3" applyFont="1" applyAlignment="1" applyProtection="1">
      <alignment vertical="center"/>
      <protection locked="0"/>
    </xf>
    <xf numFmtId="1" fontId="16" fillId="0" borderId="0" xfId="2" applyNumberFormat="1" applyFont="1" applyBorder="1" applyAlignment="1" applyProtection="1">
      <alignment vertical="center"/>
      <protection locked="0"/>
    </xf>
    <xf numFmtId="1" fontId="18" fillId="0" borderId="0" xfId="2" applyNumberFormat="1" applyFont="1" applyBorder="1" applyAlignment="1" applyProtection="1">
      <alignment vertical="center"/>
      <protection locked="0"/>
    </xf>
    <xf numFmtId="1" fontId="16" fillId="0" borderId="0" xfId="2" applyNumberFormat="1" applyFont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vertical="center"/>
      <protection locked="0"/>
    </xf>
    <xf numFmtId="0" fontId="16" fillId="0" borderId="0" xfId="2" applyNumberFormat="1" applyFont="1" applyBorder="1" applyAlignment="1" applyProtection="1">
      <alignment vertical="center"/>
      <protection locked="0"/>
    </xf>
    <xf numFmtId="0" fontId="18" fillId="0" borderId="0" xfId="2" applyNumberFormat="1" applyFont="1" applyBorder="1" applyAlignment="1" applyProtection="1">
      <alignment vertical="center"/>
      <protection locked="0"/>
    </xf>
    <xf numFmtId="0" fontId="34" fillId="0" borderId="0" xfId="11" applyAlignment="1" applyProtection="1">
      <alignment vertical="center"/>
      <protection locked="0"/>
    </xf>
    <xf numFmtId="0" fontId="35" fillId="0" borderId="0" xfId="0" applyFont="1" applyAlignment="1" applyProtection="1">
      <alignment vertical="center"/>
      <protection locked="0"/>
    </xf>
    <xf numFmtId="0" fontId="37" fillId="0" borderId="0" xfId="0" applyFont="1" applyAlignment="1" applyProtection="1">
      <alignment vertical="center"/>
      <protection locked="0"/>
    </xf>
    <xf numFmtId="0" fontId="8" fillId="0" borderId="4" xfId="0" applyFont="1" applyBorder="1" applyAlignment="1" applyProtection="1">
      <alignment vertical="center"/>
      <protection locked="0"/>
    </xf>
    <xf numFmtId="14" fontId="8" fillId="0" borderId="4" xfId="0" applyNumberFormat="1" applyFont="1" applyBorder="1" applyAlignment="1" applyProtection="1">
      <alignment horizontal="center" vertical="center"/>
      <protection locked="0"/>
    </xf>
    <xf numFmtId="0" fontId="18" fillId="0" borderId="0" xfId="4" applyFont="1" applyBorder="1" applyAlignment="1" applyProtection="1">
      <alignment vertical="center" wrapText="1"/>
      <protection locked="0"/>
    </xf>
    <xf numFmtId="1" fontId="16" fillId="0" borderId="0" xfId="2" applyNumberFormat="1" applyFont="1" applyBorder="1" applyAlignment="1" applyProtection="1">
      <alignment horizontal="center" vertical="top" wrapText="1"/>
      <protection locked="0"/>
    </xf>
    <xf numFmtId="0" fontId="16" fillId="0" borderId="0" xfId="4" applyFont="1" applyBorder="1" applyAlignment="1" applyProtection="1">
      <alignment horizontal="center" vertical="center" wrapText="1"/>
      <protection locked="0"/>
    </xf>
    <xf numFmtId="165" fontId="16" fillId="0" borderId="0" xfId="4" applyNumberFormat="1" applyFont="1" applyBorder="1" applyAlignment="1" applyProtection="1">
      <alignment vertical="center"/>
      <protection locked="0"/>
    </xf>
    <xf numFmtId="1" fontId="16" fillId="0" borderId="0" xfId="2" applyNumberFormat="1" applyFont="1" applyBorder="1" applyAlignment="1" applyProtection="1">
      <alignment vertical="top" wrapText="1"/>
      <protection locked="0"/>
    </xf>
    <xf numFmtId="0" fontId="10" fillId="0" borderId="18" xfId="0" applyFont="1" applyBorder="1" applyAlignment="1">
      <alignment horizontal="left" vertical="center"/>
    </xf>
    <xf numFmtId="0" fontId="11" fillId="0" borderId="17" xfId="0" applyFont="1" applyBorder="1" applyAlignment="1">
      <alignment vertical="center"/>
    </xf>
    <xf numFmtId="0" fontId="10" fillId="0" borderId="17" xfId="0" applyFont="1" applyBorder="1" applyAlignment="1">
      <alignment horizontal="left" vertical="center"/>
    </xf>
    <xf numFmtId="0" fontId="10" fillId="0" borderId="21" xfId="0" applyFont="1" applyBorder="1" applyAlignment="1">
      <alignment horizontal="left" vertical="center"/>
    </xf>
    <xf numFmtId="0" fontId="10" fillId="0" borderId="19" xfId="0" applyFont="1" applyBorder="1" applyAlignment="1">
      <alignment horizontal="left" vertical="center"/>
    </xf>
    <xf numFmtId="0" fontId="10" fillId="0" borderId="8" xfId="0" applyFont="1" applyBorder="1" applyAlignment="1">
      <alignment horizontal="left" vertical="center"/>
    </xf>
    <xf numFmtId="0" fontId="10" fillId="0" borderId="22" xfId="0" applyFont="1" applyBorder="1" applyAlignment="1">
      <alignment horizontal="left" vertical="center" wrapText="1"/>
    </xf>
    <xf numFmtId="0" fontId="10" fillId="0" borderId="22" xfId="0" applyFont="1" applyBorder="1" applyAlignment="1">
      <alignment horizontal="left" vertical="center"/>
    </xf>
    <xf numFmtId="14" fontId="17" fillId="0" borderId="0" xfId="0" applyNumberFormat="1" applyFont="1" applyAlignment="1">
      <alignment horizontal="center" vertical="center"/>
    </xf>
    <xf numFmtId="1" fontId="16" fillId="0" borderId="0" xfId="2" applyNumberFormat="1" applyFont="1" applyBorder="1" applyAlignment="1" applyProtection="1">
      <alignment horizontal="center" vertical="center"/>
    </xf>
    <xf numFmtId="165" fontId="16" fillId="0" borderId="0" xfId="4" applyNumberFormat="1" applyFont="1" applyBorder="1" applyAlignment="1" applyProtection="1">
      <alignment horizontal="center" vertical="center"/>
    </xf>
    <xf numFmtId="1" fontId="16" fillId="0" borderId="0" xfId="2" applyNumberFormat="1" applyFont="1" applyBorder="1" applyAlignment="1" applyProtection="1">
      <alignment horizontal="center" vertical="center" wrapText="1"/>
    </xf>
    <xf numFmtId="0" fontId="21" fillId="0" borderId="1" xfId="0" applyFont="1" applyBorder="1" applyAlignment="1" applyProtection="1">
      <alignment vertical="center"/>
      <protection locked="0"/>
    </xf>
    <xf numFmtId="0" fontId="12" fillId="0" borderId="0" xfId="0" applyFont="1" applyAlignment="1">
      <alignment horizontal="center"/>
    </xf>
    <xf numFmtId="0" fontId="9" fillId="0" borderId="0" xfId="0" applyFont="1" applyAlignment="1">
      <alignment vertical="center"/>
    </xf>
    <xf numFmtId="1" fontId="16" fillId="0" borderId="0" xfId="2" applyNumberFormat="1" applyFont="1" applyFill="1" applyBorder="1" applyAlignment="1" applyProtection="1">
      <alignment horizontal="center" vertical="center"/>
    </xf>
    <xf numFmtId="1" fontId="18" fillId="0" borderId="0" xfId="2" applyNumberFormat="1" applyFont="1" applyFill="1" applyBorder="1" applyAlignment="1" applyProtection="1">
      <alignment horizontal="center" vertical="center"/>
      <protection locked="0"/>
    </xf>
    <xf numFmtId="1" fontId="16" fillId="0" borderId="0" xfId="2" applyNumberFormat="1" applyFont="1" applyFill="1" applyBorder="1" applyAlignment="1" applyProtection="1">
      <alignment horizontal="center" vertical="center" wrapText="1"/>
      <protection locked="0"/>
    </xf>
    <xf numFmtId="1" fontId="16" fillId="0" borderId="0" xfId="2" applyNumberFormat="1" applyFont="1" applyFill="1" applyBorder="1" applyAlignment="1" applyProtection="1">
      <alignment horizontal="center" vertical="center"/>
      <protection locked="0"/>
    </xf>
    <xf numFmtId="0" fontId="16" fillId="0" borderId="0" xfId="4" applyFont="1" applyFill="1" applyBorder="1" applyAlignment="1" applyProtection="1">
      <alignment horizontal="center" vertical="center" wrapText="1"/>
      <protection locked="0"/>
    </xf>
    <xf numFmtId="165" fontId="16" fillId="0" borderId="0" xfId="4" applyNumberFormat="1" applyFont="1" applyFill="1" applyBorder="1" applyAlignment="1" applyProtection="1">
      <alignment vertical="center"/>
      <protection locked="0"/>
    </xf>
    <xf numFmtId="0" fontId="16" fillId="0" borderId="0" xfId="2" applyNumberFormat="1" applyFont="1" applyFill="1" applyBorder="1" applyAlignment="1" applyProtection="1">
      <alignment horizontal="center" vertical="center"/>
      <protection locked="0"/>
    </xf>
    <xf numFmtId="0" fontId="18" fillId="0" borderId="0" xfId="2" applyNumberFormat="1" applyFont="1" applyFill="1" applyBorder="1" applyAlignment="1" applyProtection="1">
      <alignment horizontal="center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9" fillId="0" borderId="12" xfId="0" applyFont="1" applyBorder="1" applyAlignment="1" applyProtection="1">
      <alignment horizontal="center" vertical="center"/>
      <protection locked="0"/>
    </xf>
    <xf numFmtId="0" fontId="22" fillId="0" borderId="0" xfId="0" applyFont="1" applyAlignment="1">
      <alignment vertical="center"/>
    </xf>
    <xf numFmtId="0" fontId="12" fillId="0" borderId="1" xfId="0" applyFont="1" applyBorder="1" applyAlignment="1">
      <alignment horizontal="left" vertical="center" wrapText="1"/>
    </xf>
    <xf numFmtId="167" fontId="12" fillId="0" borderId="5" xfId="0" applyNumberFormat="1" applyFont="1" applyBorder="1" applyAlignment="1">
      <alignment horizontal="center" vertical="center" wrapText="1"/>
    </xf>
    <xf numFmtId="166" fontId="18" fillId="3" borderId="5" xfId="0" applyNumberFormat="1" applyFont="1" applyFill="1" applyBorder="1" applyAlignment="1">
      <alignment horizontal="center" vertical="center" wrapText="1"/>
    </xf>
    <xf numFmtId="167" fontId="18" fillId="3" borderId="5" xfId="0" applyNumberFormat="1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left" vertical="center" wrapText="1"/>
    </xf>
    <xf numFmtId="0" fontId="8" fillId="0" borderId="19" xfId="0" applyFont="1" applyBorder="1" applyAlignment="1" applyProtection="1">
      <alignment horizontal="center" vertical="center"/>
      <protection locked="0"/>
    </xf>
    <xf numFmtId="0" fontId="8" fillId="0" borderId="19" xfId="0" applyFont="1" applyBorder="1" applyAlignment="1" applyProtection="1">
      <alignment horizontal="left" vertical="center"/>
      <protection locked="0"/>
    </xf>
    <xf numFmtId="0" fontId="8" fillId="0" borderId="8" xfId="0" applyFont="1" applyBorder="1" applyAlignment="1" applyProtection="1">
      <alignment horizontal="center" vertical="center"/>
      <protection locked="0"/>
    </xf>
    <xf numFmtId="0" fontId="8" fillId="0" borderId="8" xfId="0" applyFont="1" applyBorder="1" applyAlignment="1" applyProtection="1">
      <alignment horizontal="left" vertical="center"/>
      <protection locked="0"/>
    </xf>
    <xf numFmtId="0" fontId="10" fillId="0" borderId="19" xfId="0" applyFont="1" applyBorder="1" applyAlignment="1" applyProtection="1">
      <alignment vertical="center"/>
      <protection locked="0"/>
    </xf>
    <xf numFmtId="0" fontId="11" fillId="0" borderId="8" xfId="0" applyFont="1" applyBorder="1" applyAlignment="1" applyProtection="1">
      <alignment vertical="center"/>
      <protection locked="0"/>
    </xf>
    <xf numFmtId="0" fontId="10" fillId="0" borderId="8" xfId="0" applyFont="1" applyBorder="1" applyAlignment="1" applyProtection="1">
      <alignment vertical="center"/>
      <protection locked="0"/>
    </xf>
    <xf numFmtId="0" fontId="29" fillId="0" borderId="8" xfId="0" applyFont="1" applyBorder="1" applyAlignment="1" applyProtection="1">
      <alignment horizontal="left" vertical="center"/>
      <protection locked="0"/>
    </xf>
    <xf numFmtId="0" fontId="8" fillId="0" borderId="22" xfId="0" applyFont="1" applyBorder="1" applyAlignment="1" applyProtection="1">
      <alignment horizontal="center" vertical="center"/>
      <protection locked="0"/>
    </xf>
    <xf numFmtId="0" fontId="8" fillId="0" borderId="22" xfId="0" applyFont="1" applyBorder="1" applyAlignment="1" applyProtection="1">
      <alignment horizontal="left" vertical="center"/>
      <protection locked="0"/>
    </xf>
    <xf numFmtId="0" fontId="10" fillId="0" borderId="22" xfId="0" applyFont="1" applyBorder="1" applyAlignment="1" applyProtection="1">
      <alignment vertical="center"/>
      <protection locked="0"/>
    </xf>
    <xf numFmtId="0" fontId="16" fillId="0" borderId="0" xfId="2" applyNumberFormat="1" applyFont="1" applyBorder="1" applyAlignment="1" applyProtection="1">
      <alignment horizontal="center" vertical="center"/>
      <protection locked="0"/>
    </xf>
    <xf numFmtId="0" fontId="38" fillId="4" borderId="30" xfId="0" applyFont="1" applyFill="1" applyBorder="1" applyAlignment="1" applyProtection="1">
      <alignment horizontal="center" vertical="center"/>
      <protection locked="0"/>
    </xf>
    <xf numFmtId="0" fontId="39" fillId="2" borderId="1" xfId="0" applyFont="1" applyFill="1" applyBorder="1" applyAlignment="1" applyProtection="1">
      <alignment horizontal="center" vertical="center" wrapText="1"/>
      <protection locked="0"/>
    </xf>
    <xf numFmtId="0" fontId="29" fillId="0" borderId="19" xfId="0" applyFont="1" applyBorder="1" applyAlignment="1" applyProtection="1">
      <alignment horizontal="left" vertical="center"/>
      <protection locked="0"/>
    </xf>
    <xf numFmtId="0" fontId="40" fillId="0" borderId="8" xfId="0" applyFont="1" applyBorder="1" applyAlignment="1" applyProtection="1">
      <alignment horizontal="left" vertical="center"/>
      <protection locked="0"/>
    </xf>
    <xf numFmtId="0" fontId="29" fillId="0" borderId="22" xfId="0" applyFont="1" applyBorder="1" applyAlignment="1" applyProtection="1">
      <alignment horizontal="left" vertical="center"/>
      <protection locked="0"/>
    </xf>
    <xf numFmtId="0" fontId="41" fillId="0" borderId="8" xfId="0" applyFont="1" applyBorder="1" applyAlignment="1">
      <alignment horizontal="left" vertical="center" wrapText="1"/>
    </xf>
    <xf numFmtId="0" fontId="41" fillId="0" borderId="8" xfId="0" applyFont="1" applyBorder="1" applyAlignment="1">
      <alignment horizontal="left" vertical="center"/>
    </xf>
    <xf numFmtId="0" fontId="42" fillId="0" borderId="8" xfId="0" applyFont="1" applyBorder="1" applyAlignment="1">
      <alignment horizontal="left" vertical="center"/>
    </xf>
    <xf numFmtId="0" fontId="18" fillId="3" borderId="1" xfId="0" applyFont="1" applyFill="1" applyBorder="1" applyAlignment="1">
      <alignment horizontal="center" vertical="center" wrapText="1"/>
    </xf>
    <xf numFmtId="0" fontId="18" fillId="3" borderId="7" xfId="0" applyFont="1" applyFill="1" applyBorder="1" applyAlignment="1">
      <alignment horizontal="center" vertical="center" wrapText="1"/>
    </xf>
    <xf numFmtId="0" fontId="5" fillId="0" borderId="0" xfId="0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14" fontId="21" fillId="0" borderId="0" xfId="0" applyNumberFormat="1" applyFont="1" applyAlignment="1" applyProtection="1">
      <alignment horizontal="center" vertical="center"/>
      <protection locked="0"/>
    </xf>
    <xf numFmtId="0" fontId="15" fillId="0" borderId="0" xfId="0" applyFont="1" applyAlignment="1">
      <alignment vertical="center"/>
    </xf>
    <xf numFmtId="1" fontId="18" fillId="0" borderId="0" xfId="2" applyNumberFormat="1" applyFont="1" applyFill="1" applyBorder="1" applyAlignment="1" applyProtection="1">
      <alignment horizontal="center" vertical="center"/>
    </xf>
    <xf numFmtId="165" fontId="16" fillId="0" borderId="0" xfId="4" applyNumberFormat="1" applyFont="1" applyFill="1" applyBorder="1" applyAlignment="1" applyProtection="1">
      <alignment vertical="center"/>
    </xf>
    <xf numFmtId="0" fontId="18" fillId="0" borderId="0" xfId="2" applyNumberFormat="1" applyFont="1" applyFill="1" applyBorder="1" applyAlignment="1" applyProtection="1">
      <alignment horizontal="center" vertical="center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8" fillId="0" borderId="22" xfId="0" applyFont="1" applyBorder="1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19" fillId="0" borderId="19" xfId="0" applyFont="1" applyBorder="1" applyAlignment="1" applyProtection="1">
      <alignment vertical="center"/>
      <protection locked="0"/>
    </xf>
    <xf numFmtId="0" fontId="19" fillId="0" borderId="19" xfId="0" applyFont="1" applyBorder="1" applyAlignment="1" applyProtection="1">
      <alignment horizontal="center" vertical="center"/>
      <protection locked="0"/>
    </xf>
    <xf numFmtId="0" fontId="19" fillId="0" borderId="8" xfId="0" applyFont="1" applyBorder="1" applyAlignment="1" applyProtection="1">
      <alignment vertical="center"/>
      <protection locked="0"/>
    </xf>
    <xf numFmtId="0" fontId="19" fillId="0" borderId="8" xfId="0" applyFont="1" applyBorder="1" applyAlignment="1" applyProtection="1">
      <alignment horizontal="center" vertical="center"/>
      <protection locked="0"/>
    </xf>
    <xf numFmtId="0" fontId="19" fillId="0" borderId="22" xfId="0" applyFont="1" applyBorder="1" applyAlignment="1" applyProtection="1">
      <alignment vertical="center"/>
      <protection locked="0"/>
    </xf>
    <xf numFmtId="0" fontId="19" fillId="0" borderId="22" xfId="0" applyFont="1" applyBorder="1" applyAlignment="1" applyProtection="1">
      <alignment horizontal="center" vertical="center"/>
      <protection locked="0"/>
    </xf>
    <xf numFmtId="0" fontId="10" fillId="0" borderId="8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2" xfId="0" applyFont="1" applyBorder="1" applyAlignment="1">
      <alignment vertical="center"/>
    </xf>
    <xf numFmtId="0" fontId="4" fillId="2" borderId="40" xfId="0" applyFont="1" applyFill="1" applyBorder="1" applyAlignment="1" applyProtection="1">
      <alignment horizontal="center" vertical="center"/>
      <protection locked="0"/>
    </xf>
    <xf numFmtId="0" fontId="12" fillId="3" borderId="41" xfId="0" applyFont="1" applyFill="1" applyBorder="1" applyAlignment="1">
      <alignment horizontal="left" vertical="center" wrapText="1"/>
    </xf>
    <xf numFmtId="167" fontId="18" fillId="3" borderId="42" xfId="0" applyNumberFormat="1" applyFont="1" applyFill="1" applyBorder="1" applyAlignment="1">
      <alignment horizontal="center" vertical="center" wrapText="1"/>
    </xf>
    <xf numFmtId="167" fontId="12" fillId="0" borderId="42" xfId="0" applyNumberFormat="1" applyFont="1" applyBorder="1" applyAlignment="1">
      <alignment horizontal="center" vertical="center" wrapText="1"/>
    </xf>
    <xf numFmtId="0" fontId="33" fillId="2" borderId="43" xfId="0" applyFont="1" applyFill="1" applyBorder="1" applyAlignment="1" applyProtection="1">
      <alignment vertical="center" wrapText="1"/>
      <protection locked="0"/>
    </xf>
    <xf numFmtId="0" fontId="17" fillId="2" borderId="44" xfId="0" applyFont="1" applyFill="1" applyBorder="1" applyAlignment="1" applyProtection="1">
      <alignment horizontal="center" vertical="center" wrapText="1"/>
      <protection locked="0"/>
    </xf>
    <xf numFmtId="167" fontId="29" fillId="2" borderId="44" xfId="0" applyNumberFormat="1" applyFont="1" applyFill="1" applyBorder="1" applyAlignment="1">
      <alignment horizontal="center" vertical="center" wrapText="1"/>
    </xf>
    <xf numFmtId="167" fontId="29" fillId="2" borderId="45" xfId="0" applyNumberFormat="1" applyFont="1" applyFill="1" applyBorder="1" applyAlignment="1">
      <alignment horizontal="center" vertical="center" wrapText="1"/>
    </xf>
    <xf numFmtId="0" fontId="32" fillId="3" borderId="42" xfId="0" applyFont="1" applyFill="1" applyBorder="1" applyAlignment="1">
      <alignment horizontal="left" vertical="center" wrapText="1"/>
    </xf>
    <xf numFmtId="0" fontId="33" fillId="2" borderId="48" xfId="0" applyFont="1" applyFill="1" applyBorder="1" applyAlignment="1">
      <alignment horizontal="left" vertical="center" wrapText="1"/>
    </xf>
    <xf numFmtId="0" fontId="33" fillId="2" borderId="49" xfId="0" applyFont="1" applyFill="1" applyBorder="1" applyAlignment="1" applyProtection="1">
      <alignment vertical="center" wrapText="1"/>
      <protection locked="0"/>
    </xf>
    <xf numFmtId="0" fontId="33" fillId="2" borderId="50" xfId="0" applyFont="1" applyFill="1" applyBorder="1" applyAlignment="1" applyProtection="1">
      <alignment vertical="center" wrapText="1"/>
      <protection locked="0"/>
    </xf>
    <xf numFmtId="0" fontId="17" fillId="2" borderId="44" xfId="0" applyFont="1" applyFill="1" applyBorder="1" applyAlignment="1" applyProtection="1">
      <alignment vertical="center" wrapText="1"/>
      <protection locked="0"/>
    </xf>
    <xf numFmtId="0" fontId="17" fillId="2" borderId="45" xfId="0" applyFont="1" applyFill="1" applyBorder="1" applyAlignment="1" applyProtection="1">
      <alignment horizontal="left" vertical="center" wrapText="1"/>
      <protection locked="0"/>
    </xf>
    <xf numFmtId="0" fontId="8" fillId="0" borderId="37" xfId="0" applyFont="1" applyBorder="1" applyAlignment="1" applyProtection="1">
      <alignment vertical="center"/>
      <protection locked="0"/>
    </xf>
    <xf numFmtId="0" fontId="19" fillId="0" borderId="63" xfId="0" applyFont="1" applyBorder="1" applyAlignment="1" applyProtection="1">
      <alignment horizontal="center" vertical="center"/>
      <protection locked="0"/>
    </xf>
    <xf numFmtId="0" fontId="19" fillId="0" borderId="65" xfId="0" applyFont="1" applyBorder="1" applyAlignment="1" applyProtection="1">
      <alignment horizontal="center" vertical="center"/>
      <protection locked="0"/>
    </xf>
    <xf numFmtId="0" fontId="39" fillId="5" borderId="1" xfId="0" applyFont="1" applyFill="1" applyBorder="1" applyAlignment="1" applyProtection="1">
      <alignment horizontal="center" vertical="center" wrapText="1"/>
      <protection locked="0"/>
    </xf>
    <xf numFmtId="0" fontId="39" fillId="6" borderId="1" xfId="0" applyFont="1" applyFill="1" applyBorder="1" applyAlignment="1" applyProtection="1">
      <alignment horizontal="center" vertical="center" wrapText="1"/>
      <protection locked="0"/>
    </xf>
    <xf numFmtId="0" fontId="39" fillId="7" borderId="1" xfId="0" applyFont="1" applyFill="1" applyBorder="1" applyAlignment="1" applyProtection="1">
      <alignment horizontal="center" vertical="center" wrapText="1"/>
      <protection locked="0"/>
    </xf>
    <xf numFmtId="2" fontId="12" fillId="0" borderId="1" xfId="0" applyNumberFormat="1" applyFont="1" applyBorder="1" applyAlignment="1" applyProtection="1">
      <alignment horizontal="center" vertical="center" wrapText="1"/>
      <protection locked="0"/>
    </xf>
    <xf numFmtId="0" fontId="17" fillId="3" borderId="1" xfId="0" applyFont="1" applyFill="1" applyBorder="1" applyAlignment="1">
      <alignment horizontal="left" vertical="center"/>
    </xf>
    <xf numFmtId="0" fontId="21" fillId="0" borderId="37" xfId="0" applyFont="1" applyBorder="1" applyAlignment="1" applyProtection="1">
      <alignment vertical="center"/>
      <protection locked="0"/>
    </xf>
    <xf numFmtId="0" fontId="9" fillId="0" borderId="63" xfId="0" applyFont="1" applyBorder="1" applyAlignment="1" applyProtection="1">
      <alignment vertical="center"/>
      <protection locked="0"/>
    </xf>
    <xf numFmtId="0" fontId="9" fillId="0" borderId="65" xfId="0" applyFont="1" applyBorder="1" applyAlignment="1" applyProtection="1">
      <alignment vertical="center"/>
      <protection locked="0"/>
    </xf>
    <xf numFmtId="0" fontId="9" fillId="0" borderId="67" xfId="0" applyFont="1" applyBorder="1" applyAlignment="1" applyProtection="1">
      <alignment vertical="center"/>
      <protection locked="0"/>
    </xf>
    <xf numFmtId="0" fontId="17" fillId="3" borderId="41" xfId="0" applyFont="1" applyFill="1" applyBorder="1" applyAlignment="1">
      <alignment horizontal="center" vertical="center"/>
    </xf>
    <xf numFmtId="0" fontId="12" fillId="0" borderId="41" xfId="0" applyFont="1" applyBorder="1" applyAlignment="1">
      <alignment horizontal="center" vertical="center" wrapText="1"/>
    </xf>
    <xf numFmtId="0" fontId="12" fillId="0" borderId="40" xfId="0" applyFont="1" applyBorder="1" applyAlignment="1" applyProtection="1">
      <alignment horizontal="left" vertical="center" wrapText="1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16" fillId="3" borderId="39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left" vertical="center"/>
    </xf>
    <xf numFmtId="0" fontId="16" fillId="3" borderId="41" xfId="0" applyFont="1" applyFill="1" applyBorder="1" applyAlignment="1">
      <alignment horizontal="center" vertical="center"/>
    </xf>
    <xf numFmtId="0" fontId="17" fillId="3" borderId="1" xfId="0" applyFont="1" applyFill="1" applyBorder="1" applyAlignment="1" applyProtection="1">
      <alignment horizontal="left" vertical="center" wrapText="1"/>
      <protection locked="0"/>
    </xf>
    <xf numFmtId="0" fontId="17" fillId="3" borderId="1" xfId="0" applyFont="1" applyFill="1" applyBorder="1" applyAlignment="1" applyProtection="1">
      <alignment horizontal="center" vertical="center" wrapText="1"/>
      <protection locked="0"/>
    </xf>
    <xf numFmtId="0" fontId="12" fillId="3" borderId="40" xfId="0" applyFont="1" applyFill="1" applyBorder="1" applyAlignment="1" applyProtection="1">
      <alignment horizontal="left" vertical="center" wrapText="1"/>
      <protection locked="0"/>
    </xf>
    <xf numFmtId="168" fontId="17" fillId="3" borderId="1" xfId="0" applyNumberFormat="1" applyFont="1" applyFill="1" applyBorder="1" applyAlignment="1" applyProtection="1">
      <alignment horizontal="center" vertical="center" wrapText="1"/>
      <protection locked="0"/>
    </xf>
    <xf numFmtId="168" fontId="12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12" fillId="3" borderId="1" xfId="0" applyFont="1" applyFill="1" applyBorder="1" applyAlignment="1" applyProtection="1">
      <alignment horizontal="left" vertical="center" wrapText="1"/>
      <protection locked="0"/>
    </xf>
    <xf numFmtId="0" fontId="12" fillId="3" borderId="1" xfId="0" applyFont="1" applyFill="1" applyBorder="1" applyAlignment="1" applyProtection="1">
      <alignment horizontal="center" vertical="center" wrapText="1"/>
      <protection locked="0"/>
    </xf>
    <xf numFmtId="14" fontId="17" fillId="0" borderId="0" xfId="0" applyNumberFormat="1" applyFont="1" applyAlignment="1" applyProtection="1">
      <alignment horizontal="center" vertical="center"/>
      <protection locked="0"/>
    </xf>
    <xf numFmtId="166" fontId="18" fillId="0" borderId="5" xfId="0" applyNumberFormat="1" applyFont="1" applyBorder="1" applyAlignment="1">
      <alignment horizontal="center" vertical="center" wrapText="1"/>
    </xf>
    <xf numFmtId="0" fontId="17" fillId="3" borderId="1" xfId="0" applyFont="1" applyFill="1" applyBorder="1" applyAlignment="1" applyProtection="1">
      <alignment vertical="center" wrapText="1"/>
      <protection locked="0"/>
    </xf>
    <xf numFmtId="0" fontId="12" fillId="0" borderId="1" xfId="0" applyFont="1" applyBorder="1" applyAlignment="1">
      <alignment vertical="center" wrapText="1"/>
    </xf>
    <xf numFmtId="0" fontId="12" fillId="0" borderId="1" xfId="0" applyFont="1" applyBorder="1" applyAlignment="1" applyProtection="1">
      <alignment vertical="center" wrapText="1"/>
      <protection locked="0"/>
    </xf>
    <xf numFmtId="0" fontId="12" fillId="3" borderId="1" xfId="0" applyFont="1" applyFill="1" applyBorder="1" applyAlignment="1" applyProtection="1">
      <alignment vertical="center" wrapText="1"/>
      <protection locked="0"/>
    </xf>
    <xf numFmtId="0" fontId="8" fillId="0" borderId="73" xfId="0" applyFont="1" applyBorder="1" applyAlignment="1" applyProtection="1">
      <alignment horizontal="left" vertical="center"/>
      <protection locked="0"/>
    </xf>
    <xf numFmtId="0" fontId="8" fillId="0" borderId="74" xfId="0" applyFont="1" applyBorder="1" applyAlignment="1" applyProtection="1">
      <alignment horizontal="left" vertical="center"/>
      <protection locked="0"/>
    </xf>
    <xf numFmtId="0" fontId="8" fillId="0" borderId="75" xfId="0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wrapText="1"/>
    </xf>
    <xf numFmtId="0" fontId="18" fillId="8" borderId="1" xfId="0" applyFont="1" applyFill="1" applyBorder="1" applyAlignment="1">
      <alignment horizontal="center" vertical="center" wrapText="1"/>
    </xf>
    <xf numFmtId="0" fontId="18" fillId="8" borderId="1" xfId="0" applyFont="1" applyFill="1" applyBorder="1" applyAlignment="1">
      <alignment horizontal="left" vertical="center" wrapText="1"/>
    </xf>
    <xf numFmtId="0" fontId="12" fillId="8" borderId="1" xfId="0" applyFont="1" applyFill="1" applyBorder="1" applyAlignment="1">
      <alignment horizontal="center" vertical="center" wrapText="1"/>
    </xf>
    <xf numFmtId="0" fontId="18" fillId="8" borderId="1" xfId="0" applyFont="1" applyFill="1" applyBorder="1" applyAlignment="1">
      <alignment horizontal="left" vertical="center"/>
    </xf>
    <xf numFmtId="0" fontId="45" fillId="0" borderId="1" xfId="0" applyFont="1" applyBorder="1" applyAlignment="1">
      <alignment horizontal="left" vertical="center" wrapText="1"/>
    </xf>
    <xf numFmtId="0" fontId="17" fillId="3" borderId="2" xfId="0" applyFont="1" applyFill="1" applyBorder="1" applyAlignment="1" applyProtection="1">
      <alignment horizontal="left" vertical="center" wrapText="1"/>
      <protection locked="0"/>
    </xf>
    <xf numFmtId="2" fontId="12" fillId="0" borderId="2" xfId="0" applyNumberFormat="1" applyFont="1" applyBorder="1" applyAlignment="1" applyProtection="1">
      <alignment horizontal="left" vertical="center" wrapText="1"/>
      <protection locked="0"/>
    </xf>
    <xf numFmtId="168" fontId="17" fillId="3" borderId="2" xfId="0" applyNumberFormat="1" applyFont="1" applyFill="1" applyBorder="1" applyAlignment="1" applyProtection="1">
      <alignment horizontal="left" vertical="center" wrapText="1"/>
      <protection locked="0"/>
    </xf>
    <xf numFmtId="168" fontId="12" fillId="3" borderId="2" xfId="0" applyNumberFormat="1" applyFont="1" applyFill="1" applyBorder="1" applyAlignment="1" applyProtection="1">
      <alignment horizontal="left" vertical="center" wrapText="1"/>
      <protection locked="0"/>
    </xf>
    <xf numFmtId="2" fontId="12" fillId="0" borderId="2" xfId="0" quotePrefix="1" applyNumberFormat="1" applyFont="1" applyBorder="1" applyAlignment="1" applyProtection="1">
      <alignment horizontal="left" vertical="center" wrapText="1"/>
      <protection locked="0"/>
    </xf>
    <xf numFmtId="0" fontId="18" fillId="0" borderId="41" xfId="0" applyFont="1" applyBorder="1" applyAlignment="1" applyProtection="1">
      <alignment horizontal="center" vertical="center" wrapText="1"/>
      <protection locked="0"/>
    </xf>
    <xf numFmtId="0" fontId="18" fillId="0" borderId="1" xfId="0" applyFont="1" applyBorder="1" applyAlignment="1" applyProtection="1">
      <alignment horizontal="center" vertical="center" wrapText="1"/>
      <protection locked="0"/>
    </xf>
    <xf numFmtId="0" fontId="18" fillId="0" borderId="41" xfId="0" applyFont="1" applyBorder="1" applyAlignment="1">
      <alignment horizontal="left" vertical="center" wrapText="1"/>
    </xf>
    <xf numFmtId="167" fontId="18" fillId="0" borderId="5" xfId="0" applyNumberFormat="1" applyFont="1" applyBorder="1" applyAlignment="1">
      <alignment horizontal="center" vertical="center" wrapText="1"/>
    </xf>
    <xf numFmtId="167" fontId="18" fillId="0" borderId="42" xfId="0" applyNumberFormat="1" applyFont="1" applyBorder="1" applyAlignment="1">
      <alignment horizontal="center" vertical="center" wrapText="1"/>
    </xf>
    <xf numFmtId="0" fontId="18" fillId="0" borderId="76" xfId="0" applyFont="1" applyBorder="1" applyAlignment="1" applyProtection="1">
      <alignment horizontal="left" vertical="center" wrapText="1"/>
      <protection locked="0"/>
    </xf>
    <xf numFmtId="0" fontId="12" fillId="0" borderId="76" xfId="0" applyFont="1" applyBorder="1" applyAlignment="1" applyProtection="1">
      <alignment horizontal="left" vertical="center" wrapText="1"/>
      <protection locked="0"/>
    </xf>
    <xf numFmtId="0" fontId="18" fillId="3" borderId="76" xfId="0" applyFont="1" applyFill="1" applyBorder="1" applyAlignment="1">
      <alignment horizontal="left" vertical="center" wrapText="1"/>
    </xf>
    <xf numFmtId="0" fontId="18" fillId="8" borderId="76" xfId="0" applyFont="1" applyFill="1" applyBorder="1" applyAlignment="1">
      <alignment horizontal="left" vertical="center" wrapText="1"/>
    </xf>
    <xf numFmtId="168" fontId="18" fillId="8" borderId="5" xfId="0" applyNumberFormat="1" applyFont="1" applyFill="1" applyBorder="1" applyAlignment="1">
      <alignment horizontal="center" vertical="center" wrapText="1"/>
    </xf>
    <xf numFmtId="0" fontId="12" fillId="0" borderId="1" xfId="0" applyFont="1" applyBorder="1" applyAlignment="1" applyProtection="1">
      <alignment horizontal="center" vertical="center"/>
      <protection locked="0"/>
    </xf>
    <xf numFmtId="0" fontId="39" fillId="2" borderId="46" xfId="0" applyFont="1" applyFill="1" applyBorder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vertical="center"/>
      <protection locked="0"/>
    </xf>
    <xf numFmtId="0" fontId="39" fillId="2" borderId="5" xfId="0" applyFont="1" applyFill="1" applyBorder="1" applyAlignment="1" applyProtection="1">
      <alignment horizontal="center" vertical="top"/>
      <protection locked="0"/>
    </xf>
    <xf numFmtId="0" fontId="12" fillId="0" borderId="39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left" vertical="center" wrapText="1"/>
    </xf>
    <xf numFmtId="0" fontId="12" fillId="0" borderId="5" xfId="0" applyFont="1" applyBorder="1" applyAlignment="1">
      <alignment horizontal="center" vertical="center" wrapText="1"/>
    </xf>
    <xf numFmtId="0" fontId="17" fillId="3" borderId="77" xfId="0" applyFont="1" applyFill="1" applyBorder="1" applyAlignment="1">
      <alignment horizontal="center" vertical="center"/>
    </xf>
    <xf numFmtId="0" fontId="17" fillId="3" borderId="44" xfId="0" applyFont="1" applyFill="1" applyBorder="1" applyAlignment="1" applyProtection="1">
      <alignment horizontal="left" vertical="center" wrapText="1"/>
      <protection locked="0"/>
    </xf>
    <xf numFmtId="0" fontId="17" fillId="3" borderId="44" xfId="0" applyFont="1" applyFill="1" applyBorder="1" applyAlignment="1" applyProtection="1">
      <alignment horizontal="center" vertical="center" wrapText="1"/>
      <protection locked="0"/>
    </xf>
    <xf numFmtId="0" fontId="17" fillId="3" borderId="44" xfId="0" applyFont="1" applyFill="1" applyBorder="1" applyAlignment="1" applyProtection="1">
      <alignment vertical="center" wrapText="1"/>
      <protection locked="0"/>
    </xf>
    <xf numFmtId="0" fontId="17" fillId="3" borderId="48" xfId="0" applyFont="1" applyFill="1" applyBorder="1" applyAlignment="1" applyProtection="1">
      <alignment horizontal="left" vertical="center" wrapText="1"/>
      <protection locked="0"/>
    </xf>
    <xf numFmtId="0" fontId="12" fillId="3" borderId="45" xfId="0" applyFont="1" applyFill="1" applyBorder="1" applyAlignment="1" applyProtection="1">
      <alignment horizontal="left" vertical="center" wrapText="1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50" fillId="0" borderId="0" xfId="0" applyFont="1" applyAlignment="1">
      <alignment horizontal="center" vertical="center"/>
    </xf>
    <xf numFmtId="0" fontId="8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4" fontId="8" fillId="0" borderId="0" xfId="0" applyNumberFormat="1" applyFont="1" applyAlignment="1" applyProtection="1">
      <alignment horizontal="center" vertical="center"/>
      <protection locked="0"/>
    </xf>
    <xf numFmtId="0" fontId="29" fillId="0" borderId="80" xfId="0" applyFont="1" applyBorder="1" applyAlignment="1" applyProtection="1">
      <alignment horizontal="left" vertical="center"/>
      <protection locked="0"/>
    </xf>
    <xf numFmtId="0" fontId="19" fillId="0" borderId="80" xfId="0" applyFont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29" fillId="0" borderId="1" xfId="0" applyFont="1" applyBorder="1" applyAlignment="1" applyProtection="1">
      <alignment horizontal="left" vertical="center"/>
      <protection locked="0"/>
    </xf>
    <xf numFmtId="0" fontId="10" fillId="0" borderId="89" xfId="0" applyFont="1" applyBorder="1" applyAlignment="1">
      <alignment horizontal="left" vertical="center"/>
    </xf>
    <xf numFmtId="0" fontId="19" fillId="0" borderId="89" xfId="0" applyFont="1" applyBorder="1" applyAlignment="1" applyProtection="1">
      <alignment horizontal="center" vertical="center"/>
      <protection locked="0"/>
    </xf>
    <xf numFmtId="0" fontId="51" fillId="0" borderId="0" xfId="0" applyFont="1" applyAlignment="1">
      <alignment vertical="center"/>
    </xf>
    <xf numFmtId="0" fontId="41" fillId="3" borderId="41" xfId="0" applyFont="1" applyFill="1" applyBorder="1" applyAlignment="1">
      <alignment horizontal="center" vertical="center"/>
    </xf>
    <xf numFmtId="0" fontId="41" fillId="3" borderId="1" xfId="0" applyFont="1" applyFill="1" applyBorder="1" applyAlignment="1">
      <alignment horizontal="left" vertical="center"/>
    </xf>
    <xf numFmtId="0" fontId="32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left" vertical="center" wrapText="1"/>
    </xf>
    <xf numFmtId="0" fontId="32" fillId="3" borderId="2" xfId="0" applyFont="1" applyFill="1" applyBorder="1" applyAlignment="1">
      <alignment horizontal="left" vertical="center" wrapText="1"/>
    </xf>
    <xf numFmtId="0" fontId="5" fillId="3" borderId="1" xfId="0" applyFont="1" applyFill="1" applyBorder="1" applyAlignment="1">
      <alignment horizontal="center" vertical="center" wrapText="1"/>
    </xf>
    <xf numFmtId="166" fontId="32" fillId="3" borderId="5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51" fillId="0" borderId="0" xfId="0" applyFont="1" applyAlignment="1" applyProtection="1">
      <alignment vertical="center"/>
      <protection locked="0"/>
    </xf>
    <xf numFmtId="0" fontId="52" fillId="0" borderId="0" xfId="0" applyFont="1" applyAlignment="1">
      <alignment vertical="center"/>
    </xf>
    <xf numFmtId="0" fontId="53" fillId="0" borderId="41" xfId="0" quotePrefix="1" applyFont="1" applyBorder="1" applyAlignment="1" applyProtection="1">
      <alignment horizontal="center" vertical="center" wrapText="1"/>
      <protection locked="0"/>
    </xf>
    <xf numFmtId="0" fontId="53" fillId="0" borderId="1" xfId="0" applyFont="1" applyBorder="1" applyAlignment="1" applyProtection="1">
      <alignment horizontal="left" vertical="center" wrapText="1"/>
      <protection locked="0"/>
    </xf>
    <xf numFmtId="0" fontId="53" fillId="0" borderId="1" xfId="0" applyFont="1" applyBorder="1" applyAlignment="1" applyProtection="1">
      <alignment horizontal="center" vertical="center" wrapText="1"/>
      <protection locked="0"/>
    </xf>
    <xf numFmtId="0" fontId="53" fillId="0" borderId="2" xfId="0" applyFont="1" applyBorder="1" applyAlignment="1" applyProtection="1">
      <alignment horizontal="left" vertical="center" wrapText="1"/>
      <protection locked="0"/>
    </xf>
    <xf numFmtId="0" fontId="53" fillId="0" borderId="1" xfId="0" applyFont="1" applyBorder="1" applyAlignment="1">
      <alignment horizontal="left" vertical="center" wrapText="1"/>
    </xf>
    <xf numFmtId="0" fontId="53" fillId="0" borderId="1" xfId="0" applyFont="1" applyBorder="1" applyAlignment="1">
      <alignment horizontal="center" vertical="center" wrapText="1"/>
    </xf>
    <xf numFmtId="166" fontId="54" fillId="0" borderId="5" xfId="0" applyNumberFormat="1" applyFont="1" applyBorder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10" fillId="0" borderId="0" xfId="0" applyFont="1" applyAlignment="1" applyProtection="1">
      <alignment horizontal="center"/>
      <protection locked="0"/>
    </xf>
    <xf numFmtId="0" fontId="52" fillId="0" borderId="0" xfId="0" applyFont="1" applyAlignment="1" applyProtection="1">
      <alignment vertical="center"/>
      <protection locked="0"/>
    </xf>
    <xf numFmtId="0" fontId="55" fillId="0" borderId="1" xfId="0" applyFont="1" applyBorder="1" applyAlignment="1">
      <alignment horizontal="left" vertical="center"/>
    </xf>
    <xf numFmtId="0" fontId="55" fillId="0" borderId="1" xfId="0" applyFont="1" applyBorder="1" applyAlignment="1">
      <alignment horizontal="center" vertical="center"/>
    </xf>
    <xf numFmtId="0" fontId="53" fillId="0" borderId="1" xfId="0" quotePrefix="1" applyFont="1" applyBorder="1" applyAlignment="1" applyProtection="1">
      <alignment horizontal="center" vertical="center" wrapText="1"/>
      <protection locked="0"/>
    </xf>
    <xf numFmtId="0" fontId="56" fillId="0" borderId="1" xfId="0" applyFont="1" applyBorder="1" applyAlignment="1" applyProtection="1">
      <alignment horizontal="center" vertical="center" wrapText="1"/>
      <protection locked="0"/>
    </xf>
    <xf numFmtId="0" fontId="56" fillId="0" borderId="1" xfId="0" applyFont="1" applyBorder="1" applyAlignment="1" applyProtection="1">
      <alignment horizontal="left" vertical="center" wrapText="1"/>
      <protection locked="0"/>
    </xf>
    <xf numFmtId="0" fontId="10" fillId="2" borderId="91" xfId="0" applyFont="1" applyFill="1" applyBorder="1" applyAlignment="1" applyProtection="1">
      <alignment vertical="center" wrapText="1"/>
      <protection locked="0"/>
    </xf>
    <xf numFmtId="0" fontId="10" fillId="2" borderId="92" xfId="0" applyFont="1" applyFill="1" applyBorder="1" applyAlignment="1">
      <alignment horizontal="left" vertical="center" wrapText="1"/>
    </xf>
    <xf numFmtId="0" fontId="10" fillId="2" borderId="92" xfId="0" applyFont="1" applyFill="1" applyBorder="1" applyAlignment="1" applyProtection="1">
      <alignment vertical="center" wrapText="1"/>
      <protection locked="0"/>
    </xf>
    <xf numFmtId="0" fontId="10" fillId="2" borderId="93" xfId="0" applyFont="1" applyFill="1" applyBorder="1" applyAlignment="1" applyProtection="1">
      <alignment horizontal="left" vertical="center" wrapText="1"/>
      <protection locked="0"/>
    </xf>
    <xf numFmtId="0" fontId="10" fillId="2" borderId="28" xfId="0" applyFont="1" applyFill="1" applyBorder="1" applyAlignment="1" applyProtection="1">
      <alignment vertical="center" wrapText="1"/>
      <protection locked="0"/>
    </xf>
    <xf numFmtId="0" fontId="10" fillId="2" borderId="92" xfId="0" applyFont="1" applyFill="1" applyBorder="1" applyAlignment="1" applyProtection="1">
      <alignment horizontal="center" vertical="center" wrapText="1"/>
      <protection locked="0"/>
    </xf>
    <xf numFmtId="0" fontId="57" fillId="0" borderId="2" xfId="0" applyFont="1" applyBorder="1" applyAlignment="1" applyProtection="1">
      <alignment horizontal="left" vertical="center" wrapText="1"/>
      <protection locked="0"/>
    </xf>
    <xf numFmtId="0" fontId="17" fillId="3" borderId="44" xfId="0" applyFont="1" applyFill="1" applyBorder="1" applyAlignment="1">
      <alignment horizontal="center" vertical="center"/>
    </xf>
    <xf numFmtId="0" fontId="16" fillId="0" borderId="0" xfId="2" applyNumberFormat="1" applyFont="1" applyFill="1" applyBorder="1" applyAlignment="1" applyProtection="1">
      <alignment horizontal="center" vertical="center"/>
    </xf>
    <xf numFmtId="0" fontId="16" fillId="0" borderId="0" xfId="2" applyNumberFormat="1" applyFont="1" applyFill="1" applyBorder="1" applyAlignment="1" applyProtection="1">
      <alignment horizontal="center" vertical="center" wrapText="1"/>
      <protection locked="0"/>
    </xf>
    <xf numFmtId="0" fontId="12" fillId="0" borderId="1" xfId="0" applyFont="1" applyBorder="1"/>
    <xf numFmtId="0" fontId="58" fillId="0" borderId="1" xfId="0" applyFont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 wrapText="1"/>
    </xf>
    <xf numFmtId="0" fontId="12" fillId="0" borderId="0" xfId="0" applyFont="1" applyAlignment="1">
      <alignment horizontal="center" vertical="center" wrapText="1"/>
    </xf>
    <xf numFmtId="167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left" vertical="center" wrapText="1"/>
    </xf>
    <xf numFmtId="0" fontId="9" fillId="0" borderId="1" xfId="0" applyFont="1" applyBorder="1" applyAlignment="1" applyProtection="1">
      <alignment vertical="center"/>
      <protection locked="0"/>
    </xf>
    <xf numFmtId="0" fontId="60" fillId="3" borderId="1" xfId="0" applyFont="1" applyFill="1" applyBorder="1" applyAlignment="1" applyProtection="1">
      <alignment horizontal="left" vertical="center"/>
      <protection locked="0"/>
    </xf>
    <xf numFmtId="0" fontId="60" fillId="0" borderId="1" xfId="0" applyFont="1" applyBorder="1" applyAlignment="1" applyProtection="1">
      <alignment vertical="center"/>
      <protection locked="0"/>
    </xf>
    <xf numFmtId="0" fontId="5" fillId="0" borderId="0" xfId="0" applyFont="1" applyAlignment="1" applyProtection="1">
      <alignment horizontal="center" wrapText="1"/>
      <protection locked="0"/>
    </xf>
    <xf numFmtId="0" fontId="61" fillId="0" borderId="0" xfId="0" applyFont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21" fillId="0" borderId="1" xfId="0" applyFont="1" applyBorder="1" applyAlignment="1" applyProtection="1">
      <alignment horizontal="center" vertical="center"/>
      <protection locked="0"/>
    </xf>
    <xf numFmtId="0" fontId="33" fillId="0" borderId="1" xfId="0" applyFont="1" applyBorder="1" applyAlignment="1" applyProtection="1">
      <alignment horizontal="center" vertical="center"/>
      <protection locked="0"/>
    </xf>
    <xf numFmtId="0" fontId="10" fillId="9" borderId="1" xfId="0" applyFont="1" applyFill="1" applyBorder="1" applyAlignment="1" applyProtection="1">
      <alignment horizontal="center" vertical="center"/>
      <protection locked="0"/>
    </xf>
    <xf numFmtId="0" fontId="17" fillId="0" borderId="40" xfId="0" applyFont="1" applyBorder="1" applyAlignment="1" applyProtection="1">
      <alignment horizontal="center" vertical="center" wrapText="1"/>
      <protection locked="0"/>
    </xf>
    <xf numFmtId="0" fontId="19" fillId="0" borderId="89" xfId="0" applyFont="1" applyBorder="1" applyAlignment="1" applyProtection="1">
      <alignment horizontal="center" vertical="center" wrapText="1"/>
      <protection locked="0"/>
    </xf>
    <xf numFmtId="0" fontId="62" fillId="0" borderId="0" xfId="0" applyFont="1" applyAlignment="1" applyProtection="1">
      <alignment horizontal="center" vertical="center"/>
      <protection locked="0"/>
    </xf>
    <xf numFmtId="0" fontId="63" fillId="0" borderId="0" xfId="0" applyFont="1" applyAlignment="1" applyProtection="1">
      <alignment vertical="center"/>
      <protection locked="0"/>
    </xf>
    <xf numFmtId="164" fontId="54" fillId="0" borderId="5" xfId="0" applyNumberFormat="1" applyFont="1" applyBorder="1" applyAlignment="1">
      <alignment horizontal="center" vertical="center" wrapText="1"/>
    </xf>
    <xf numFmtId="164" fontId="54" fillId="0" borderId="0" xfId="0" applyNumberFormat="1" applyFont="1" applyAlignment="1">
      <alignment horizontal="center" vertical="center" wrapText="1"/>
    </xf>
    <xf numFmtId="0" fontId="33" fillId="11" borderId="0" xfId="0" applyFont="1" applyFill="1" applyAlignment="1" applyProtection="1">
      <alignment horizontal="center"/>
      <protection locked="0"/>
    </xf>
    <xf numFmtId="0" fontId="35" fillId="10" borderId="0" xfId="0" applyFont="1" applyFill="1" applyAlignment="1" applyProtection="1">
      <alignment vertical="center"/>
      <protection locked="0"/>
    </xf>
    <xf numFmtId="0" fontId="35" fillId="6" borderId="0" xfId="0" applyFont="1" applyFill="1" applyAlignment="1" applyProtection="1">
      <alignment vertical="center"/>
      <protection locked="0"/>
    </xf>
    <xf numFmtId="169" fontId="35" fillId="9" borderId="0" xfId="0" applyNumberFormat="1" applyFont="1" applyFill="1" applyAlignment="1" applyProtection="1">
      <alignment vertical="center"/>
      <protection locked="0"/>
    </xf>
    <xf numFmtId="164" fontId="33" fillId="11" borderId="0" xfId="0" applyNumberFormat="1" applyFont="1" applyFill="1" applyAlignment="1" applyProtection="1">
      <alignment horizontal="center"/>
      <protection locked="0"/>
    </xf>
    <xf numFmtId="0" fontId="35" fillId="9" borderId="0" xfId="0" applyFont="1" applyFill="1" applyAlignment="1" applyProtection="1">
      <alignment vertical="center"/>
      <protection locked="0"/>
    </xf>
    <xf numFmtId="0" fontId="53" fillId="12" borderId="1" xfId="0" applyFont="1" applyFill="1" applyBorder="1" applyAlignment="1">
      <alignment horizontal="center" vertical="center" wrapText="1"/>
    </xf>
    <xf numFmtId="0" fontId="35" fillId="13" borderId="0" xfId="0" applyFont="1" applyFill="1" applyAlignment="1" applyProtection="1">
      <alignment vertical="center"/>
      <protection locked="0"/>
    </xf>
    <xf numFmtId="0" fontId="29" fillId="0" borderId="74" xfId="0" applyFont="1" applyBorder="1" applyAlignment="1" applyProtection="1">
      <alignment horizontal="left" vertical="center"/>
      <protection locked="0"/>
    </xf>
    <xf numFmtId="0" fontId="19" fillId="0" borderId="94" xfId="0" applyFont="1" applyBorder="1" applyAlignment="1" applyProtection="1">
      <alignment horizontal="center" vertical="center"/>
      <protection locked="0"/>
    </xf>
    <xf numFmtId="0" fontId="19" fillId="0" borderId="95" xfId="0" applyFont="1" applyBorder="1" applyAlignment="1" applyProtection="1">
      <alignment horizontal="center" vertical="center"/>
      <protection locked="0"/>
    </xf>
    <xf numFmtId="0" fontId="29" fillId="0" borderId="89" xfId="0" applyFont="1" applyBorder="1" applyAlignment="1" applyProtection="1">
      <alignment horizontal="left" vertical="center"/>
      <protection locked="0"/>
    </xf>
    <xf numFmtId="0" fontId="64" fillId="12" borderId="0" xfId="0" applyFont="1" applyFill="1" applyAlignment="1" applyProtection="1">
      <alignment horizontal="left" vertical="center"/>
      <protection locked="0"/>
    </xf>
    <xf numFmtId="0" fontId="10" fillId="0" borderId="73" xfId="0" applyFont="1" applyBorder="1" applyAlignment="1" applyProtection="1">
      <alignment horizontal="center" vertical="center"/>
      <protection locked="0"/>
    </xf>
    <xf numFmtId="0" fontId="17" fillId="0" borderId="41" xfId="0" applyFont="1" applyBorder="1" applyAlignment="1">
      <alignment horizontal="center" vertical="center" wrapText="1"/>
    </xf>
    <xf numFmtId="0" fontId="21" fillId="0" borderId="0" xfId="0" applyFont="1" applyAlignment="1" applyProtection="1">
      <alignment vertical="center"/>
      <protection locked="0"/>
    </xf>
    <xf numFmtId="0" fontId="4" fillId="2" borderId="46" xfId="0" applyFont="1" applyFill="1" applyBorder="1" applyAlignment="1" applyProtection="1">
      <alignment horizontal="center" vertical="center"/>
      <protection locked="0"/>
    </xf>
    <xf numFmtId="0" fontId="4" fillId="2" borderId="5" xfId="0" applyFont="1" applyFill="1" applyBorder="1" applyAlignment="1" applyProtection="1">
      <alignment horizontal="center" vertical="center"/>
      <protection locked="0"/>
    </xf>
    <xf numFmtId="0" fontId="4" fillId="2" borderId="37" xfId="0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37" xfId="0" applyFont="1" applyFill="1" applyBorder="1" applyAlignment="1" applyProtection="1">
      <alignment horizontal="center" vertical="center" wrapText="1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43" fillId="2" borderId="69" xfId="0" applyFont="1" applyFill="1" applyBorder="1" applyAlignment="1" applyProtection="1">
      <alignment horizontal="center" vertical="center"/>
      <protection locked="0"/>
    </xf>
    <xf numFmtId="0" fontId="11" fillId="0" borderId="66" xfId="0" applyFont="1" applyBorder="1" applyAlignment="1">
      <alignment horizontal="left" vertical="center"/>
    </xf>
    <xf numFmtId="0" fontId="11" fillId="0" borderId="22" xfId="0" applyFont="1" applyBorder="1" applyAlignment="1">
      <alignment horizontal="left" vertical="center"/>
    </xf>
    <xf numFmtId="0" fontId="9" fillId="0" borderId="90" xfId="0" applyFont="1" applyBorder="1" applyAlignment="1" applyProtection="1">
      <alignment horizontal="center" vertical="center"/>
      <protection locked="0"/>
    </xf>
    <xf numFmtId="0" fontId="9" fillId="0" borderId="9" xfId="0" applyFont="1" applyBorder="1" applyAlignment="1" applyProtection="1">
      <alignment horizontal="center" vertical="center"/>
      <protection locked="0"/>
    </xf>
    <xf numFmtId="0" fontId="9" fillId="0" borderId="49" xfId="0" applyFont="1" applyBorder="1" applyAlignment="1" applyProtection="1">
      <alignment horizontal="center" vertical="center"/>
      <protection locked="0"/>
    </xf>
    <xf numFmtId="0" fontId="39" fillId="2" borderId="37" xfId="0" applyFont="1" applyFill="1" applyBorder="1" applyAlignment="1" applyProtection="1">
      <alignment horizontal="center" vertical="center"/>
      <protection locked="0"/>
    </xf>
    <xf numFmtId="0" fontId="39" fillId="2" borderId="1" xfId="0" applyFont="1" applyFill="1" applyBorder="1" applyAlignment="1" applyProtection="1">
      <alignment horizontal="center" vertical="center"/>
      <protection locked="0"/>
    </xf>
    <xf numFmtId="0" fontId="39" fillId="2" borderId="56" xfId="0" applyFont="1" applyFill="1" applyBorder="1" applyAlignment="1" applyProtection="1">
      <alignment horizontal="center" vertical="center"/>
      <protection locked="0"/>
    </xf>
    <xf numFmtId="0" fontId="39" fillId="2" borderId="2" xfId="0" applyFont="1" applyFill="1" applyBorder="1" applyAlignment="1" applyProtection="1">
      <alignment horizontal="center" vertical="center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31" fillId="0" borderId="2" xfId="0" applyFont="1" applyBorder="1" applyAlignment="1" applyProtection="1">
      <alignment horizontal="center" vertical="center"/>
      <protection locked="0"/>
    </xf>
    <xf numFmtId="0" fontId="39" fillId="2" borderId="72" xfId="0" applyFont="1" applyFill="1" applyBorder="1" applyAlignment="1" applyProtection="1">
      <alignment horizontal="center" vertical="center"/>
      <protection locked="0"/>
    </xf>
    <xf numFmtId="0" fontId="39" fillId="2" borderId="41" xfId="0" applyFont="1" applyFill="1" applyBorder="1" applyAlignment="1" applyProtection="1">
      <alignment horizontal="center" vertical="center"/>
      <protection locked="0"/>
    </xf>
    <xf numFmtId="0" fontId="39" fillId="2" borderId="37" xfId="0" applyFont="1" applyFill="1" applyBorder="1" applyAlignment="1" applyProtection="1">
      <alignment horizontal="center" vertical="center" wrapText="1"/>
      <protection locked="0"/>
    </xf>
    <xf numFmtId="0" fontId="11" fillId="0" borderId="64" xfId="0" applyFont="1" applyBorder="1" applyAlignment="1">
      <alignment horizontal="left" vertical="center"/>
    </xf>
    <xf numFmtId="0" fontId="11" fillId="0" borderId="8" xfId="0" applyFont="1" applyBorder="1" applyAlignment="1">
      <alignment horizontal="left" vertical="center"/>
    </xf>
    <xf numFmtId="0" fontId="6" fillId="0" borderId="51" xfId="0" applyFont="1" applyBorder="1" applyAlignment="1" applyProtection="1">
      <alignment horizontal="center" vertical="center"/>
      <protection locked="0"/>
    </xf>
    <xf numFmtId="0" fontId="6" fillId="0" borderId="52" xfId="0" applyFont="1" applyBorder="1" applyAlignment="1" applyProtection="1">
      <alignment horizontal="center" vertical="center"/>
      <protection locked="0"/>
    </xf>
    <xf numFmtId="0" fontId="6" fillId="0" borderId="53" xfId="0" applyFont="1" applyBorder="1" applyAlignment="1" applyProtection="1">
      <alignment horizontal="center" vertical="center"/>
      <protection locked="0"/>
    </xf>
    <xf numFmtId="0" fontId="6" fillId="0" borderId="59" xfId="0" applyFont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0" borderId="61" xfId="0" applyFont="1" applyBorder="1" applyAlignment="1" applyProtection="1">
      <alignment horizontal="center" vertical="center"/>
      <protection locked="0"/>
    </xf>
    <xf numFmtId="0" fontId="6" fillId="0" borderId="32" xfId="0" applyFont="1" applyBorder="1" applyAlignment="1" applyProtection="1">
      <alignment horizontal="center" vertical="center"/>
      <protection locked="0"/>
    </xf>
    <xf numFmtId="0" fontId="6" fillId="0" borderId="31" xfId="0" applyFont="1" applyBorder="1" applyAlignment="1" applyProtection="1">
      <alignment horizontal="center" vertical="center"/>
      <protection locked="0"/>
    </xf>
    <xf numFmtId="0" fontId="7" fillId="0" borderId="54" xfId="0" applyFont="1" applyBorder="1" applyAlignment="1" applyProtection="1">
      <alignment horizontal="center" vertical="center" wrapText="1"/>
      <protection locked="0"/>
    </xf>
    <xf numFmtId="0" fontId="7" fillId="0" borderId="25" xfId="0" applyFont="1" applyBorder="1" applyAlignment="1" applyProtection="1">
      <alignment horizontal="center" vertical="center" wrapText="1"/>
      <protection locked="0"/>
    </xf>
    <xf numFmtId="0" fontId="7" fillId="0" borderId="55" xfId="0" applyFont="1" applyBorder="1" applyAlignment="1" applyProtection="1">
      <alignment horizontal="center" vertical="center" wrapText="1"/>
      <protection locked="0"/>
    </xf>
    <xf numFmtId="0" fontId="7" fillId="0" borderId="12" xfId="0" applyFont="1" applyBorder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11" xfId="0" applyFont="1" applyBorder="1" applyAlignment="1" applyProtection="1">
      <alignment horizontal="center" vertical="center" wrapText="1"/>
      <protection locked="0"/>
    </xf>
    <xf numFmtId="0" fontId="7" fillId="0" borderId="10" xfId="0" applyFont="1" applyBorder="1" applyAlignment="1" applyProtection="1">
      <alignment horizontal="center" vertical="center" wrapText="1"/>
      <protection locked="0"/>
    </xf>
    <xf numFmtId="0" fontId="7" fillId="0" borderId="7" xfId="0" applyFont="1" applyBorder="1" applyAlignment="1" applyProtection="1">
      <alignment horizontal="center" vertical="center" wrapText="1"/>
      <protection locked="0"/>
    </xf>
    <xf numFmtId="0" fontId="5" fillId="0" borderId="56" xfId="0" applyFont="1" applyBorder="1" applyAlignment="1" applyProtection="1">
      <alignment horizontal="center"/>
      <protection locked="0"/>
    </xf>
    <xf numFmtId="0" fontId="5" fillId="0" borderId="57" xfId="0" applyFont="1" applyBorder="1" applyAlignment="1" applyProtection="1">
      <alignment horizontal="center"/>
      <protection locked="0"/>
    </xf>
    <xf numFmtId="0" fontId="36" fillId="0" borderId="24" xfId="0" applyFont="1" applyBorder="1" applyAlignment="1" applyProtection="1">
      <alignment horizontal="center" vertical="center" wrapText="1"/>
      <protection locked="0"/>
    </xf>
    <xf numFmtId="0" fontId="36" fillId="0" borderId="25" xfId="0" applyFont="1" applyBorder="1" applyAlignment="1" applyProtection="1">
      <alignment horizontal="center" vertical="center" wrapText="1"/>
      <protection locked="0"/>
    </xf>
    <xf numFmtId="0" fontId="36" fillId="0" borderId="26" xfId="0" applyFont="1" applyBorder="1" applyAlignment="1" applyProtection="1">
      <alignment horizontal="center" vertical="center" wrapText="1"/>
      <protection locked="0"/>
    </xf>
    <xf numFmtId="0" fontId="36" fillId="0" borderId="27" xfId="0" applyFont="1" applyBorder="1" applyAlignment="1" applyProtection="1">
      <alignment horizontal="center" vertical="center" wrapText="1"/>
      <protection locked="0"/>
    </xf>
    <xf numFmtId="0" fontId="36" fillId="0" borderId="28" xfId="0" applyFont="1" applyBorder="1" applyAlignment="1" applyProtection="1">
      <alignment horizontal="center" vertical="center" wrapText="1"/>
      <protection locked="0"/>
    </xf>
    <xf numFmtId="0" fontId="36" fillId="0" borderId="29" xfId="0" applyFont="1" applyBorder="1" applyAlignment="1" applyProtection="1">
      <alignment horizontal="center" vertical="center" wrapText="1"/>
      <protection locked="0"/>
    </xf>
    <xf numFmtId="0" fontId="7" fillId="0" borderId="2" xfId="0" applyFont="1" applyBorder="1" applyAlignment="1" applyProtection="1">
      <alignment horizontal="center" vertical="center"/>
      <protection locked="0"/>
    </xf>
    <xf numFmtId="0" fontId="7" fillId="0" borderId="14" xfId="0" applyFont="1" applyBorder="1" applyAlignment="1" applyProtection="1">
      <alignment horizontal="center" vertical="center"/>
      <protection locked="0"/>
    </xf>
    <xf numFmtId="0" fontId="10" fillId="0" borderId="62" xfId="0" applyFont="1" applyBorder="1" applyAlignment="1">
      <alignment horizontal="left" vertical="center"/>
    </xf>
    <xf numFmtId="0" fontId="10" fillId="0" borderId="19" xfId="0" applyFont="1" applyBorder="1" applyAlignment="1">
      <alignment horizontal="left" vertical="center"/>
    </xf>
    <xf numFmtId="0" fontId="11" fillId="0" borderId="81" xfId="0" applyFont="1" applyBorder="1" applyAlignment="1">
      <alignment horizontal="left" vertical="center"/>
    </xf>
    <xf numFmtId="0" fontId="11" fillId="0" borderId="82" xfId="0" applyFont="1" applyBorder="1" applyAlignment="1">
      <alignment horizontal="left" vertical="center"/>
    </xf>
    <xf numFmtId="0" fontId="11" fillId="0" borderId="85" xfId="0" applyFont="1" applyBorder="1" applyAlignment="1">
      <alignment horizontal="left" vertical="center"/>
    </xf>
    <xf numFmtId="0" fontId="11" fillId="0" borderId="86" xfId="0" applyFont="1" applyBorder="1" applyAlignment="1">
      <alignment horizontal="left" vertical="center"/>
    </xf>
    <xf numFmtId="0" fontId="40" fillId="0" borderId="83" xfId="0" applyFont="1" applyBorder="1" applyAlignment="1" applyProtection="1">
      <alignment horizontal="left" vertical="center"/>
      <protection locked="0"/>
    </xf>
    <xf numFmtId="0" fontId="40" fillId="0" borderId="84" xfId="0" applyFont="1" applyBorder="1" applyAlignment="1" applyProtection="1">
      <alignment horizontal="left" vertical="center"/>
      <protection locked="0"/>
    </xf>
    <xf numFmtId="0" fontId="40" fillId="0" borderId="82" xfId="0" applyFont="1" applyBorder="1" applyAlignment="1" applyProtection="1">
      <alignment horizontal="left" vertical="center"/>
      <protection locked="0"/>
    </xf>
    <xf numFmtId="0" fontId="40" fillId="0" borderId="87" xfId="0" applyFont="1" applyBorder="1" applyAlignment="1" applyProtection="1">
      <alignment horizontal="left" vertical="center"/>
      <protection locked="0"/>
    </xf>
    <xf numFmtId="0" fontId="40" fillId="0" borderId="88" xfId="0" applyFont="1" applyBorder="1" applyAlignment="1" applyProtection="1">
      <alignment horizontal="left" vertical="center"/>
      <protection locked="0"/>
    </xf>
    <xf numFmtId="0" fontId="40" fillId="0" borderId="86" xfId="0" applyFont="1" applyBorder="1" applyAlignment="1" applyProtection="1">
      <alignment horizontal="left" vertical="center"/>
      <protection locked="0"/>
    </xf>
    <xf numFmtId="0" fontId="10" fillId="0" borderId="83" xfId="0" applyFont="1" applyBorder="1" applyAlignment="1">
      <alignment horizontal="left" vertical="center"/>
    </xf>
    <xf numFmtId="0" fontId="10" fillId="0" borderId="87" xfId="0" applyFont="1" applyBorder="1" applyAlignment="1">
      <alignment horizontal="left" vertical="center"/>
    </xf>
    <xf numFmtId="0" fontId="13" fillId="0" borderId="2" xfId="0" applyFont="1" applyBorder="1" applyAlignment="1" applyProtection="1">
      <alignment horizontal="center" vertical="center" wrapText="1"/>
      <protection locked="0"/>
    </xf>
    <xf numFmtId="0" fontId="13" fillId="0" borderId="3" xfId="0" applyFont="1" applyBorder="1" applyAlignment="1" applyProtection="1">
      <alignment horizontal="center" vertical="center" wrapText="1"/>
      <protection locked="0"/>
    </xf>
    <xf numFmtId="0" fontId="10" fillId="0" borderId="8" xfId="0" applyFont="1" applyBorder="1" applyAlignment="1" applyProtection="1">
      <alignment horizontal="left" vertical="center"/>
      <protection locked="0"/>
    </xf>
    <xf numFmtId="0" fontId="6" fillId="0" borderId="33" xfId="0" applyFont="1" applyBorder="1" applyAlignment="1" applyProtection="1">
      <alignment horizontal="center" vertical="center"/>
      <protection locked="0"/>
    </xf>
    <xf numFmtId="0" fontId="6" fillId="0" borderId="34" xfId="0" applyFont="1" applyBorder="1" applyAlignment="1" applyProtection="1">
      <alignment horizontal="center" vertical="center"/>
      <protection locked="0"/>
    </xf>
    <xf numFmtId="0" fontId="6" fillId="0" borderId="35" xfId="0" applyFont="1" applyBorder="1" applyAlignment="1" applyProtection="1">
      <alignment horizontal="center" vertical="center"/>
      <protection locked="0"/>
    </xf>
    <xf numFmtId="0" fontId="20" fillId="0" borderId="9" xfId="0" applyFont="1" applyBorder="1" applyAlignment="1" applyProtection="1">
      <alignment horizontal="center" vertical="center" wrapText="1"/>
      <protection locked="0"/>
    </xf>
    <xf numFmtId="0" fontId="20" fillId="0" borderId="9" xfId="0" applyFont="1" applyBorder="1" applyAlignment="1" applyProtection="1">
      <alignment horizontal="center" vertical="center"/>
      <protection locked="0"/>
    </xf>
    <xf numFmtId="0" fontId="20" fillId="0" borderId="6" xfId="0" applyFont="1" applyBorder="1" applyAlignment="1" applyProtection="1">
      <alignment horizontal="center" vertical="center"/>
      <protection locked="0"/>
    </xf>
    <xf numFmtId="0" fontId="20" fillId="0" borderId="0" xfId="0" applyFont="1" applyAlignment="1" applyProtection="1">
      <alignment horizontal="center" vertical="center"/>
      <protection locked="0"/>
    </xf>
    <xf numFmtId="0" fontId="20" fillId="0" borderId="16" xfId="0" applyFont="1" applyBorder="1" applyAlignment="1" applyProtection="1">
      <alignment horizontal="center" vertical="center"/>
      <protection locked="0"/>
    </xf>
    <xf numFmtId="0" fontId="20" fillId="0" borderId="10" xfId="0" applyFont="1" applyBorder="1" applyAlignment="1" applyProtection="1">
      <alignment horizontal="center" vertical="center"/>
      <protection locked="0"/>
    </xf>
    <xf numFmtId="0" fontId="20" fillId="0" borderId="7" xfId="0" applyFont="1" applyBorder="1" applyAlignment="1" applyProtection="1">
      <alignment horizontal="center" vertical="center"/>
      <protection locked="0"/>
    </xf>
    <xf numFmtId="0" fontId="13" fillId="0" borderId="1" xfId="0" applyFont="1" applyBorder="1" applyAlignment="1" applyProtection="1">
      <alignment horizontal="center" vertical="center" wrapText="1"/>
      <protection locked="0"/>
    </xf>
    <xf numFmtId="0" fontId="10" fillId="0" borderId="19" xfId="0" applyFont="1" applyBorder="1" applyAlignment="1" applyProtection="1">
      <alignment horizontal="center" vertical="center"/>
      <protection locked="0"/>
    </xf>
    <xf numFmtId="0" fontId="10" fillId="0" borderId="20" xfId="0" applyFont="1" applyBorder="1" applyAlignment="1" applyProtection="1">
      <alignment horizontal="center" vertical="center"/>
      <protection locked="0"/>
    </xf>
    <xf numFmtId="0" fontId="10" fillId="0" borderId="8" xfId="0" applyFont="1" applyBorder="1" applyAlignment="1" applyProtection="1">
      <alignment horizontal="center" vertical="center"/>
      <protection locked="0"/>
    </xf>
    <xf numFmtId="0" fontId="10" fillId="0" borderId="13" xfId="0" applyFont="1" applyBorder="1" applyAlignment="1" applyProtection="1">
      <alignment horizontal="center" vertical="center"/>
      <protection locked="0"/>
    </xf>
    <xf numFmtId="0" fontId="10" fillId="0" borderId="22" xfId="0" applyFont="1" applyBorder="1" applyAlignment="1" applyProtection="1">
      <alignment horizontal="center" vertical="center"/>
      <protection locked="0"/>
    </xf>
    <xf numFmtId="0" fontId="10" fillId="0" borderId="23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 wrapText="1"/>
      <protection locked="0"/>
    </xf>
    <xf numFmtId="0" fontId="17" fillId="0" borderId="1" xfId="0" quotePrefix="1" applyFont="1" applyBorder="1" applyAlignment="1" applyProtection="1">
      <alignment horizontal="center" vertical="center" wrapText="1"/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5" fillId="0" borderId="10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16" fillId="0" borderId="0" xfId="2" applyNumberFormat="1" applyFont="1" applyBorder="1" applyAlignment="1" applyProtection="1">
      <alignment horizontal="center" vertical="center"/>
      <protection locked="0"/>
    </xf>
    <xf numFmtId="0" fontId="39" fillId="2" borderId="47" xfId="0" applyFont="1" applyFill="1" applyBorder="1" applyAlignment="1" applyProtection="1">
      <alignment horizontal="center" vertical="center"/>
      <protection locked="0"/>
    </xf>
    <xf numFmtId="0" fontId="39" fillId="2" borderId="42" xfId="0" applyFont="1" applyFill="1" applyBorder="1" applyAlignment="1" applyProtection="1">
      <alignment horizontal="center" vertical="center"/>
      <protection locked="0"/>
    </xf>
    <xf numFmtId="0" fontId="4" fillId="2" borderId="38" xfId="0" applyFont="1" applyFill="1" applyBorder="1" applyAlignment="1" applyProtection="1">
      <alignment horizontal="center" vertical="center"/>
      <protection locked="0"/>
    </xf>
    <xf numFmtId="0" fontId="4" fillId="2" borderId="36" xfId="0" applyFont="1" applyFill="1" applyBorder="1" applyAlignment="1" applyProtection="1">
      <alignment horizontal="center" vertical="center"/>
      <protection locked="0"/>
    </xf>
    <xf numFmtId="0" fontId="4" fillId="2" borderId="39" xfId="0" applyFont="1" applyFill="1" applyBorder="1" applyAlignment="1" applyProtection="1">
      <alignment horizontal="center" vertical="center"/>
      <protection locked="0"/>
    </xf>
    <xf numFmtId="0" fontId="9" fillId="0" borderId="43" xfId="0" applyFont="1" applyBorder="1" applyAlignment="1" applyProtection="1">
      <alignment horizontal="center" vertical="center"/>
      <protection locked="0"/>
    </xf>
    <xf numFmtId="0" fontId="9" fillId="0" borderId="68" xfId="0" applyFont="1" applyBorder="1" applyAlignment="1" applyProtection="1">
      <alignment horizontal="center" vertical="center"/>
      <protection locked="0"/>
    </xf>
    <xf numFmtId="0" fontId="39" fillId="2" borderId="36" xfId="0" applyFont="1" applyFill="1" applyBorder="1" applyAlignment="1" applyProtection="1">
      <alignment horizontal="center" vertical="center"/>
      <protection locked="0"/>
    </xf>
    <xf numFmtId="0" fontId="39" fillId="2" borderId="39" xfId="0" applyFont="1" applyFill="1" applyBorder="1" applyAlignment="1" applyProtection="1">
      <alignment horizontal="center" vertical="center"/>
      <protection locked="0"/>
    </xf>
    <xf numFmtId="0" fontId="39" fillId="2" borderId="46" xfId="0" applyFont="1" applyFill="1" applyBorder="1" applyAlignment="1" applyProtection="1">
      <alignment horizontal="center" vertical="center"/>
      <protection locked="0"/>
    </xf>
    <xf numFmtId="0" fontId="39" fillId="2" borderId="5" xfId="0" applyFont="1" applyFill="1" applyBorder="1" applyAlignment="1" applyProtection="1">
      <alignment horizontal="center" vertical="center"/>
      <protection locked="0"/>
    </xf>
    <xf numFmtId="164" fontId="39" fillId="2" borderId="3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58" xfId="0" applyFont="1" applyBorder="1" applyAlignment="1" applyProtection="1">
      <alignment horizontal="center"/>
      <protection locked="0"/>
    </xf>
    <xf numFmtId="0" fontId="7" fillId="0" borderId="60" xfId="0" applyFont="1" applyBorder="1" applyAlignment="1" applyProtection="1">
      <alignment horizontal="center" vertical="center"/>
      <protection locked="0"/>
    </xf>
    <xf numFmtId="0" fontId="8" fillId="0" borderId="66" xfId="0" applyFont="1" applyBorder="1" applyAlignment="1">
      <alignment horizontal="left" vertical="center"/>
    </xf>
    <xf numFmtId="0" fontId="8" fillId="0" borderId="22" xfId="0" applyFont="1" applyBorder="1" applyAlignment="1">
      <alignment horizontal="left" vertical="center"/>
    </xf>
    <xf numFmtId="0" fontId="6" fillId="0" borderId="24" xfId="0" applyFont="1" applyBorder="1" applyAlignment="1" applyProtection="1">
      <alignment horizontal="center" vertical="center"/>
      <protection locked="0"/>
    </xf>
    <xf numFmtId="0" fontId="6" fillId="0" borderId="55" xfId="0" applyFont="1" applyBorder="1" applyAlignment="1" applyProtection="1">
      <alignment horizontal="center" vertical="center"/>
      <protection locked="0"/>
    </xf>
    <xf numFmtId="0" fontId="6" fillId="0" borderId="69" xfId="0" applyFont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0" borderId="70" xfId="0" applyFont="1" applyBorder="1" applyAlignment="1" applyProtection="1">
      <alignment horizontal="center" vertical="center"/>
      <protection locked="0"/>
    </xf>
    <xf numFmtId="0" fontId="6" fillId="0" borderId="7" xfId="0" applyFont="1" applyBorder="1" applyAlignment="1" applyProtection="1">
      <alignment horizontal="center" vertical="center"/>
      <protection locked="0"/>
    </xf>
    <xf numFmtId="0" fontId="8" fillId="0" borderId="62" xfId="0" applyFont="1" applyBorder="1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8" fillId="0" borderId="64" xfId="0" applyFont="1" applyBorder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64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3" fillId="2" borderId="0" xfId="0" applyFont="1" applyFill="1" applyAlignment="1" applyProtection="1">
      <alignment horizontal="center" vertical="center"/>
      <protection locked="0"/>
    </xf>
    <xf numFmtId="0" fontId="31" fillId="0" borderId="0" xfId="0" applyFont="1" applyAlignment="1" applyProtection="1">
      <alignment horizontal="center" vertical="center"/>
      <protection locked="0"/>
    </xf>
    <xf numFmtId="0" fontId="31" fillId="0" borderId="10" xfId="0" applyFont="1" applyBorder="1" applyAlignment="1" applyProtection="1">
      <alignment horizontal="center" vertical="center"/>
      <protection locked="0"/>
    </xf>
    <xf numFmtId="0" fontId="5" fillId="0" borderId="69" xfId="0" applyFont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71" xfId="0" applyFont="1" applyBorder="1" applyAlignment="1" applyProtection="1">
      <alignment horizontal="center" vertical="center"/>
      <protection locked="0"/>
    </xf>
    <xf numFmtId="0" fontId="18" fillId="0" borderId="0" xfId="2" applyNumberFormat="1" applyFont="1" applyBorder="1" applyAlignment="1" applyProtection="1">
      <alignment vertical="center"/>
      <protection locked="0"/>
    </xf>
    <xf numFmtId="0" fontId="4" fillId="2" borderId="72" xfId="0" applyFont="1" applyFill="1" applyBorder="1" applyAlignment="1" applyProtection="1">
      <alignment horizontal="center" vertical="center" wrapText="1"/>
      <protection locked="0"/>
    </xf>
    <xf numFmtId="0" fontId="4" fillId="2" borderId="41" xfId="0" applyFont="1" applyFill="1" applyBorder="1" applyAlignment="1" applyProtection="1">
      <alignment horizontal="center" vertical="center" wrapText="1"/>
      <protection locked="0"/>
    </xf>
    <xf numFmtId="0" fontId="39" fillId="2" borderId="1" xfId="0" applyFont="1" applyFill="1" applyBorder="1" applyAlignment="1" applyProtection="1">
      <alignment horizontal="center" vertical="center" wrapText="1"/>
      <protection locked="0"/>
    </xf>
    <xf numFmtId="0" fontId="39" fillId="2" borderId="46" xfId="0" applyFont="1" applyFill="1" applyBorder="1" applyAlignment="1" applyProtection="1">
      <alignment horizontal="center" vertical="center" wrapText="1"/>
      <protection locked="0"/>
    </xf>
    <xf numFmtId="0" fontId="39" fillId="2" borderId="5" xfId="0" applyFont="1" applyFill="1" applyBorder="1" applyAlignment="1" applyProtection="1">
      <alignment horizontal="center" vertical="center" wrapText="1"/>
      <protection locked="0"/>
    </xf>
    <xf numFmtId="0" fontId="21" fillId="0" borderId="2" xfId="0" applyFont="1" applyBorder="1" applyAlignment="1" applyProtection="1">
      <alignment horizontal="center" vertical="center"/>
      <protection locked="0"/>
    </xf>
    <xf numFmtId="0" fontId="21" fillId="0" borderId="14" xfId="0" applyFont="1" applyBorder="1" applyAlignment="1" applyProtection="1">
      <alignment horizontal="center" vertical="center"/>
      <protection locked="0"/>
    </xf>
    <xf numFmtId="0" fontId="21" fillId="0" borderId="60" xfId="0" applyFont="1" applyBorder="1" applyAlignment="1" applyProtection="1">
      <alignment horizontal="center" vertical="center"/>
      <protection locked="0"/>
    </xf>
    <xf numFmtId="0" fontId="20" fillId="0" borderId="54" xfId="0" applyFont="1" applyBorder="1" applyAlignment="1" applyProtection="1">
      <alignment horizontal="center" vertical="center" wrapText="1"/>
      <protection locked="0"/>
    </xf>
    <xf numFmtId="0" fontId="20" fillId="0" borderId="25" xfId="0" applyFont="1" applyBorder="1" applyAlignment="1" applyProtection="1">
      <alignment horizontal="center" vertical="center" wrapText="1"/>
      <protection locked="0"/>
    </xf>
    <xf numFmtId="0" fontId="20" fillId="0" borderId="55" xfId="0" applyFont="1" applyBorder="1" applyAlignment="1" applyProtection="1">
      <alignment horizontal="center" vertical="center" wrapText="1"/>
      <protection locked="0"/>
    </xf>
    <xf numFmtId="0" fontId="20" fillId="0" borderId="12" xfId="0" applyFont="1" applyBorder="1" applyAlignment="1" applyProtection="1">
      <alignment horizontal="center" vertical="center" wrapText="1"/>
      <protection locked="0"/>
    </xf>
    <xf numFmtId="0" fontId="20" fillId="0" borderId="0" xfId="0" applyFont="1" applyAlignment="1" applyProtection="1">
      <alignment horizontal="center" vertical="center" wrapText="1"/>
      <protection locked="0"/>
    </xf>
    <xf numFmtId="0" fontId="20" fillId="0" borderId="16" xfId="0" applyFont="1" applyBorder="1" applyAlignment="1" applyProtection="1">
      <alignment horizontal="center" vertical="center" wrapText="1"/>
      <protection locked="0"/>
    </xf>
    <xf numFmtId="0" fontId="20" fillId="0" borderId="11" xfId="0" applyFont="1" applyBorder="1" applyAlignment="1" applyProtection="1">
      <alignment horizontal="center" vertical="center" wrapText="1"/>
      <protection locked="0"/>
    </xf>
    <xf numFmtId="0" fontId="20" fillId="0" borderId="10" xfId="0" applyFont="1" applyBorder="1" applyAlignment="1" applyProtection="1">
      <alignment horizontal="center" vertical="center" wrapText="1"/>
      <protection locked="0"/>
    </xf>
    <xf numFmtId="0" fontId="20" fillId="0" borderId="7" xfId="0" applyFont="1" applyBorder="1" applyAlignment="1" applyProtection="1">
      <alignment horizontal="center" vertical="center" wrapText="1"/>
      <protection locked="0"/>
    </xf>
    <xf numFmtId="0" fontId="44" fillId="2" borderId="37" xfId="0" applyFont="1" applyFill="1" applyBorder="1" applyAlignment="1" applyProtection="1">
      <alignment horizontal="center" vertical="center" wrapText="1"/>
      <protection locked="0"/>
    </xf>
    <xf numFmtId="0" fontId="39" fillId="2" borderId="38" xfId="0" applyFont="1" applyFill="1" applyBorder="1" applyAlignment="1" applyProtection="1">
      <alignment horizontal="center" vertical="center" wrapText="1"/>
      <protection locked="0"/>
    </xf>
    <xf numFmtId="0" fontId="39" fillId="2" borderId="40" xfId="0" applyFont="1" applyFill="1" applyBorder="1" applyAlignment="1" applyProtection="1">
      <alignment horizontal="center" vertical="center" wrapText="1"/>
      <protection locked="0"/>
    </xf>
    <xf numFmtId="0" fontId="49" fillId="0" borderId="78" xfId="0" applyFont="1" applyBorder="1" applyAlignment="1" applyProtection="1">
      <alignment horizontal="center" vertical="center"/>
      <protection locked="0"/>
    </xf>
    <xf numFmtId="0" fontId="49" fillId="0" borderId="79" xfId="0" applyFont="1" applyBorder="1" applyAlignment="1" applyProtection="1">
      <alignment horizontal="center" vertical="center"/>
      <protection locked="0"/>
    </xf>
  </cellXfs>
  <cellStyles count="14">
    <cellStyle name="Hyperlink" xfId="11" builtinId="8"/>
    <cellStyle name="Hyperlink 2" xfId="12" xr:uid="{9D2FFA95-9EBB-4602-964B-483E9A850643}"/>
    <cellStyle name="Normal" xfId="0" builtinId="0"/>
    <cellStyle name="Normal 11 10" xfId="8" xr:uid="{00000000-0005-0000-0000-000001000000}"/>
    <cellStyle name="Normal 16" xfId="1" xr:uid="{00000000-0005-0000-0000-000002000000}"/>
    <cellStyle name="Normal 185" xfId="10" xr:uid="{84032C8B-2001-4D34-B700-7F759AAC4488}"/>
    <cellStyle name="Normal 2" xfId="4" xr:uid="{00000000-0005-0000-0000-000003000000}"/>
    <cellStyle name="Normal 2 17" xfId="7" xr:uid="{00000000-0005-0000-0000-000004000000}"/>
    <cellStyle name="Normal 3 2" xfId="2" xr:uid="{00000000-0005-0000-0000-000005000000}"/>
    <cellStyle name="Normal 3 2 2" xfId="13" xr:uid="{261AEC85-FD60-4BB2-BBE0-F1A656D0079A}"/>
    <cellStyle name="Normal 4" xfId="3" xr:uid="{00000000-0005-0000-0000-000006000000}"/>
    <cellStyle name="Normal 4 2" xfId="9" xr:uid="{00000000-0005-0000-0000-000007000000}"/>
    <cellStyle name="Normal 4 3 4" xfId="5" xr:uid="{00000000-0005-0000-0000-000008000000}"/>
    <cellStyle name="Normal 4 6" xfId="6" xr:uid="{00000000-0005-0000-0000-000009000000}"/>
  </cellStyles>
  <dxfs count="107"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fgColor auto="1"/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numFmt numFmtId="9" formatCode="&quot;$&quot;#,##0_);\(&quot;$&quot;#,##0\)"/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color auto="1"/>
      </font>
      <fill>
        <patternFill>
          <bgColor rgb="FFFF0000"/>
        </patternFill>
      </fill>
    </dxf>
    <dxf>
      <numFmt numFmtId="35" formatCode="_(* #,##0.00_);_(* \(#,##0.00\);_(* &quot;-&quot;??_);_(@_)"/>
    </dxf>
    <dxf>
      <font>
        <color theme="0"/>
      </font>
    </dxf>
    <dxf>
      <font>
        <color auto="1"/>
      </font>
    </dxf>
    <dxf>
      <numFmt numFmtId="35" formatCode="_(* #,##0.00_);_(* \(#,##0.00\);_(* &quot;-&quot;??_);_(@_)"/>
    </dxf>
    <dxf>
      <font>
        <color auto="1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file:///D:\2025\00_BAZIS" TargetMode="External"/><Relationship Id="rId3" Type="http://schemas.openxmlformats.org/officeDocument/2006/relationships/hyperlink" Target="#V&#7852;T_T&#431;_V&#7842;I__DA__SIMILI"/><Relationship Id="rId7" Type="http://schemas.openxmlformats.org/officeDocument/2006/relationships/hyperlink" Target="file:///D:\2024\0_DOCUMENTS\COPY%20BAZIS%20DATA_2.1.xlsm" TargetMode="External"/><Relationship Id="rId2" Type="http://schemas.openxmlformats.org/officeDocument/2006/relationships/hyperlink" Target="#V&#7852;T_T&#431;_FOAM_SOFA"/><Relationship Id="rId1" Type="http://schemas.openxmlformats.org/officeDocument/2006/relationships/hyperlink" Target="#V&#7852;T_T&#431;_G&#7894;__V&#7852;T_T&#431;_T&#7844;M"/><Relationship Id="rId6" Type="http://schemas.openxmlformats.org/officeDocument/2006/relationships/image" Target="../media/image3.png"/><Relationship Id="rId5" Type="http://schemas.openxmlformats.org/officeDocument/2006/relationships/hyperlink" Target="file:///D:\CONG%20TY%20TNHH%20BOHO%20D&#201;COR\FactoryTechnical%20-%20Documents\04_TRIEN%20KHAI%20SAN%20XUAT\NAM%202025" TargetMode="External"/><Relationship Id="rId4" Type="http://schemas.openxmlformats.org/officeDocument/2006/relationships/hyperlink" Target="file:///D:\CONG%20TY%20TNHH%20BOHO%20D&#201;COR\FactoryTechnical%20-%20Documents\04_TRIEN%20KHAI%20SAN%20XUAT" TargetMode="External"/><Relationship Id="rId9" Type="http://schemas.openxmlformats.org/officeDocument/2006/relationships/hyperlink" Target="file:///D:\2026" TargetMode="Externa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hyperlink" Target="#BTP_C&#416;_KH&#205;"/><Relationship Id="rId7" Type="http://schemas.openxmlformats.org/officeDocument/2006/relationships/image" Target="../media/image2.png"/><Relationship Id="rId2" Type="http://schemas.openxmlformats.org/officeDocument/2006/relationships/hyperlink" Target="#V&#7852;T_T&#431;_C&#416;_KH&#205;"/><Relationship Id="rId1" Type="http://schemas.openxmlformats.org/officeDocument/2006/relationships/hyperlink" Target="#NH&#211;M_CH&#7880;_C&#7840;NH"/><Relationship Id="rId6" Type="http://schemas.openxmlformats.org/officeDocument/2006/relationships/hyperlink" Target="#TH&#7846;U_PH&#7908;_GIA_C&#212;NG"/><Relationship Id="rId5" Type="http://schemas.openxmlformats.org/officeDocument/2006/relationships/hyperlink" Target="#PH&#7908;_KI&#7878;N"/><Relationship Id="rId4" Type="http://schemas.openxmlformats.org/officeDocument/2006/relationships/hyperlink" Target="#V&#7852;T_T&#431;_PH&#7908;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V&#7842;I__DA__SIMILI"/><Relationship Id="rId2" Type="http://schemas.openxmlformats.org/officeDocument/2006/relationships/hyperlink" Target="#V&#7852;T_T&#431;_FOAM_SOFA"/><Relationship Id="rId1" Type="http://schemas.openxmlformats.org/officeDocument/2006/relationships/hyperlink" Target="#V&#7852;T_T&#431;_G&#7894;__V&#7852;T_T&#431;_T&#7844;M"/><Relationship Id="rId4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V&#7842;I__DA__SIMILI"/><Relationship Id="rId2" Type="http://schemas.openxmlformats.org/officeDocument/2006/relationships/hyperlink" Target="#V&#7852;T_T&#431;_FOAM_SOFA"/><Relationship Id="rId1" Type="http://schemas.openxmlformats.org/officeDocument/2006/relationships/hyperlink" Target="#V&#7852;T_T&#431;_G&#7894;__V&#7852;T_T&#431;_T&#7844;M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V&#7842;I__DA__SIMILI"/><Relationship Id="rId2" Type="http://schemas.openxmlformats.org/officeDocument/2006/relationships/hyperlink" Target="#V&#7852;T_T&#431;_FOAM_SOFA"/><Relationship Id="rId1" Type="http://schemas.openxmlformats.org/officeDocument/2006/relationships/hyperlink" Target="#V&#7852;T_T&#431;_G&#7894;__V&#7852;T_T&#431;_T&#7844;M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V&#7842;I__DA__SIMILI"/><Relationship Id="rId2" Type="http://schemas.openxmlformats.org/officeDocument/2006/relationships/hyperlink" Target="#V&#7852;T_T&#431;_FOAM_SOFA"/><Relationship Id="rId1" Type="http://schemas.openxmlformats.org/officeDocument/2006/relationships/hyperlink" Target="#V&#7852;T_T&#431;_G&#7894;__V&#7852;T_T&#431;_T&#7844;M"/><Relationship Id="rId4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V&#7842;I__DA__SIMILI"/><Relationship Id="rId2" Type="http://schemas.openxmlformats.org/officeDocument/2006/relationships/hyperlink" Target="#V&#7852;T_T&#431;_FOAM_SOFA"/><Relationship Id="rId1" Type="http://schemas.openxmlformats.org/officeDocument/2006/relationships/hyperlink" Target="#V&#7852;T_T&#431;_G&#7894;__V&#7852;T_T&#431;_T&#7844;M"/><Relationship Id="rId4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V&#7842;I__DA__SIMILI"/><Relationship Id="rId2" Type="http://schemas.openxmlformats.org/officeDocument/2006/relationships/hyperlink" Target="#V&#7852;T_T&#431;_FOAM_SOFA"/><Relationship Id="rId1" Type="http://schemas.openxmlformats.org/officeDocument/2006/relationships/hyperlink" Target="#V&#7852;T_T&#431;_G&#7894;__V&#7852;T_T&#431;_T&#7844;M"/><Relationship Id="rId4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V&#7842;I__DA__SIMILI"/><Relationship Id="rId2" Type="http://schemas.openxmlformats.org/officeDocument/2006/relationships/hyperlink" Target="#V&#7852;T_T&#431;_FOAM_SOFA"/><Relationship Id="rId1" Type="http://schemas.openxmlformats.org/officeDocument/2006/relationships/hyperlink" Target="#V&#7852;T_T&#431;_G&#7894;__V&#7852;T_T&#431;_T&#7844;M"/><Relationship Id="rId4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V&#7842;I__DA__SIMILI"/><Relationship Id="rId2" Type="http://schemas.openxmlformats.org/officeDocument/2006/relationships/hyperlink" Target="#V&#7852;T_T&#431;_FOAM_SOFA"/><Relationship Id="rId1" Type="http://schemas.openxmlformats.org/officeDocument/2006/relationships/hyperlink" Target="#V&#7852;T_T&#431;_G&#7894;__V&#7852;T_T&#431;_T&#7844;M"/><Relationship Id="rId4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V&#7852;T_T&#431;_V&#7842;I__DA__SIMILI"/><Relationship Id="rId2" Type="http://schemas.openxmlformats.org/officeDocument/2006/relationships/hyperlink" Target="#V&#7852;T_T&#431;_FOAM_SOFA"/><Relationship Id="rId1" Type="http://schemas.openxmlformats.org/officeDocument/2006/relationships/hyperlink" Target="#V&#7852;T_T&#431;_G&#7894;__V&#7852;T_T&#431;_T&#7844;M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44823</xdr:colOff>
      <xdr:row>0</xdr:row>
      <xdr:rowOff>0</xdr:rowOff>
    </xdr:from>
    <xdr:to>
      <xdr:col>12</xdr:col>
      <xdr:colOff>280147</xdr:colOff>
      <xdr:row>4</xdr:row>
      <xdr:rowOff>2928</xdr:rowOff>
    </xdr:to>
    <xdr:pic macro="[0]!Print_in">
      <xdr:nvPicPr>
        <xdr:cNvPr id="6" name="Picture 5" descr="Printer Icons Se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31470" y="0"/>
          <a:ext cx="1490383" cy="14933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287987</xdr:colOff>
      <xdr:row>0</xdr:row>
      <xdr:rowOff>80921</xdr:rowOff>
    </xdr:from>
    <xdr:to>
      <xdr:col>2</xdr:col>
      <xdr:colOff>1428038</xdr:colOff>
      <xdr:row>2</xdr:row>
      <xdr:rowOff>408161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D4068B5-BC1A-3389-80E7-8CA464CA0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4030" y="80921"/>
          <a:ext cx="1140051" cy="10395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207279</xdr:colOff>
      <xdr:row>5</xdr:row>
      <xdr:rowOff>183245</xdr:rowOff>
    </xdr:from>
    <xdr:to>
      <xdr:col>28</xdr:col>
      <xdr:colOff>273048</xdr:colOff>
      <xdr:row>6</xdr:row>
      <xdr:rowOff>258536</xdr:rowOff>
    </xdr:to>
    <xdr:sp macro="" textlink="">
      <xdr:nvSpPr>
        <xdr:cNvPr id="7" name="Rectangle: Rounded Corners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9583850" y="1870531"/>
          <a:ext cx="3195412" cy="38825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 baseline="0">
              <a:solidFill>
                <a:sysClr val="windowText" lastClr="000000"/>
              </a:solidFill>
            </a:rPr>
            <a:t>A.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213631</xdr:colOff>
      <xdr:row>7</xdr:row>
      <xdr:rowOff>23134</xdr:rowOff>
    </xdr:from>
    <xdr:to>
      <xdr:col>28</xdr:col>
      <xdr:colOff>279400</xdr:colOff>
      <xdr:row>8</xdr:row>
      <xdr:rowOff>105681</xdr:rowOff>
    </xdr:to>
    <xdr:sp macro="" textlink="">
      <xdr:nvSpPr>
        <xdr:cNvPr id="8" name="Rectangle: Rounded Corner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590202" y="2336348"/>
          <a:ext cx="3195412" cy="39551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B.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214536</xdr:colOff>
      <xdr:row>8</xdr:row>
      <xdr:rowOff>185059</xdr:rowOff>
    </xdr:from>
    <xdr:to>
      <xdr:col>28</xdr:col>
      <xdr:colOff>293005</xdr:colOff>
      <xdr:row>9</xdr:row>
      <xdr:rowOff>316139</xdr:rowOff>
    </xdr:to>
    <xdr:sp macro="" textlink="">
      <xdr:nvSpPr>
        <xdr:cNvPr id="9" name="Rectangle: Rounded Corner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9591107" y="2811238"/>
          <a:ext cx="3208112" cy="430437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C.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2</xdr:col>
      <xdr:colOff>11207</xdr:colOff>
      <xdr:row>3</xdr:row>
      <xdr:rowOff>22412</xdr:rowOff>
    </xdr:from>
    <xdr:ext cx="2442882" cy="291353"/>
    <xdr:sp macro="" textlink="">
      <xdr:nvSpPr>
        <xdr:cNvPr id="10" name="TextBox 9">
          <a:hlinkClick xmlns:r="http://schemas.openxmlformats.org/officeDocument/2006/relationships" r:id="rId4" tooltip="BILL DỰ ÁN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885266" y="1064559"/>
          <a:ext cx="2442882" cy="2913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 sz="1100"/>
        </a:p>
      </xdr:txBody>
    </xdr:sp>
    <xdr:clientData/>
  </xdr:oneCellAnchor>
  <xdr:oneCellAnchor>
    <xdr:from>
      <xdr:col>14</xdr:col>
      <xdr:colOff>11206</xdr:colOff>
      <xdr:row>3</xdr:row>
      <xdr:rowOff>11206</xdr:rowOff>
    </xdr:from>
    <xdr:ext cx="2319617" cy="313765"/>
    <xdr:sp macro="" textlink="">
      <xdr:nvSpPr>
        <xdr:cNvPr id="14" name="TextBox 13">
          <a:hlinkClick xmlns:r="http://schemas.openxmlformats.org/officeDocument/2006/relationships" r:id="rId5" tooltip="BẢN VẼ SẢN XUẤT"/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12685059" y="1053353"/>
          <a:ext cx="2319617" cy="3137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22</xdr:col>
      <xdr:colOff>201706</xdr:colOff>
      <xdr:row>4</xdr:row>
      <xdr:rowOff>67235</xdr:rowOff>
    </xdr:from>
    <xdr:to>
      <xdr:col>23</xdr:col>
      <xdr:colOff>190500</xdr:colOff>
      <xdr:row>5</xdr:row>
      <xdr:rowOff>142527</xdr:rowOff>
    </xdr:to>
    <xdr:sp macro="[0]!ON_II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BDAE0E4C-82DD-4BD6-9A39-BEE9D571535C}"/>
            </a:ext>
          </a:extLst>
        </xdr:cNvPr>
        <xdr:cNvSpPr/>
      </xdr:nvSpPr>
      <xdr:spPr>
        <a:xfrm>
          <a:off x="19800794" y="1423147"/>
          <a:ext cx="571500" cy="389056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ON</a:t>
          </a:r>
          <a:r>
            <a:rPr lang="en-US" sz="1800" baseline="0">
              <a:solidFill>
                <a:sysClr val="windowText" lastClr="000000"/>
              </a:solidFill>
            </a:rPr>
            <a:t> 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23</xdr:col>
      <xdr:colOff>224118</xdr:colOff>
      <xdr:row>4</xdr:row>
      <xdr:rowOff>67235</xdr:rowOff>
    </xdr:from>
    <xdr:to>
      <xdr:col>24</xdr:col>
      <xdr:colOff>246530</xdr:colOff>
      <xdr:row>5</xdr:row>
      <xdr:rowOff>142527</xdr:rowOff>
    </xdr:to>
    <xdr:sp macro="[0]!OFF_II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56AFB2A0-7F71-45DC-AB2A-0F9A697701D8}"/>
            </a:ext>
          </a:extLst>
        </xdr:cNvPr>
        <xdr:cNvSpPr/>
      </xdr:nvSpPr>
      <xdr:spPr>
        <a:xfrm>
          <a:off x="20405912" y="1423147"/>
          <a:ext cx="605118" cy="389056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 baseline="0">
              <a:solidFill>
                <a:sysClr val="windowText" lastClr="000000"/>
              </a:solidFill>
            </a:rPr>
            <a:t>OFF 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208864</xdr:colOff>
      <xdr:row>0</xdr:row>
      <xdr:rowOff>28948</xdr:rowOff>
    </xdr:from>
    <xdr:to>
      <xdr:col>3</xdr:col>
      <xdr:colOff>1337829</xdr:colOff>
      <xdr:row>2</xdr:row>
      <xdr:rowOff>345908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83DCA228-BB0C-ED94-B009-AD3CFC616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62330" y="28948"/>
          <a:ext cx="1128965" cy="1018346"/>
        </a:xfrm>
        <a:prstGeom prst="rect">
          <a:avLst/>
        </a:prstGeom>
      </xdr:spPr>
    </xdr:pic>
    <xdr:clientData/>
  </xdr:twoCellAnchor>
  <xdr:twoCellAnchor>
    <xdr:from>
      <xdr:col>0</xdr:col>
      <xdr:colOff>11907</xdr:colOff>
      <xdr:row>0</xdr:row>
      <xdr:rowOff>59532</xdr:rowOff>
    </xdr:from>
    <xdr:to>
      <xdr:col>1</xdr:col>
      <xdr:colOff>343321</xdr:colOff>
      <xdr:row>1</xdr:row>
      <xdr:rowOff>96442</xdr:rowOff>
    </xdr:to>
    <xdr:sp macro="" textlink="">
      <xdr:nvSpPr>
        <xdr:cNvPr id="3" name="Rectangle: Rounded Corners 2">
          <a:hlinkClick xmlns:r="http://schemas.openxmlformats.org/officeDocument/2006/relationships" r:id="rId7" tooltip="STANDARD BAZIS DATA"/>
          <a:extLst>
            <a:ext uri="{FF2B5EF4-FFF2-40B4-BE49-F238E27FC236}">
              <a16:creationId xmlns:a16="http://schemas.microsoft.com/office/drawing/2014/main" id="{D2D586CB-53B2-4310-8219-3BC3A641895D}"/>
            </a:ext>
          </a:extLst>
        </xdr:cNvPr>
        <xdr:cNvSpPr/>
      </xdr:nvSpPr>
      <xdr:spPr>
        <a:xfrm>
          <a:off x="11907" y="59532"/>
          <a:ext cx="783852" cy="394098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ysClr val="windowText" lastClr="000000"/>
              </a:solidFill>
            </a:rPr>
            <a:t>DATA</a:t>
          </a:r>
        </a:p>
      </xdr:txBody>
    </xdr:sp>
    <xdr:clientData/>
  </xdr:twoCellAnchor>
  <xdr:twoCellAnchor>
    <xdr:from>
      <xdr:col>0</xdr:col>
      <xdr:colOff>24658</xdr:colOff>
      <xdr:row>1</xdr:row>
      <xdr:rowOff>130968</xdr:rowOff>
    </xdr:from>
    <xdr:to>
      <xdr:col>1</xdr:col>
      <xdr:colOff>356072</xdr:colOff>
      <xdr:row>2</xdr:row>
      <xdr:rowOff>167880</xdr:rowOff>
    </xdr:to>
    <xdr:sp macro="" textlink="">
      <xdr:nvSpPr>
        <xdr:cNvPr id="4" name="Rectangle: Rounded Corners 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D0BE981-95DB-4073-8E2B-F5FB582FDF44}"/>
            </a:ext>
          </a:extLst>
        </xdr:cNvPr>
        <xdr:cNvSpPr/>
      </xdr:nvSpPr>
      <xdr:spPr>
        <a:xfrm>
          <a:off x="24658" y="488156"/>
          <a:ext cx="783852" cy="394099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ysClr val="windowText" lastClr="000000"/>
              </a:solidFill>
            </a:rPr>
            <a:t>BAZIS</a:t>
          </a:r>
        </a:p>
      </xdr:txBody>
    </xdr:sp>
    <xdr:clientData/>
  </xdr:twoCellAnchor>
  <xdr:twoCellAnchor>
    <xdr:from>
      <xdr:col>0</xdr:col>
      <xdr:colOff>0</xdr:colOff>
      <xdr:row>2</xdr:row>
      <xdr:rowOff>205069</xdr:rowOff>
    </xdr:from>
    <xdr:to>
      <xdr:col>1</xdr:col>
      <xdr:colOff>331414</xdr:colOff>
      <xdr:row>3</xdr:row>
      <xdr:rowOff>237497</xdr:rowOff>
    </xdr:to>
    <xdr:sp macro="" textlink="">
      <xdr:nvSpPr>
        <xdr:cNvPr id="5" name="Rectangle: Rounded Corners 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60B791D6-6CBC-4485-924C-BE78C95DEF3B}"/>
            </a:ext>
          </a:extLst>
        </xdr:cNvPr>
        <xdr:cNvSpPr/>
      </xdr:nvSpPr>
      <xdr:spPr>
        <a:xfrm>
          <a:off x="0" y="919444"/>
          <a:ext cx="783852" cy="389616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ysClr val="windowText" lastClr="000000"/>
              </a:solidFill>
            </a:rPr>
            <a:t>2026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126216</xdr:colOff>
      <xdr:row>3</xdr:row>
      <xdr:rowOff>105227</xdr:rowOff>
    </xdr:from>
    <xdr:to>
      <xdr:col>16</xdr:col>
      <xdr:colOff>620171</xdr:colOff>
      <xdr:row>5</xdr:row>
      <xdr:rowOff>23648</xdr:rowOff>
    </xdr:to>
    <xdr:sp macro="" textlink="">
      <xdr:nvSpPr>
        <xdr:cNvPr id="6" name="Rectangle: Rounded Corner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8526275" y="1035315"/>
          <a:ext cx="1188720" cy="41148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>
              <a:solidFill>
                <a:sysClr val="windowText" lastClr="000000"/>
              </a:solidFill>
            </a:rPr>
            <a:t>A. CHỈ</a:t>
          </a:r>
          <a:r>
            <a:rPr lang="en-US" sz="1200" baseline="0">
              <a:solidFill>
                <a:sysClr val="windowText" lastClr="000000"/>
              </a:solidFill>
            </a:rPr>
            <a:t> CẠNH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131979</xdr:colOff>
      <xdr:row>5</xdr:row>
      <xdr:rowOff>64633</xdr:rowOff>
    </xdr:from>
    <xdr:to>
      <xdr:col>16</xdr:col>
      <xdr:colOff>625934</xdr:colOff>
      <xdr:row>6</xdr:row>
      <xdr:rowOff>229584</xdr:rowOff>
    </xdr:to>
    <xdr:sp macro="" textlink="">
      <xdr:nvSpPr>
        <xdr:cNvPr id="7" name="Rectangle: Rounded Corner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8532038" y="1487780"/>
          <a:ext cx="1188720" cy="41148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 baseline="0">
              <a:solidFill>
                <a:sysClr val="windowText" lastClr="000000"/>
              </a:solidFill>
            </a:rPr>
            <a:t>B1. CƠ KHÍ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131979</xdr:colOff>
      <xdr:row>7</xdr:row>
      <xdr:rowOff>27891</xdr:rowOff>
    </xdr:from>
    <xdr:to>
      <xdr:col>16</xdr:col>
      <xdr:colOff>625934</xdr:colOff>
      <xdr:row>8</xdr:row>
      <xdr:rowOff>192842</xdr:rowOff>
    </xdr:to>
    <xdr:sp macro="" textlink="">
      <xdr:nvSpPr>
        <xdr:cNvPr id="8" name="Rectangle: Rounded Corner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8532038" y="1944097"/>
          <a:ext cx="1188720" cy="41148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 baseline="0">
              <a:solidFill>
                <a:sysClr val="windowText" lastClr="000000"/>
              </a:solidFill>
            </a:rPr>
            <a:t>B2. GC KLOẠI</a:t>
          </a:r>
        </a:p>
      </xdr:txBody>
    </xdr:sp>
    <xdr:clientData/>
  </xdr:twoCellAnchor>
  <xdr:twoCellAnchor>
    <xdr:from>
      <xdr:col>16</xdr:col>
      <xdr:colOff>682130</xdr:colOff>
      <xdr:row>3</xdr:row>
      <xdr:rowOff>105227</xdr:rowOff>
    </xdr:from>
    <xdr:to>
      <xdr:col>19</xdr:col>
      <xdr:colOff>44292</xdr:colOff>
      <xdr:row>5</xdr:row>
      <xdr:rowOff>23648</xdr:rowOff>
    </xdr:to>
    <xdr:sp macro="" textlink="">
      <xdr:nvSpPr>
        <xdr:cNvPr id="9" name="Rectangle: Rounded Corner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9776954" y="1035315"/>
          <a:ext cx="1188720" cy="41148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 baseline="0">
              <a:solidFill>
                <a:sysClr val="windowText" lastClr="000000"/>
              </a:solidFill>
            </a:rPr>
            <a:t>C. VẬT TƯ PHỤ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695925</xdr:colOff>
      <xdr:row>5</xdr:row>
      <xdr:rowOff>64632</xdr:rowOff>
    </xdr:from>
    <xdr:to>
      <xdr:col>19</xdr:col>
      <xdr:colOff>58087</xdr:colOff>
      <xdr:row>6</xdr:row>
      <xdr:rowOff>229583</xdr:rowOff>
    </xdr:to>
    <xdr:sp macro="" textlink="">
      <xdr:nvSpPr>
        <xdr:cNvPr id="10" name="Rectangle: Rounded Corners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9790749" y="1487779"/>
          <a:ext cx="1188720" cy="41148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 baseline="0">
              <a:solidFill>
                <a:sysClr val="windowText" lastClr="000000"/>
              </a:solidFill>
            </a:rPr>
            <a:t>D. PHỤ KIỆN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695924</xdr:colOff>
      <xdr:row>7</xdr:row>
      <xdr:rowOff>31067</xdr:rowOff>
    </xdr:from>
    <xdr:to>
      <xdr:col>19</xdr:col>
      <xdr:colOff>58086</xdr:colOff>
      <xdr:row>8</xdr:row>
      <xdr:rowOff>196018</xdr:rowOff>
    </xdr:to>
    <xdr:sp macro="" textlink="">
      <xdr:nvSpPr>
        <xdr:cNvPr id="11" name="Rectangle: Rounded Corners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9790748" y="1947273"/>
          <a:ext cx="1188720" cy="41148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 baseline="0">
              <a:solidFill>
                <a:sysClr val="windowText" lastClr="000000"/>
              </a:solidFill>
            </a:rPr>
            <a:t>E. THẦU PHỤ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15</xdr:col>
      <xdr:colOff>215900</xdr:colOff>
      <xdr:row>1</xdr:row>
      <xdr:rowOff>215900</xdr:rowOff>
    </xdr:from>
    <xdr:to>
      <xdr:col>20</xdr:col>
      <xdr:colOff>393700</xdr:colOff>
      <xdr:row>2</xdr:row>
      <xdr:rowOff>266700</xdr:rowOff>
    </xdr:to>
    <xdr:sp macro="" textlink="">
      <xdr:nvSpPr>
        <xdr:cNvPr id="3073" name="lblUpdateStatus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2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78442</xdr:colOff>
      <xdr:row>9</xdr:row>
      <xdr:rowOff>145676</xdr:rowOff>
    </xdr:from>
    <xdr:to>
      <xdr:col>16</xdr:col>
      <xdr:colOff>616324</xdr:colOff>
      <xdr:row>10</xdr:row>
      <xdr:rowOff>321833</xdr:rowOff>
    </xdr:to>
    <xdr:sp macro="[0]!ON_II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B088B3C-96E4-4676-8F04-AC6094BD71B0}"/>
            </a:ext>
          </a:extLst>
        </xdr:cNvPr>
        <xdr:cNvSpPr/>
      </xdr:nvSpPr>
      <xdr:spPr>
        <a:xfrm>
          <a:off x="19173266" y="2554941"/>
          <a:ext cx="537882" cy="41148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ON</a:t>
          </a:r>
          <a:r>
            <a:rPr lang="en-US" sz="1200" baseline="0">
              <a:solidFill>
                <a:sysClr val="windowText" lastClr="000000"/>
              </a:solidFill>
            </a:rPr>
            <a:t> 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683556</xdr:colOff>
      <xdr:row>9</xdr:row>
      <xdr:rowOff>145677</xdr:rowOff>
    </xdr:from>
    <xdr:to>
      <xdr:col>18</xdr:col>
      <xdr:colOff>67235</xdr:colOff>
      <xdr:row>10</xdr:row>
      <xdr:rowOff>321834</xdr:rowOff>
    </xdr:to>
    <xdr:sp macro="[0]!OFF_III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185303B-DA0A-484D-A484-9FCFBDC2D3C5}"/>
            </a:ext>
          </a:extLst>
        </xdr:cNvPr>
        <xdr:cNvSpPr/>
      </xdr:nvSpPr>
      <xdr:spPr>
        <a:xfrm>
          <a:off x="19778380" y="2554942"/>
          <a:ext cx="605120" cy="411480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solidFill>
                <a:sysClr val="windowText" lastClr="000000"/>
              </a:solidFill>
            </a:rPr>
            <a:t>OFF 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201527</xdr:colOff>
      <xdr:row>0</xdr:row>
      <xdr:rowOff>16736</xdr:rowOff>
    </xdr:from>
    <xdr:to>
      <xdr:col>3</xdr:col>
      <xdr:colOff>1198757</xdr:colOff>
      <xdr:row>2</xdr:row>
      <xdr:rowOff>345717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F446D45-D0B2-4CDE-5432-B021A2D1A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06942" y="16736"/>
          <a:ext cx="1010565" cy="900481"/>
        </a:xfrm>
        <a:prstGeom prst="rect">
          <a:avLst/>
        </a:prstGeom>
      </xdr:spPr>
    </xdr:pic>
    <xdr:clientData/>
  </xdr:twoCellAnchor>
  <xdr:twoCellAnchor editAs="oneCell">
    <xdr:from>
      <xdr:col>15</xdr:col>
      <xdr:colOff>161925</xdr:colOff>
      <xdr:row>1</xdr:row>
      <xdr:rowOff>161925</xdr:rowOff>
    </xdr:from>
    <xdr:to>
      <xdr:col>20</xdr:col>
      <xdr:colOff>295275</xdr:colOff>
      <xdr:row>2</xdr:row>
      <xdr:rowOff>200025</xdr:rowOff>
    </xdr:to>
    <xdr:pic>
      <xdr:nvPicPr>
        <xdr:cNvPr id="3" name="lblUpdateStatus">
          <a:extLst>
            <a:ext uri="{FF2B5EF4-FFF2-40B4-BE49-F238E27FC236}">
              <a16:creationId xmlns:a16="http://schemas.microsoft.com/office/drawing/2014/main" id="{37901470-B97E-6C60-FE27-3CD589B81C7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16600" y="428625"/>
          <a:ext cx="4562475" cy="342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215900</xdr:colOff>
      <xdr:row>1</xdr:row>
      <xdr:rowOff>215900</xdr:rowOff>
    </xdr:from>
    <xdr:to>
      <xdr:col>25</xdr:col>
      <xdr:colOff>635000</xdr:colOff>
      <xdr:row>2</xdr:row>
      <xdr:rowOff>266700</xdr:rowOff>
    </xdr:to>
    <xdr:sp macro="" textlink="">
      <xdr:nvSpPr>
        <xdr:cNvPr id="4097" name="lblUpdateStatus" hidden="1">
          <a:extLst>
            <a:ext uri="{63B3BB69-23CF-44E3-9099-C40C66FF867C}">
              <a14:compatExt xmlns:a14="http://schemas.microsoft.com/office/drawing/2010/main" spid="_x0000_s4097"/>
            </a:ex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78444</xdr:colOff>
      <xdr:row>7</xdr:row>
      <xdr:rowOff>110289</xdr:rowOff>
    </xdr:from>
    <xdr:to>
      <xdr:col>18</xdr:col>
      <xdr:colOff>290764</xdr:colOff>
      <xdr:row>8</xdr:row>
      <xdr:rowOff>243392</xdr:rowOff>
    </xdr:to>
    <xdr:sp macro="[0]!ON_IV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AA39C93-F4C8-4AC3-A519-16ACA025DF54}"/>
            </a:ext>
          </a:extLst>
        </xdr:cNvPr>
        <xdr:cNvSpPr/>
      </xdr:nvSpPr>
      <xdr:spPr>
        <a:xfrm>
          <a:off x="16782286" y="2045368"/>
          <a:ext cx="513110" cy="38376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ON</a:t>
          </a:r>
          <a:r>
            <a:rPr lang="en-US" sz="1200" baseline="0">
              <a:solidFill>
                <a:sysClr val="windowText" lastClr="000000"/>
              </a:solidFill>
            </a:rPr>
            <a:t> 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18</xdr:col>
      <xdr:colOff>348561</xdr:colOff>
      <xdr:row>7</xdr:row>
      <xdr:rowOff>110289</xdr:rowOff>
    </xdr:from>
    <xdr:to>
      <xdr:col>19</xdr:col>
      <xdr:colOff>260685</xdr:colOff>
      <xdr:row>9</xdr:row>
      <xdr:rowOff>8069</xdr:rowOff>
    </xdr:to>
    <xdr:sp macro="[0]!OFF_IV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5D0DCED3-806A-412B-B3F8-EE05486EC25A}"/>
            </a:ext>
          </a:extLst>
        </xdr:cNvPr>
        <xdr:cNvSpPr/>
      </xdr:nvSpPr>
      <xdr:spPr>
        <a:xfrm>
          <a:off x="17353193" y="2045368"/>
          <a:ext cx="483624" cy="399096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solidFill>
                <a:sysClr val="windowText" lastClr="000000"/>
              </a:solidFill>
            </a:rPr>
            <a:t>OFF 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110290</xdr:colOff>
      <xdr:row>2</xdr:row>
      <xdr:rowOff>270710</xdr:rowOff>
    </xdr:from>
    <xdr:to>
      <xdr:col>19</xdr:col>
      <xdr:colOff>220579</xdr:colOff>
      <xdr:row>4</xdr:row>
      <xdr:rowOff>190901</xdr:rowOff>
    </xdr:to>
    <xdr:sp macro="[0]!ON_IV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FD68707-0EBA-4CA9-A7A9-1FFFCCA9D984}"/>
            </a:ext>
          </a:extLst>
        </xdr:cNvPr>
        <xdr:cNvSpPr/>
      </xdr:nvSpPr>
      <xdr:spPr>
        <a:xfrm>
          <a:off x="16814132" y="842210"/>
          <a:ext cx="892342" cy="531796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 baseline="0">
              <a:solidFill>
                <a:sysClr val="windowText" lastClr="000000"/>
              </a:solidFill>
            </a:rPr>
            <a:t>HỆ SỐ TỈ TRỌNG </a:t>
          </a:r>
          <a:endParaRPr lang="en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20</xdr:col>
      <xdr:colOff>33239</xdr:colOff>
      <xdr:row>7</xdr:row>
      <xdr:rowOff>132299</xdr:rowOff>
    </xdr:from>
    <xdr:to>
      <xdr:col>21</xdr:col>
      <xdr:colOff>389954</xdr:colOff>
      <xdr:row>8</xdr:row>
      <xdr:rowOff>246328</xdr:rowOff>
    </xdr:to>
    <xdr:sp macro="[0]!ToiUu_GiaoRoi_CotB" textlink="">
      <xdr:nvSpPr>
        <xdr:cNvPr id="3" name="Rectangle 2">
          <a:extLst>
            <a:ext uri="{FF2B5EF4-FFF2-40B4-BE49-F238E27FC236}">
              <a16:creationId xmlns:a16="http://schemas.microsoft.com/office/drawing/2014/main" id="{737DE7CA-4C7A-4DFA-8051-E238B71BBC2B}"/>
            </a:ext>
          </a:extLst>
        </xdr:cNvPr>
        <xdr:cNvSpPr/>
      </xdr:nvSpPr>
      <xdr:spPr>
        <a:xfrm>
          <a:off x="18505170" y="2063575"/>
          <a:ext cx="836250" cy="36365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n>
                <a:solidFill>
                  <a:schemeClr val="tx1"/>
                </a:solidFill>
              </a:ln>
            </a:rPr>
            <a:t>ĐÓNG</a:t>
          </a:r>
          <a:r>
            <a:rPr lang="en-US" sz="1100" baseline="0">
              <a:ln>
                <a:solidFill>
                  <a:schemeClr val="tx1"/>
                </a:solidFill>
              </a:ln>
            </a:rPr>
            <a:t> GÓI</a:t>
          </a:r>
          <a:endParaRPr lang="en-US" sz="1100">
            <a:ln>
              <a:solidFill>
                <a:schemeClr val="tx1"/>
              </a:solidFill>
            </a:ln>
          </a:endParaRPr>
        </a:p>
      </xdr:txBody>
    </xdr:sp>
    <xdr:clientData/>
  </xdr:twoCellAnchor>
  <xdr:twoCellAnchor editAs="oneCell">
    <xdr:from>
      <xdr:col>2</xdr:col>
      <xdr:colOff>348887</xdr:colOff>
      <xdr:row>0</xdr:row>
      <xdr:rowOff>17855</xdr:rowOff>
    </xdr:from>
    <xdr:to>
      <xdr:col>3</xdr:col>
      <xdr:colOff>400050</xdr:colOff>
      <xdr:row>2</xdr:row>
      <xdr:rowOff>341771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B0A9114-F45C-456B-BAE9-3EC752317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2797" y="17855"/>
          <a:ext cx="1007473" cy="895416"/>
        </a:xfrm>
        <a:prstGeom prst="rect">
          <a:avLst/>
        </a:prstGeom>
      </xdr:spPr>
    </xdr:pic>
    <xdr:clientData/>
  </xdr:twoCellAnchor>
  <xdr:twoCellAnchor editAs="oneCell">
    <xdr:from>
      <xdr:col>18</xdr:col>
      <xdr:colOff>161925</xdr:colOff>
      <xdr:row>1</xdr:row>
      <xdr:rowOff>161925</xdr:rowOff>
    </xdr:from>
    <xdr:to>
      <xdr:col>25</xdr:col>
      <xdr:colOff>476250</xdr:colOff>
      <xdr:row>2</xdr:row>
      <xdr:rowOff>200025</xdr:rowOff>
    </xdr:to>
    <xdr:pic>
      <xdr:nvPicPr>
        <xdr:cNvPr id="5" name="lblUpdateStatus">
          <a:extLst>
            <a:ext uri="{FF2B5EF4-FFF2-40B4-BE49-F238E27FC236}">
              <a16:creationId xmlns:a16="http://schemas.microsoft.com/office/drawing/2014/main" id="{15F1F010-AAFD-84F6-F926-C4C2C49E9A4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45075" y="428625"/>
          <a:ext cx="4371975" cy="342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207279</xdr:colOff>
      <xdr:row>6</xdr:row>
      <xdr:rowOff>183245</xdr:rowOff>
    </xdr:from>
    <xdr:to>
      <xdr:col>20</xdr:col>
      <xdr:colOff>273048</xdr:colOff>
      <xdr:row>7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07538B-EE15-4A91-95E5-874E9553922C}"/>
            </a:ext>
          </a:extLst>
        </xdr:cNvPr>
        <xdr:cNvSpPr/>
      </xdr:nvSpPr>
      <xdr:spPr>
        <a:xfrm>
          <a:off x="16811259" y="2194925"/>
          <a:ext cx="5994129" cy="395331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213631</xdr:colOff>
      <xdr:row>8</xdr:row>
      <xdr:rowOff>23134</xdr:rowOff>
    </xdr:from>
    <xdr:to>
      <xdr:col>20</xdr:col>
      <xdr:colOff>279400</xdr:colOff>
      <xdr:row>9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EA78067-E2E1-466F-A05B-4ED0539236B1}"/>
            </a:ext>
          </a:extLst>
        </xdr:cNvPr>
        <xdr:cNvSpPr/>
      </xdr:nvSpPr>
      <xdr:spPr>
        <a:xfrm>
          <a:off x="16817611" y="2674894"/>
          <a:ext cx="5994129" cy="402587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214536</xdr:colOff>
      <xdr:row>9</xdr:row>
      <xdr:rowOff>185059</xdr:rowOff>
    </xdr:from>
    <xdr:to>
      <xdr:col>20</xdr:col>
      <xdr:colOff>293005</xdr:colOff>
      <xdr:row>10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7461CF0-BCCC-43EC-8203-1A52CA73734E}"/>
            </a:ext>
          </a:extLst>
        </xdr:cNvPr>
        <xdr:cNvSpPr/>
      </xdr:nvSpPr>
      <xdr:spPr>
        <a:xfrm>
          <a:off x="16818516" y="3156859"/>
          <a:ext cx="6006829" cy="42064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530133</xdr:colOff>
      <xdr:row>0</xdr:row>
      <xdr:rowOff>47341</xdr:rowOff>
    </xdr:from>
    <xdr:to>
      <xdr:col>3</xdr:col>
      <xdr:colOff>1642894</xdr:colOff>
      <xdr:row>2</xdr:row>
      <xdr:rowOff>324665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2DE123C-1D86-45A1-B305-5E11F476CA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69076" y="47341"/>
          <a:ext cx="1112761" cy="98489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207279</xdr:colOff>
      <xdr:row>6</xdr:row>
      <xdr:rowOff>183245</xdr:rowOff>
    </xdr:from>
    <xdr:to>
      <xdr:col>20</xdr:col>
      <xdr:colOff>273048</xdr:colOff>
      <xdr:row>7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F37D56-6398-44FF-AF66-0BD0798CEB9D}"/>
            </a:ext>
          </a:extLst>
        </xdr:cNvPr>
        <xdr:cNvSpPr/>
      </xdr:nvSpPr>
      <xdr:spPr>
        <a:xfrm>
          <a:off x="15070089" y="2210165"/>
          <a:ext cx="3169014" cy="399141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213631</xdr:colOff>
      <xdr:row>8</xdr:row>
      <xdr:rowOff>23134</xdr:rowOff>
    </xdr:from>
    <xdr:to>
      <xdr:col>20</xdr:col>
      <xdr:colOff>279400</xdr:colOff>
      <xdr:row>9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810AC80-4218-4C4B-8228-7512D0A5F5D1}"/>
            </a:ext>
          </a:extLst>
        </xdr:cNvPr>
        <xdr:cNvSpPr/>
      </xdr:nvSpPr>
      <xdr:spPr>
        <a:xfrm>
          <a:off x="15068821" y="2695849"/>
          <a:ext cx="3178539" cy="40830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214536</xdr:colOff>
      <xdr:row>9</xdr:row>
      <xdr:rowOff>185059</xdr:rowOff>
    </xdr:from>
    <xdr:to>
      <xdr:col>20</xdr:col>
      <xdr:colOff>293005</xdr:colOff>
      <xdr:row>10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307AB89-BF59-494B-A3AF-95E1D4BE09B2}"/>
            </a:ext>
          </a:extLst>
        </xdr:cNvPr>
        <xdr:cNvSpPr/>
      </xdr:nvSpPr>
      <xdr:spPr>
        <a:xfrm>
          <a:off x="15069726" y="3183529"/>
          <a:ext cx="3183619" cy="42064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541836</xdr:colOff>
      <xdr:row>0</xdr:row>
      <xdr:rowOff>51434</xdr:rowOff>
    </xdr:from>
    <xdr:to>
      <xdr:col>3</xdr:col>
      <xdr:colOff>1611788</xdr:colOff>
      <xdr:row>2</xdr:row>
      <xdr:rowOff>308610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8228AB2-D9E2-40ED-A95C-B28164FDE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80779" y="51434"/>
          <a:ext cx="1069952" cy="96474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207279</xdr:colOff>
      <xdr:row>6</xdr:row>
      <xdr:rowOff>183245</xdr:rowOff>
    </xdr:from>
    <xdr:to>
      <xdr:col>20</xdr:col>
      <xdr:colOff>273048</xdr:colOff>
      <xdr:row>7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4FD8657-794F-4B0E-ACD7-7719680E94F7}"/>
            </a:ext>
          </a:extLst>
        </xdr:cNvPr>
        <xdr:cNvSpPr/>
      </xdr:nvSpPr>
      <xdr:spPr>
        <a:xfrm>
          <a:off x="16552179" y="2183495"/>
          <a:ext cx="3075669" cy="389616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213631</xdr:colOff>
      <xdr:row>8</xdr:row>
      <xdr:rowOff>23134</xdr:rowOff>
    </xdr:from>
    <xdr:to>
      <xdr:col>20</xdr:col>
      <xdr:colOff>279400</xdr:colOff>
      <xdr:row>9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B158C3E-7E4F-4822-97AC-064F3F807041}"/>
            </a:ext>
          </a:extLst>
        </xdr:cNvPr>
        <xdr:cNvSpPr/>
      </xdr:nvSpPr>
      <xdr:spPr>
        <a:xfrm>
          <a:off x="16558531" y="2652034"/>
          <a:ext cx="3075669" cy="39687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214536</xdr:colOff>
      <xdr:row>9</xdr:row>
      <xdr:rowOff>185059</xdr:rowOff>
    </xdr:from>
    <xdr:to>
      <xdr:col>20</xdr:col>
      <xdr:colOff>293005</xdr:colOff>
      <xdr:row>10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400EE49-4E76-4AF4-A322-904D6346A7EA}"/>
            </a:ext>
          </a:extLst>
        </xdr:cNvPr>
        <xdr:cNvSpPr/>
      </xdr:nvSpPr>
      <xdr:spPr>
        <a:xfrm>
          <a:off x="16559436" y="3128284"/>
          <a:ext cx="3088369" cy="42635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482237</xdr:colOff>
      <xdr:row>0</xdr:row>
      <xdr:rowOff>40819</xdr:rowOff>
    </xdr:from>
    <xdr:to>
      <xdr:col>3</xdr:col>
      <xdr:colOff>1621731</xdr:colOff>
      <xdr:row>2</xdr:row>
      <xdr:rowOff>326572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A6656D6-5E9F-491E-97F1-C0AA1B53CA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21180" y="40819"/>
          <a:ext cx="1139494" cy="99332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207279</xdr:colOff>
      <xdr:row>6</xdr:row>
      <xdr:rowOff>183245</xdr:rowOff>
    </xdr:from>
    <xdr:to>
      <xdr:col>20</xdr:col>
      <xdr:colOff>273048</xdr:colOff>
      <xdr:row>7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3A6E554-5B93-4A8A-B184-9DEC6EB9C58F}"/>
            </a:ext>
          </a:extLst>
        </xdr:cNvPr>
        <xdr:cNvSpPr/>
      </xdr:nvSpPr>
      <xdr:spPr>
        <a:xfrm>
          <a:off x="16075929" y="2183495"/>
          <a:ext cx="3075669" cy="389616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213631</xdr:colOff>
      <xdr:row>8</xdr:row>
      <xdr:rowOff>23134</xdr:rowOff>
    </xdr:from>
    <xdr:to>
      <xdr:col>20</xdr:col>
      <xdr:colOff>279400</xdr:colOff>
      <xdr:row>9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6BF51A2-4558-49BD-A777-0DE241D0E29B}"/>
            </a:ext>
          </a:extLst>
        </xdr:cNvPr>
        <xdr:cNvSpPr/>
      </xdr:nvSpPr>
      <xdr:spPr>
        <a:xfrm>
          <a:off x="16082281" y="2652034"/>
          <a:ext cx="3075669" cy="39687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214536</xdr:colOff>
      <xdr:row>9</xdr:row>
      <xdr:rowOff>185059</xdr:rowOff>
    </xdr:from>
    <xdr:to>
      <xdr:col>20</xdr:col>
      <xdr:colOff>293005</xdr:colOff>
      <xdr:row>10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E045294-5FAF-403C-8A8B-AC6F5DA844D3}"/>
            </a:ext>
          </a:extLst>
        </xdr:cNvPr>
        <xdr:cNvSpPr/>
      </xdr:nvSpPr>
      <xdr:spPr>
        <a:xfrm>
          <a:off x="16083186" y="3128284"/>
          <a:ext cx="3088369" cy="42635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478699</xdr:colOff>
      <xdr:row>0</xdr:row>
      <xdr:rowOff>41638</xdr:rowOff>
    </xdr:from>
    <xdr:to>
      <xdr:col>3</xdr:col>
      <xdr:colOff>1613567</xdr:colOff>
      <xdr:row>2</xdr:row>
      <xdr:rowOff>318789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8CC570F-2A99-42CB-8144-E78F09694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17642" y="41638"/>
          <a:ext cx="1134868" cy="98472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207279</xdr:colOff>
      <xdr:row>6</xdr:row>
      <xdr:rowOff>183245</xdr:rowOff>
    </xdr:from>
    <xdr:to>
      <xdr:col>20</xdr:col>
      <xdr:colOff>273048</xdr:colOff>
      <xdr:row>7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06F866B-6571-4362-AA33-97EC212DF237}"/>
            </a:ext>
          </a:extLst>
        </xdr:cNvPr>
        <xdr:cNvSpPr/>
      </xdr:nvSpPr>
      <xdr:spPr>
        <a:xfrm>
          <a:off x="16075929" y="2183495"/>
          <a:ext cx="3075669" cy="389616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213631</xdr:colOff>
      <xdr:row>8</xdr:row>
      <xdr:rowOff>23134</xdr:rowOff>
    </xdr:from>
    <xdr:to>
      <xdr:col>20</xdr:col>
      <xdr:colOff>279400</xdr:colOff>
      <xdr:row>9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A8DE450-AEA7-46BC-B42F-9AD9227FCA5A}"/>
            </a:ext>
          </a:extLst>
        </xdr:cNvPr>
        <xdr:cNvSpPr/>
      </xdr:nvSpPr>
      <xdr:spPr>
        <a:xfrm>
          <a:off x="16082281" y="2652034"/>
          <a:ext cx="3075669" cy="39687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214536</xdr:colOff>
      <xdr:row>9</xdr:row>
      <xdr:rowOff>185059</xdr:rowOff>
    </xdr:from>
    <xdr:to>
      <xdr:col>20</xdr:col>
      <xdr:colOff>293005</xdr:colOff>
      <xdr:row>10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706347-69BE-4FE9-8BF3-9DF562535BDC}"/>
            </a:ext>
          </a:extLst>
        </xdr:cNvPr>
        <xdr:cNvSpPr/>
      </xdr:nvSpPr>
      <xdr:spPr>
        <a:xfrm>
          <a:off x="16083186" y="3128284"/>
          <a:ext cx="3088369" cy="42635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511357</xdr:colOff>
      <xdr:row>0</xdr:row>
      <xdr:rowOff>37828</xdr:rowOff>
    </xdr:from>
    <xdr:to>
      <xdr:col>3</xdr:col>
      <xdr:colOff>1665947</xdr:colOff>
      <xdr:row>2</xdr:row>
      <xdr:rowOff>327785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42A3DCD6-B0A9-43AD-AB68-12100DB324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50300" y="37828"/>
          <a:ext cx="1154590" cy="99752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207279</xdr:colOff>
      <xdr:row>6</xdr:row>
      <xdr:rowOff>183245</xdr:rowOff>
    </xdr:from>
    <xdr:to>
      <xdr:col>20</xdr:col>
      <xdr:colOff>273048</xdr:colOff>
      <xdr:row>7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B86C9FA-1C87-411B-8EE0-326645E9B2A3}"/>
            </a:ext>
          </a:extLst>
        </xdr:cNvPr>
        <xdr:cNvSpPr/>
      </xdr:nvSpPr>
      <xdr:spPr>
        <a:xfrm>
          <a:off x="16428354" y="2183495"/>
          <a:ext cx="3075669" cy="389616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213631</xdr:colOff>
      <xdr:row>8</xdr:row>
      <xdr:rowOff>23134</xdr:rowOff>
    </xdr:from>
    <xdr:to>
      <xdr:col>20</xdr:col>
      <xdr:colOff>279400</xdr:colOff>
      <xdr:row>9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E03D69C-6E94-45EC-A966-B0A41A0722BF}"/>
            </a:ext>
          </a:extLst>
        </xdr:cNvPr>
        <xdr:cNvSpPr/>
      </xdr:nvSpPr>
      <xdr:spPr>
        <a:xfrm>
          <a:off x="16434706" y="2652034"/>
          <a:ext cx="3075669" cy="39687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214536</xdr:colOff>
      <xdr:row>9</xdr:row>
      <xdr:rowOff>185059</xdr:rowOff>
    </xdr:from>
    <xdr:to>
      <xdr:col>20</xdr:col>
      <xdr:colOff>293005</xdr:colOff>
      <xdr:row>10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A32796-B822-440D-A5F3-9408743CA9E8}"/>
            </a:ext>
          </a:extLst>
        </xdr:cNvPr>
        <xdr:cNvSpPr/>
      </xdr:nvSpPr>
      <xdr:spPr>
        <a:xfrm>
          <a:off x="16435611" y="3128284"/>
          <a:ext cx="3088369" cy="42635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446722</xdr:colOff>
      <xdr:row>0</xdr:row>
      <xdr:rowOff>40149</xdr:rowOff>
    </xdr:from>
    <xdr:to>
      <xdr:col>3</xdr:col>
      <xdr:colOff>1580298</xdr:colOff>
      <xdr:row>2</xdr:row>
      <xdr:rowOff>328730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8904CB3-6A87-4D8E-83B6-BF6357B4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80222" y="40149"/>
          <a:ext cx="1133576" cy="99042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207279</xdr:colOff>
      <xdr:row>6</xdr:row>
      <xdr:rowOff>183245</xdr:rowOff>
    </xdr:from>
    <xdr:to>
      <xdr:col>20</xdr:col>
      <xdr:colOff>273048</xdr:colOff>
      <xdr:row>7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C87954-6A91-4168-9941-9C6263957BE0}"/>
            </a:ext>
          </a:extLst>
        </xdr:cNvPr>
        <xdr:cNvSpPr/>
      </xdr:nvSpPr>
      <xdr:spPr>
        <a:xfrm>
          <a:off x="16428354" y="2183495"/>
          <a:ext cx="3075669" cy="389616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213631</xdr:colOff>
      <xdr:row>8</xdr:row>
      <xdr:rowOff>23134</xdr:rowOff>
    </xdr:from>
    <xdr:to>
      <xdr:col>20</xdr:col>
      <xdr:colOff>279400</xdr:colOff>
      <xdr:row>9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BB7FA04-5577-4214-A39C-1F76D5D301C6}"/>
            </a:ext>
          </a:extLst>
        </xdr:cNvPr>
        <xdr:cNvSpPr/>
      </xdr:nvSpPr>
      <xdr:spPr>
        <a:xfrm>
          <a:off x="16434706" y="2652034"/>
          <a:ext cx="3075669" cy="39687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214536</xdr:colOff>
      <xdr:row>9</xdr:row>
      <xdr:rowOff>185059</xdr:rowOff>
    </xdr:from>
    <xdr:to>
      <xdr:col>20</xdr:col>
      <xdr:colOff>293005</xdr:colOff>
      <xdr:row>10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8C08113-2D81-48C2-8FE1-BCBF076040BA}"/>
            </a:ext>
          </a:extLst>
        </xdr:cNvPr>
        <xdr:cNvSpPr/>
      </xdr:nvSpPr>
      <xdr:spPr>
        <a:xfrm>
          <a:off x="16435611" y="3128284"/>
          <a:ext cx="3088369" cy="42635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455070</xdr:colOff>
      <xdr:row>0</xdr:row>
      <xdr:rowOff>43543</xdr:rowOff>
    </xdr:from>
    <xdr:to>
      <xdr:col>3</xdr:col>
      <xdr:colOff>1601368</xdr:colOff>
      <xdr:row>2</xdr:row>
      <xdr:rowOff>317866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289AFBE-8F28-47E9-B941-112DF807B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94013" y="43543"/>
          <a:ext cx="1146298" cy="9818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207279</xdr:colOff>
      <xdr:row>6</xdr:row>
      <xdr:rowOff>183245</xdr:rowOff>
    </xdr:from>
    <xdr:to>
      <xdr:col>20</xdr:col>
      <xdr:colOff>273048</xdr:colOff>
      <xdr:row>7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6850A1-08AD-4BC7-8E02-A355A54697FF}"/>
            </a:ext>
          </a:extLst>
        </xdr:cNvPr>
        <xdr:cNvSpPr/>
      </xdr:nvSpPr>
      <xdr:spPr>
        <a:xfrm>
          <a:off x="16428354" y="2183495"/>
          <a:ext cx="3075669" cy="389616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213631</xdr:colOff>
      <xdr:row>8</xdr:row>
      <xdr:rowOff>23134</xdr:rowOff>
    </xdr:from>
    <xdr:to>
      <xdr:col>20</xdr:col>
      <xdr:colOff>279400</xdr:colOff>
      <xdr:row>9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A8908E-89AB-44F8-81AE-0C140D77FF78}"/>
            </a:ext>
          </a:extLst>
        </xdr:cNvPr>
        <xdr:cNvSpPr/>
      </xdr:nvSpPr>
      <xdr:spPr>
        <a:xfrm>
          <a:off x="16434706" y="2652034"/>
          <a:ext cx="3075669" cy="39687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214536</xdr:colOff>
      <xdr:row>9</xdr:row>
      <xdr:rowOff>185059</xdr:rowOff>
    </xdr:from>
    <xdr:to>
      <xdr:col>20</xdr:col>
      <xdr:colOff>293005</xdr:colOff>
      <xdr:row>10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76B0E95-E1A6-45BF-8C80-019384419043}"/>
            </a:ext>
          </a:extLst>
        </xdr:cNvPr>
        <xdr:cNvSpPr/>
      </xdr:nvSpPr>
      <xdr:spPr>
        <a:xfrm>
          <a:off x="16435611" y="3128284"/>
          <a:ext cx="3088369" cy="42635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531052</xdr:colOff>
      <xdr:row>0</xdr:row>
      <xdr:rowOff>52081</xdr:rowOff>
    </xdr:from>
    <xdr:to>
      <xdr:col>3</xdr:col>
      <xdr:colOff>1665920</xdr:colOff>
      <xdr:row>2</xdr:row>
      <xdr:rowOff>329232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C2C26A5-F56E-43C4-9117-4C75F4793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64552" y="52081"/>
          <a:ext cx="1134868" cy="97962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207279</xdr:colOff>
      <xdr:row>6</xdr:row>
      <xdr:rowOff>183245</xdr:rowOff>
    </xdr:from>
    <xdr:to>
      <xdr:col>20</xdr:col>
      <xdr:colOff>273048</xdr:colOff>
      <xdr:row>7</xdr:row>
      <xdr:rowOff>258536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58494D9-1EC7-48C2-AF01-09FF85AE933D}"/>
            </a:ext>
          </a:extLst>
        </xdr:cNvPr>
        <xdr:cNvSpPr/>
      </xdr:nvSpPr>
      <xdr:spPr>
        <a:xfrm>
          <a:off x="16075929" y="2183495"/>
          <a:ext cx="3075669" cy="389616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</a:t>
          </a:r>
          <a:r>
            <a:rPr lang="en-US" sz="1800" baseline="0">
              <a:solidFill>
                <a:sysClr val="windowText" lastClr="000000"/>
              </a:solidFill>
            </a:rPr>
            <a:t> VẬT TƯ GỖ, VẬT TƯ TẤM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213631</xdr:colOff>
      <xdr:row>8</xdr:row>
      <xdr:rowOff>23134</xdr:rowOff>
    </xdr:from>
    <xdr:to>
      <xdr:col>20</xdr:col>
      <xdr:colOff>279400</xdr:colOff>
      <xdr:row>9</xdr:row>
      <xdr:rowOff>105681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3C88862-8066-4532-8D9A-49C4202E1235}"/>
            </a:ext>
          </a:extLst>
        </xdr:cNvPr>
        <xdr:cNvSpPr/>
      </xdr:nvSpPr>
      <xdr:spPr>
        <a:xfrm>
          <a:off x="16082281" y="2652034"/>
          <a:ext cx="3075669" cy="396872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FOAM SOFA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214536</xdr:colOff>
      <xdr:row>9</xdr:row>
      <xdr:rowOff>185059</xdr:rowOff>
    </xdr:from>
    <xdr:to>
      <xdr:col>20</xdr:col>
      <xdr:colOff>293005</xdr:colOff>
      <xdr:row>10</xdr:row>
      <xdr:rowOff>316139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1225CC6-D1AB-4FA6-BDE2-B8CECA1430A6}"/>
            </a:ext>
          </a:extLst>
        </xdr:cNvPr>
        <xdr:cNvSpPr/>
      </xdr:nvSpPr>
      <xdr:spPr>
        <a:xfrm>
          <a:off x="16083186" y="3128284"/>
          <a:ext cx="3088369" cy="42635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800">
              <a:solidFill>
                <a:sysClr val="windowText" lastClr="000000"/>
              </a:solidFill>
            </a:rPr>
            <a:t>CLICK VẬT</a:t>
          </a:r>
          <a:r>
            <a:rPr lang="en-US" sz="1800" baseline="0">
              <a:solidFill>
                <a:sysClr val="windowText" lastClr="000000"/>
              </a:solidFill>
            </a:rPr>
            <a:t> TƯ VẢI, DA , SIMILI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487953</xdr:colOff>
      <xdr:row>0</xdr:row>
      <xdr:rowOff>39732</xdr:rowOff>
    </xdr:from>
    <xdr:to>
      <xdr:col>3</xdr:col>
      <xdr:colOff>1623910</xdr:colOff>
      <xdr:row>2</xdr:row>
      <xdr:rowOff>324503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0F7F15E-F733-487D-9495-B01F1477D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26896" y="39732"/>
          <a:ext cx="1135957" cy="99234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guyen Tan Hong" refreshedDate="46188.570502893519" createdVersion="8" refreshedVersion="8" minRefreshableVersion="3" recordCount="188" xr:uid="{5C1ACFA1-5C34-4831-B853-A346539C29CE}">
  <cacheSource type="worksheet">
    <worksheetSource ref="J11:J199" sheet="BOM_Phan II"/>
  </cacheSource>
  <cacheFields count="1">
    <cacheField name="Mã vật liệu " numFmtId="0">
      <sharedItems containsBlank="1" containsMixedTypes="1" containsNumber="1" containsInteger="1" minValue="1" maxValue="12" count="10">
        <m/>
        <s v=""/>
        <s v="Chỉ nhựa MS 024T - 0.8x21 (mm)"/>
        <n v="12" u="1"/>
        <n v="2" u="1"/>
        <n v="1" u="1"/>
        <n v="3" u="1"/>
        <n v="5" u="1"/>
        <n v="4" u="1"/>
        <n v="6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8">
  <r>
    <x v="0"/>
  </r>
  <r>
    <x v="1"/>
  </r>
  <r>
    <x v="2"/>
  </r>
  <r>
    <x v="2"/>
  </r>
  <r>
    <x v="1"/>
  </r>
  <r>
    <x v="2"/>
  </r>
  <r>
    <x v="1"/>
  </r>
  <r>
    <x v="2"/>
  </r>
  <r>
    <x v="2"/>
  </r>
  <r>
    <x v="1"/>
  </r>
  <r>
    <x v="2"/>
  </r>
  <r>
    <x v="2"/>
  </r>
  <r>
    <x v="2"/>
  </r>
  <r>
    <x v="2"/>
  </r>
  <r>
    <x v="2"/>
  </r>
  <r>
    <x v="1"/>
  </r>
  <r>
    <x v="2"/>
  </r>
  <r>
    <x v="0"/>
  </r>
  <r>
    <x v="2"/>
  </r>
  <r>
    <x v="2"/>
  </r>
  <r>
    <x v="1"/>
  </r>
  <r>
    <x v="2"/>
  </r>
  <r>
    <x v="2"/>
  </r>
  <r>
    <x v="1"/>
  </r>
  <r>
    <x v="2"/>
  </r>
  <r>
    <x v="2"/>
  </r>
  <r>
    <x v="2"/>
  </r>
  <r>
    <x v="2"/>
  </r>
  <r>
    <x v="1"/>
  </r>
  <r>
    <x v="2"/>
  </r>
  <r>
    <x v="2"/>
  </r>
  <r>
    <x v="1"/>
  </r>
  <r>
    <x v="2"/>
  </r>
  <r>
    <x v="2"/>
  </r>
  <r>
    <x v="2"/>
  </r>
  <r>
    <x v="2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2"/>
  </r>
  <r>
    <x v="2"/>
  </r>
  <r>
    <x v="1"/>
  </r>
  <r>
    <x v="1"/>
  </r>
  <r>
    <x v="1"/>
  </r>
  <r>
    <x v="2"/>
  </r>
  <r>
    <x v="1"/>
  </r>
  <r>
    <x v="2"/>
  </r>
  <r>
    <x v="1"/>
  </r>
  <r>
    <x v="2"/>
  </r>
  <r>
    <x v="2"/>
  </r>
  <r>
    <x v="2"/>
  </r>
  <r>
    <x v="2"/>
  </r>
  <r>
    <x v="1"/>
  </r>
  <r>
    <x v="2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B28057-15C5-4D66-8C17-BDEB3F63C1BC}" name="PivotTable3" cacheId="1" applyNumberFormats="0" applyBorderFormats="0" applyFontFormats="0" applyPatternFormats="0" applyAlignmentFormats="0" applyWidthHeightFormats="1" dataCaption="Values" updatedVersion="8" minRefreshableVersion="3" rowGrandTotals="0" itemPrintTitles="1" createdVersion="8" indent="0" outline="1" outlineData="1" multipleFieldFilters="0" rowHeaderCaption="Lọc chỉ cạnh">
  <location ref="Q12" firstHeaderRow="0" firstDataRow="0" firstDataCol="0"/>
  <pivotFields count="1">
    <pivotField axis="axisRow" showAll="0" sortType="ascending">
      <items count="11">
        <item m="1" x="5"/>
        <item m="1" x="4"/>
        <item m="1" x="6"/>
        <item m="1" x="8"/>
        <item m="1" x="7"/>
        <item m="1" x="9"/>
        <item m="1" x="3"/>
        <item x="1"/>
        <item x="2"/>
        <item x="0"/>
        <item t="default"/>
      </items>
    </pivotField>
  </pivotFields>
  <rowFields count="1">
    <field x="0"/>
  </rowFields>
  <rowItems count="3">
    <i>
      <x v="7"/>
    </i>
    <i>
      <x v="8"/>
    </i>
    <i>
      <x v="9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3</v>
    <v>7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externalLinkPath" Target="https://bohodecor-my.sharepoint.com/personal/thupta_boho_vn/Documents/chay%20bravo/6.%20BOM%20TEST%20BRAVO%20-CT07/BOM%20MAU%20-200.xlsm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C1:M38"/>
  <sheetViews>
    <sheetView view="pageBreakPreview" zoomScale="85" zoomScaleNormal="85" zoomScaleSheetLayoutView="85" workbookViewId="0">
      <selection activeCell="E13" sqref="E13:F13"/>
    </sheetView>
  </sheetViews>
  <sheetFormatPr defaultColWidth="4.7109375" defaultRowHeight="25.35" customHeight="1"/>
  <cols>
    <col min="1" max="2" width="4.7109375" style="3" customWidth="1"/>
    <col min="3" max="3" width="26.42578125" style="14" customWidth="1"/>
    <col min="4" max="4" width="39.28515625" style="3" customWidth="1"/>
    <col min="5" max="5" width="25.7109375" style="15" customWidth="1"/>
    <col min="6" max="6" width="55.42578125" style="15" customWidth="1"/>
    <col min="7" max="7" width="22.42578125" style="15" customWidth="1"/>
    <col min="8" max="8" width="43.42578125" style="16" customWidth="1"/>
    <col min="9" max="9" width="4.7109375" style="3"/>
    <col min="10" max="10" width="4.7109375" style="3" customWidth="1"/>
    <col min="11" max="16384" width="4.7109375" style="3"/>
  </cols>
  <sheetData>
    <row r="1" spans="3:12" ht="27.75" customHeight="1">
      <c r="C1" s="365"/>
      <c r="D1" s="368" t="s">
        <v>60</v>
      </c>
      <c r="E1" s="369"/>
      <c r="F1" s="370"/>
      <c r="G1" s="27" t="str">
        <f>'BOM_Phan II'!$P$1</f>
        <v>Số hiệu:</v>
      </c>
      <c r="H1" s="28" t="s">
        <v>44</v>
      </c>
    </row>
    <row r="2" spans="3:12" ht="27.75" customHeight="1">
      <c r="C2" s="366"/>
      <c r="D2" s="371"/>
      <c r="E2" s="371"/>
      <c r="F2" s="372"/>
      <c r="G2" s="27" t="str">
        <f>'BOM_Phan II'!$P$2</f>
        <v>Lần ban hành:</v>
      </c>
      <c r="H2" s="29"/>
    </row>
    <row r="3" spans="3:12" ht="37.5" customHeight="1">
      <c r="C3" s="367"/>
      <c r="D3" s="373"/>
      <c r="E3" s="373"/>
      <c r="F3" s="374"/>
      <c r="G3" s="49" t="str">
        <f>'BOM_Phan II'!$P$3</f>
        <v>Ngày hiệu lực:</v>
      </c>
      <c r="H3" s="50"/>
      <c r="K3"/>
    </row>
    <row r="4" spans="3:12" ht="25.35" customHeight="1">
      <c r="C4" s="56" t="str">
        <f>'BOM_Phan II'!$C$4:$E$4</f>
        <v>Dự án :</v>
      </c>
      <c r="D4" s="60" t="str">
        <f>'BOM_Phan II'!E4</f>
        <v>LAGOME_BURNLEY MALTINGS</v>
      </c>
      <c r="E4" s="60" t="str">
        <f>'BOM_Phan II'!$O$4</f>
        <v>Đơn hàng :</v>
      </c>
      <c r="F4" s="60" t="str">
        <f>'BOM_Phan II'!P4</f>
        <v>2573_LAGOME_CT07</v>
      </c>
      <c r="G4" s="376" t="s">
        <v>32</v>
      </c>
      <c r="H4" s="377"/>
    </row>
    <row r="5" spans="3:12" ht="35.1" customHeight="1">
      <c r="C5" s="57" t="str">
        <f>'BOM_Phan II'!$C$5:$E$5</f>
        <v>Tên Sản phẩm:</v>
      </c>
      <c r="D5" s="105" t="str">
        <f>'BOM_Phan II'!E5</f>
        <v>Laundry_ (TH 11)</v>
      </c>
      <c r="E5" s="61" t="str">
        <f>'BOM_Phan II'!$O$5</f>
        <v>Kích thước :</v>
      </c>
      <c r="F5" s="61" t="str">
        <f>'BOM_Phan II'!P5</f>
        <v>Theo bản vẽ</v>
      </c>
      <c r="G5" s="378"/>
      <c r="H5" s="379"/>
      <c r="K5"/>
    </row>
    <row r="6" spans="3:12" ht="35.1" customHeight="1">
      <c r="C6" s="58" t="str">
        <f>'BOM_Phan II'!$C$6:$E$6</f>
        <v>Mã sản phẩm :</v>
      </c>
      <c r="D6" s="106" t="str">
        <f>'BOM_Phan II'!E6</f>
        <v>L01</v>
      </c>
      <c r="E6" s="61" t="str">
        <f>'BOM_Phan II'!$O$6</f>
        <v>Số lượng :</v>
      </c>
      <c r="F6" s="61" t="str">
        <f>'BOM_Phan II'!P6</f>
        <v>1 Hệ</v>
      </c>
      <c r="G6" s="378"/>
      <c r="H6" s="379"/>
    </row>
    <row r="7" spans="3:12" ht="35.1" customHeight="1">
      <c r="C7" s="58" t="str">
        <f>'BOM_Phan II'!$C$7:$E$7</f>
        <v>Mục số :</v>
      </c>
      <c r="D7" s="106">
        <f>'BOM_Phan II'!E7</f>
        <v>1.1000000000000001</v>
      </c>
      <c r="E7" s="61" t="str">
        <f>'BOM_Phan II'!$O$7</f>
        <v>Kết cấu :</v>
      </c>
      <c r="F7" s="61" t="str">
        <f>'BOM_Phan II'!P7</f>
        <v>Theo module và giao rời</v>
      </c>
      <c r="G7" s="378"/>
      <c r="H7" s="379"/>
    </row>
    <row r="8" spans="3:12" ht="35.1" customHeight="1">
      <c r="C8" s="59" t="str">
        <f>'BOM_Phan II'!$C$8:$E$8</f>
        <v>Vật liệu:</v>
      </c>
      <c r="D8" s="62" t="str">
        <f>'BOM_Phan II'!E8</f>
        <v xml:space="preserve">PB E1 chống ẩm 2M Melamine MEL1: MS 024T
</v>
      </c>
      <c r="E8" s="63" t="str">
        <f>'BOM_Phan II'!$O$8</f>
        <v>Hoàn thiện :</v>
      </c>
      <c r="F8" s="63" t="str">
        <f>'BOM_Phan II'!P8</f>
        <v>MEL01,Đồng màu MEL1</v>
      </c>
      <c r="G8" s="380"/>
      <c r="H8" s="381"/>
    </row>
    <row r="9" spans="3:12" ht="23.25" customHeight="1">
      <c r="C9" s="385"/>
      <c r="D9" s="386"/>
      <c r="E9" s="386"/>
      <c r="F9" s="386"/>
      <c r="G9" s="386"/>
      <c r="H9" s="387"/>
      <c r="K9" s="364"/>
      <c r="L9" s="364"/>
    </row>
    <row r="10" spans="3:12" ht="42" customHeight="1">
      <c r="C10" s="1" t="s">
        <v>10</v>
      </c>
      <c r="D10" s="1" t="s">
        <v>11</v>
      </c>
      <c r="E10" s="382" t="s">
        <v>33</v>
      </c>
      <c r="F10" s="382"/>
      <c r="G10" s="2" t="s">
        <v>12</v>
      </c>
      <c r="H10" s="2" t="s">
        <v>13</v>
      </c>
    </row>
    <row r="11" spans="3:12" ht="39" customHeight="1">
      <c r="C11" s="18"/>
      <c r="D11" s="18"/>
      <c r="E11" s="383"/>
      <c r="F11" s="384"/>
      <c r="G11" s="19"/>
      <c r="H11" s="18"/>
    </row>
    <row r="12" spans="3:12" ht="39" customHeight="1">
      <c r="C12" s="5"/>
      <c r="D12" s="6"/>
      <c r="E12" s="375"/>
      <c r="F12" s="375"/>
      <c r="G12" s="4"/>
      <c r="H12" s="200"/>
    </row>
    <row r="13" spans="3:12" ht="39" customHeight="1">
      <c r="C13" s="5"/>
      <c r="D13" s="6"/>
      <c r="E13" s="375"/>
      <c r="F13" s="375"/>
      <c r="G13" s="6"/>
      <c r="H13" s="6"/>
    </row>
    <row r="14" spans="3:12" ht="39" customHeight="1">
      <c r="C14" s="5"/>
      <c r="D14" s="6"/>
      <c r="E14" s="375"/>
      <c r="F14" s="375"/>
      <c r="G14" s="6"/>
      <c r="H14" s="6"/>
    </row>
    <row r="15" spans="3:12" ht="39" customHeight="1">
      <c r="C15" s="5"/>
      <c r="D15" s="6"/>
      <c r="E15" s="375"/>
      <c r="F15" s="375"/>
      <c r="G15" s="6"/>
      <c r="H15" s="6"/>
    </row>
    <row r="16" spans="3:12" ht="39" customHeight="1">
      <c r="C16" s="5"/>
      <c r="D16" s="6"/>
      <c r="E16" s="375"/>
      <c r="F16" s="375"/>
      <c r="G16" s="6"/>
      <c r="H16" s="6"/>
    </row>
    <row r="17" spans="3:13" ht="39" customHeight="1">
      <c r="C17" s="5"/>
      <c r="D17" s="6" t="s">
        <v>50</v>
      </c>
      <c r="E17" s="362"/>
      <c r="F17" s="363"/>
      <c r="G17" s="6"/>
      <c r="H17" s="6"/>
    </row>
    <row r="18" spans="3:13" ht="25.35" customHeight="1">
      <c r="C18" s="7"/>
      <c r="D18" s="7"/>
      <c r="E18" s="7"/>
      <c r="F18" s="8"/>
      <c r="H18" s="8"/>
      <c r="I18" s="8"/>
      <c r="J18" s="8"/>
      <c r="K18" s="7"/>
      <c r="L18" s="7"/>
      <c r="M18" s="7"/>
    </row>
    <row r="19" spans="3:13" ht="25.35" customHeight="1">
      <c r="C19" s="9"/>
      <c r="D19" s="14"/>
      <c r="E19" s="10"/>
      <c r="F19" s="38"/>
      <c r="G19" s="64" t="str">
        <f ca="1">'BOM_Phan II'!P236</f>
        <v>Ngày 17 tháng 6 năm 2026</v>
      </c>
      <c r="H19" s="41"/>
      <c r="I19" s="41"/>
      <c r="K19" s="11"/>
      <c r="L19" s="9"/>
      <c r="M19" s="9"/>
    </row>
    <row r="20" spans="3:13" ht="25.35" customHeight="1">
      <c r="C20" s="11"/>
      <c r="D20" s="67" t="str">
        <f>'BOM_Phan II'!G237</f>
        <v>Kiểm duyệt</v>
      </c>
      <c r="E20" s="10"/>
      <c r="F20" s="10"/>
      <c r="G20" s="65" t="str">
        <f>'BOM_Phan II'!P237</f>
        <v>Người Lập</v>
      </c>
      <c r="H20" s="51"/>
      <c r="I20" s="51"/>
      <c r="K20" s="11"/>
      <c r="L20" s="9"/>
      <c r="M20" s="9"/>
    </row>
    <row r="21" spans="3:13" ht="25.35" customHeight="1">
      <c r="C21" s="11"/>
      <c r="D21" s="52"/>
      <c r="E21" s="10"/>
      <c r="F21" s="10"/>
      <c r="G21" s="53"/>
      <c r="H21" s="51"/>
      <c r="I21" s="51"/>
      <c r="K21" s="11"/>
      <c r="L21" s="9"/>
      <c r="M21" s="9"/>
    </row>
    <row r="22" spans="3:13" ht="25.35" customHeight="1">
      <c r="C22" s="11"/>
      <c r="D22" s="52"/>
      <c r="E22" s="10"/>
      <c r="F22" s="10"/>
      <c r="G22" s="53"/>
      <c r="H22" s="51"/>
      <c r="I22" s="51"/>
      <c r="K22" s="11"/>
      <c r="L22" s="9"/>
      <c r="M22" s="9"/>
    </row>
    <row r="23" spans="3:13" ht="25.35" customHeight="1">
      <c r="C23" s="11"/>
      <c r="D23" s="14"/>
      <c r="E23" s="10"/>
      <c r="F23" s="10"/>
      <c r="G23" s="53"/>
      <c r="H23" s="54"/>
      <c r="I23" s="13"/>
      <c r="K23" s="11"/>
      <c r="L23" s="9"/>
      <c r="M23" s="9"/>
    </row>
    <row r="24" spans="3:13" ht="25.35" customHeight="1">
      <c r="C24" s="11"/>
      <c r="D24" s="67" t="str">
        <f>'BOM_Phan III'!D104</f>
        <v xml:space="preserve"> Đỗ Hồng Thái</v>
      </c>
      <c r="E24" s="10"/>
      <c r="F24" s="10"/>
      <c r="G24" s="66" t="str">
        <f>'BOM_Phan II'!P241</f>
        <v>Nguyễn Tân Hồng</v>
      </c>
      <c r="H24" s="54"/>
      <c r="I24" s="13"/>
      <c r="K24" s="11"/>
      <c r="L24" s="9"/>
      <c r="M24" s="9"/>
    </row>
    <row r="25" spans="3:13" ht="25.35" customHeight="1">
      <c r="C25" s="11"/>
      <c r="D25" s="55"/>
      <c r="E25" s="10"/>
      <c r="F25" s="12"/>
      <c r="G25" s="53"/>
      <c r="H25" s="51"/>
      <c r="I25" s="51"/>
      <c r="K25" s="11"/>
      <c r="L25" s="9"/>
      <c r="M25" s="9"/>
    </row>
    <row r="26" spans="3:13" ht="25.35" customHeight="1">
      <c r="D26" s="44"/>
      <c r="E26" s="10"/>
      <c r="F26" s="44"/>
      <c r="G26" s="44"/>
      <c r="H26" s="45"/>
      <c r="I26" s="45"/>
      <c r="K26" s="11"/>
      <c r="L26" s="9"/>
      <c r="M26" s="9"/>
    </row>
    <row r="29" spans="3:13" ht="25.35" customHeight="1">
      <c r="G29" s="17"/>
    </row>
    <row r="36" spans="3:11" ht="25.35" customHeight="1">
      <c r="C36" s="20"/>
      <c r="D36" s="21"/>
      <c r="E36" s="23"/>
      <c r="F36" s="22"/>
      <c r="G36" s="22"/>
      <c r="H36" s="23"/>
      <c r="I36" s="21"/>
      <c r="J36" s="21"/>
      <c r="K36" s="21"/>
    </row>
    <row r="37" spans="3:11" ht="25.35" customHeight="1">
      <c r="C37" s="20"/>
      <c r="D37" s="21"/>
      <c r="E37" s="23"/>
      <c r="F37" s="22"/>
      <c r="G37" s="22"/>
      <c r="H37" s="23"/>
      <c r="I37" s="21"/>
      <c r="J37" s="21"/>
      <c r="K37" s="21"/>
    </row>
    <row r="38" spans="3:11" ht="25.35" customHeight="1">
      <c r="C38" s="20"/>
      <c r="D38" s="21"/>
      <c r="E38" s="23"/>
      <c r="F38" s="22"/>
      <c r="G38" s="24"/>
      <c r="H38" s="23"/>
      <c r="I38" s="21"/>
      <c r="J38" s="21"/>
      <c r="K38" s="21"/>
    </row>
  </sheetData>
  <sheetProtection formatCells="0" formatColumns="0" formatRows="0" insertHyperlinks="0" sort="0" autoFilter="0" pivotTables="0"/>
  <mergeCells count="14">
    <mergeCell ref="E17:F17"/>
    <mergeCell ref="K9:L9"/>
    <mergeCell ref="C1:C3"/>
    <mergeCell ref="D1:F3"/>
    <mergeCell ref="E15:F15"/>
    <mergeCell ref="E16:F16"/>
    <mergeCell ref="G4:H4"/>
    <mergeCell ref="G5:H8"/>
    <mergeCell ref="E10:F10"/>
    <mergeCell ref="E11:F11"/>
    <mergeCell ref="E12:F12"/>
    <mergeCell ref="E13:F13"/>
    <mergeCell ref="E14:F14"/>
    <mergeCell ref="C9:H9"/>
  </mergeCells>
  <printOptions horizontalCentered="1"/>
  <pageMargins left="0" right="0" top="0.25" bottom="0.25" header="0" footer="0"/>
  <pageSetup paperSize="9" scale="60" orientation="landscape" r:id="rId1"/>
  <headerFooter scaleWithDoc="0" alignWithMargins="0">
    <oddFooter>Page &amp;P of &amp;N</oddFooter>
  </headerFooter>
  <colBreaks count="1" manualBreakCount="1">
    <brk id="8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230E31E-FEE1-4E16-8961-551ED45DA295}">
          <x14:formula1>
            <xm:f>'BOM_Phan II'!$AF$2:$AF$10</xm:f>
          </x14:formula1>
          <xm:sqref>H11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>
    <tabColor rgb="FFFFFF00"/>
  </sheetPr>
  <dimension ref="A1:AJ245"/>
  <sheetViews>
    <sheetView tabSelected="1" view="pageBreakPreview" zoomScale="55" zoomScaleNormal="85" zoomScaleSheetLayoutView="55" workbookViewId="0">
      <pane xSplit="2" ySplit="11" topLeftCell="C12" activePane="bottomRight" state="frozen"/>
      <selection activeCell="Z1" sqref="Z1"/>
      <selection pane="topRight" activeCell="Z1" sqref="Z1"/>
      <selection pane="bottomLeft" activeCell="Z1" sqref="Z1"/>
      <selection pane="bottomRight" activeCell="O20" sqref="O20"/>
    </sheetView>
  </sheetViews>
  <sheetFormatPr defaultColWidth="4.7109375" defaultRowHeight="25.35" customHeight="1"/>
  <cols>
    <col min="1" max="1" width="6.7109375" style="3" bestFit="1" customWidth="1"/>
    <col min="2" max="2" width="6.42578125" style="3" bestFit="1" customWidth="1"/>
    <col min="3" max="3" width="12.42578125" style="81" customWidth="1"/>
    <col min="4" max="4" width="31.42578125" style="14" customWidth="1"/>
    <col min="5" max="5" width="7.42578125" style="14" customWidth="1"/>
    <col min="6" max="7" width="7.42578125" style="3" customWidth="1"/>
    <col min="8" max="8" width="7.42578125" style="14" customWidth="1"/>
    <col min="9" max="9" width="52.42578125" style="16" customWidth="1"/>
    <col min="10" max="10" width="21.42578125" style="16" customWidth="1"/>
    <col min="11" max="11" width="7.7109375" style="16" customWidth="1"/>
    <col min="12" max="12" width="11" style="16" customWidth="1"/>
    <col min="13" max="13" width="8.7109375" style="15" customWidth="1"/>
    <col min="14" max="14" width="8.28515625" style="15" customWidth="1"/>
    <col min="15" max="15" width="35" style="16" customWidth="1"/>
    <col min="16" max="16" width="18.28515625" style="14" customWidth="1"/>
    <col min="17" max="17" width="7.28515625" style="15" customWidth="1"/>
    <col min="18" max="18" width="10.42578125" style="15" customWidth="1"/>
    <col min="19" max="19" width="9.140625" style="15" customWidth="1"/>
    <col min="20" max="21" width="9.42578125" style="15" customWidth="1"/>
    <col min="22" max="22" width="10.42578125" style="16" customWidth="1"/>
    <col min="23" max="23" width="11" style="3" customWidth="1"/>
    <col min="24" max="24" width="8.28515625" style="3" bestFit="1" customWidth="1"/>
    <col min="25" max="26" width="8.7109375" style="3" customWidth="1"/>
    <col min="27" max="29" width="4.7109375" style="3"/>
    <col min="30" max="30" width="16.42578125" style="3" hidden="1" customWidth="1"/>
    <col min="31" max="31" width="17.85546875" style="3" hidden="1" customWidth="1"/>
    <col min="32" max="32" width="16.42578125" style="3" hidden="1" customWidth="1"/>
    <col min="33" max="33" width="16.28515625" style="3" hidden="1" customWidth="1"/>
    <col min="34" max="34" width="4.7109375" style="3" hidden="1" customWidth="1"/>
    <col min="35" max="35" width="4.7109375" style="3" customWidth="1"/>
    <col min="36" max="16384" width="4.7109375" style="3"/>
  </cols>
  <sheetData>
    <row r="1" spans="1:36" ht="27.75" customHeight="1">
      <c r="C1" s="320"/>
      <c r="D1" s="321"/>
      <c r="E1" s="322"/>
      <c r="F1" s="329" t="s">
        <v>63</v>
      </c>
      <c r="G1" s="330"/>
      <c r="H1" s="330"/>
      <c r="I1" s="330"/>
      <c r="J1" s="330"/>
      <c r="K1" s="330"/>
      <c r="L1" s="330"/>
      <c r="M1" s="330"/>
      <c r="N1" s="330"/>
      <c r="O1" s="331"/>
      <c r="P1" s="144" t="s">
        <v>29</v>
      </c>
      <c r="Q1" s="338" t="s">
        <v>44</v>
      </c>
      <c r="R1" s="339"/>
      <c r="S1" s="339"/>
      <c r="T1" s="339"/>
      <c r="U1" s="401"/>
      <c r="V1" s="202" t="s">
        <v>5</v>
      </c>
      <c r="X1" s="340" t="s">
        <v>67</v>
      </c>
      <c r="Y1" s="341"/>
      <c r="Z1" s="342"/>
      <c r="AD1" s="202" t="s">
        <v>90</v>
      </c>
      <c r="AE1" s="202" t="s">
        <v>3</v>
      </c>
      <c r="AF1" s="30" t="s">
        <v>89</v>
      </c>
      <c r="AG1" s="30" t="s">
        <v>89</v>
      </c>
      <c r="AH1" s="30" t="s">
        <v>91</v>
      </c>
    </row>
    <row r="2" spans="1:36" ht="27.75" customHeight="1" thickBot="1">
      <c r="C2" s="323"/>
      <c r="D2" s="324"/>
      <c r="E2" s="325"/>
      <c r="F2" s="332"/>
      <c r="G2" s="333"/>
      <c r="H2" s="333"/>
      <c r="I2" s="333"/>
      <c r="J2" s="333"/>
      <c r="K2" s="333"/>
      <c r="L2" s="333"/>
      <c r="M2" s="333"/>
      <c r="N2" s="333"/>
      <c r="O2" s="334"/>
      <c r="P2" s="27" t="s">
        <v>30</v>
      </c>
      <c r="Q2" s="346"/>
      <c r="R2" s="347"/>
      <c r="S2" s="347"/>
      <c r="T2" s="347"/>
      <c r="U2" s="402"/>
      <c r="V2" s="202" t="s">
        <v>225</v>
      </c>
      <c r="X2" s="343"/>
      <c r="Y2" s="344"/>
      <c r="Z2" s="345"/>
      <c r="AD2" s="202" t="s">
        <v>92</v>
      </c>
      <c r="AE2" s="202" t="s">
        <v>109</v>
      </c>
      <c r="AF2" s="30" t="s">
        <v>85</v>
      </c>
      <c r="AG2" s="30" t="s">
        <v>66</v>
      </c>
      <c r="AH2" s="30"/>
      <c r="AI2" s="30"/>
      <c r="AJ2" s="30"/>
    </row>
    <row r="3" spans="1:36" ht="27.75" customHeight="1" thickBot="1">
      <c r="C3" s="326"/>
      <c r="D3" s="327"/>
      <c r="E3" s="328"/>
      <c r="F3" s="335"/>
      <c r="G3" s="336"/>
      <c r="H3" s="336"/>
      <c r="I3" s="336"/>
      <c r="J3" s="336"/>
      <c r="K3" s="336"/>
      <c r="L3" s="336"/>
      <c r="M3" s="336"/>
      <c r="N3" s="336"/>
      <c r="O3" s="337"/>
      <c r="P3" s="27" t="s">
        <v>31</v>
      </c>
      <c r="Q3" s="346"/>
      <c r="R3" s="347"/>
      <c r="S3" s="347"/>
      <c r="T3" s="347"/>
      <c r="U3" s="402"/>
      <c r="V3" s="202" t="s">
        <v>226</v>
      </c>
      <c r="X3" s="48"/>
      <c r="Y3" s="100">
        <v>1</v>
      </c>
      <c r="Z3" s="48"/>
      <c r="AD3" s="202" t="s">
        <v>93</v>
      </c>
      <c r="AE3" s="202" t="s">
        <v>110</v>
      </c>
      <c r="AF3" s="30" t="s">
        <v>86</v>
      </c>
      <c r="AG3" s="30"/>
      <c r="AH3" s="30"/>
      <c r="AI3" s="30"/>
      <c r="AJ3" s="30"/>
    </row>
    <row r="4" spans="1:36" ht="25.35" customHeight="1">
      <c r="C4" s="348" t="s">
        <v>25</v>
      </c>
      <c r="D4" s="349"/>
      <c r="E4" s="102" t="s">
        <v>222</v>
      </c>
      <c r="F4" s="92"/>
      <c r="G4" s="92"/>
      <c r="H4" s="92"/>
      <c r="I4" s="92"/>
      <c r="J4" s="121"/>
      <c r="K4" s="121"/>
      <c r="L4" s="121"/>
      <c r="M4" s="122"/>
      <c r="N4" s="122"/>
      <c r="O4" s="128" t="s">
        <v>24</v>
      </c>
      <c r="P4" s="102" t="s">
        <v>227</v>
      </c>
      <c r="Q4" s="122"/>
      <c r="R4" s="122"/>
      <c r="S4" s="122"/>
      <c r="T4" s="122"/>
      <c r="U4" s="145"/>
      <c r="V4" s="202"/>
      <c r="AD4" s="202" t="s">
        <v>94</v>
      </c>
      <c r="AE4" s="202"/>
      <c r="AF4" s="30" t="s">
        <v>87</v>
      </c>
      <c r="AG4" s="30"/>
      <c r="AH4" s="30" t="s">
        <v>76</v>
      </c>
      <c r="AI4" s="30"/>
      <c r="AJ4" s="30"/>
    </row>
    <row r="5" spans="1:36" ht="25.35" customHeight="1">
      <c r="C5" s="318" t="s">
        <v>28</v>
      </c>
      <c r="D5" s="319"/>
      <c r="E5" s="103" t="s">
        <v>393</v>
      </c>
      <c r="F5" s="93"/>
      <c r="G5" s="93"/>
      <c r="H5" s="93"/>
      <c r="I5" s="93"/>
      <c r="J5" s="123"/>
      <c r="K5" s="123"/>
      <c r="L5" s="123"/>
      <c r="M5" s="124"/>
      <c r="N5" s="124"/>
      <c r="O5" s="127" t="s">
        <v>27</v>
      </c>
      <c r="P5" s="95" t="s">
        <v>219</v>
      </c>
      <c r="Q5" s="124"/>
      <c r="R5" s="124"/>
      <c r="S5" s="124"/>
      <c r="T5" s="124"/>
      <c r="U5" s="146"/>
      <c r="V5" s="202"/>
      <c r="AD5" s="202" t="s">
        <v>95</v>
      </c>
      <c r="AE5" s="202"/>
      <c r="AF5" s="30" t="s">
        <v>64</v>
      </c>
      <c r="AG5" s="30"/>
      <c r="AH5" s="30" t="s">
        <v>77</v>
      </c>
      <c r="AI5" s="30"/>
      <c r="AJ5" s="30"/>
    </row>
    <row r="6" spans="1:36" ht="25.35" customHeight="1">
      <c r="C6" s="318" t="s">
        <v>23</v>
      </c>
      <c r="D6" s="319"/>
      <c r="E6" s="95" t="s">
        <v>223</v>
      </c>
      <c r="F6" s="94"/>
      <c r="G6" s="94"/>
      <c r="H6" s="94"/>
      <c r="I6" s="94"/>
      <c r="J6" s="123"/>
      <c r="K6" s="123"/>
      <c r="L6" s="123"/>
      <c r="M6" s="124"/>
      <c r="N6" s="124"/>
      <c r="O6" s="127" t="s">
        <v>26</v>
      </c>
      <c r="P6" s="61" t="s">
        <v>220</v>
      </c>
      <c r="Q6" s="291"/>
      <c r="R6" s="291"/>
      <c r="S6" s="291"/>
      <c r="T6" s="291"/>
      <c r="U6" s="146"/>
      <c r="V6" s="202"/>
      <c r="AD6" s="202" t="s">
        <v>96</v>
      </c>
      <c r="AE6" s="202"/>
      <c r="AF6" s="30" t="s">
        <v>65</v>
      </c>
      <c r="AG6" s="30"/>
      <c r="AH6" s="30"/>
      <c r="AI6" s="30"/>
      <c r="AJ6" s="30"/>
    </row>
    <row r="7" spans="1:36" ht="25.35" customHeight="1">
      <c r="C7" s="318" t="s">
        <v>21</v>
      </c>
      <c r="D7" s="319"/>
      <c r="E7" s="95">
        <v>1.1000000000000001</v>
      </c>
      <c r="F7" s="94"/>
      <c r="G7" s="94"/>
      <c r="H7" s="94"/>
      <c r="I7" s="94"/>
      <c r="J7" s="123"/>
      <c r="K7" s="123"/>
      <c r="L7" s="123"/>
      <c r="M7" s="124"/>
      <c r="N7" s="124"/>
      <c r="O7" s="127" t="s">
        <v>34</v>
      </c>
      <c r="P7" s="289" t="s">
        <v>221</v>
      </c>
      <c r="Q7" s="293"/>
      <c r="R7" s="293"/>
      <c r="S7" s="293"/>
      <c r="T7" s="293"/>
      <c r="U7" s="290"/>
      <c r="V7" s="202"/>
      <c r="X7" s="46"/>
      <c r="AD7" s="202" t="s">
        <v>104</v>
      </c>
      <c r="AE7" s="202"/>
      <c r="AF7" s="30" t="s">
        <v>66</v>
      </c>
      <c r="AG7" s="30"/>
      <c r="AH7" s="30"/>
      <c r="AI7" s="30"/>
      <c r="AJ7" s="30"/>
    </row>
    <row r="8" spans="1:36" ht="25.35" customHeight="1">
      <c r="C8" s="304" t="s">
        <v>9</v>
      </c>
      <c r="D8" s="305"/>
      <c r="E8" s="104" t="s">
        <v>224</v>
      </c>
      <c r="F8" s="98"/>
      <c r="G8" s="98"/>
      <c r="H8" s="98"/>
      <c r="I8" s="98"/>
      <c r="J8" s="125"/>
      <c r="K8" s="125"/>
      <c r="L8" s="125"/>
      <c r="M8" s="126"/>
      <c r="N8" s="126"/>
      <c r="O8" s="129" t="s">
        <v>22</v>
      </c>
      <c r="P8" s="95" t="str">
        <f>CONCATENATE(IF(V2&lt;&gt;"",V2,""),IF(V3&lt;&gt;"",","&amp;V3,""),IF(V4&lt;&gt;"",","&amp;V4,""),IF(V5&lt;&gt;"",","&amp;V5,""),IF(V6&lt;&gt;"",","&amp;V6,""),IF(V7&lt;&gt;"",","&amp;V7,""),IF(V8&lt;&gt;"",","&amp;V8,""))</f>
        <v>MEL01,Đồng màu MEL1</v>
      </c>
      <c r="Q8" s="292"/>
      <c r="R8" s="292"/>
      <c r="S8" s="292"/>
      <c r="T8" s="292"/>
      <c r="U8" s="95"/>
      <c r="V8" s="202"/>
      <c r="AD8" s="202" t="s">
        <v>97</v>
      </c>
      <c r="AE8" s="202"/>
      <c r="AF8" s="30" t="s">
        <v>88</v>
      </c>
      <c r="AG8" s="30"/>
      <c r="AH8" s="30"/>
      <c r="AI8" s="30"/>
      <c r="AJ8" s="30"/>
    </row>
    <row r="9" spans="1:36" ht="23.25" customHeight="1" thickBot="1">
      <c r="C9" s="394"/>
      <c r="D9" s="308"/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95"/>
      <c r="V9" s="14"/>
      <c r="AD9" s="202" t="s">
        <v>98</v>
      </c>
      <c r="AE9" s="202"/>
      <c r="AF9" s="30"/>
      <c r="AG9" s="30"/>
      <c r="AH9" s="30"/>
      <c r="AI9" s="30"/>
      <c r="AJ9" s="30"/>
    </row>
    <row r="10" spans="1:36" ht="33" customHeight="1">
      <c r="A10" s="313" t="s">
        <v>73</v>
      </c>
      <c r="B10" s="314" t="s">
        <v>74</v>
      </c>
      <c r="C10" s="396" t="s">
        <v>10</v>
      </c>
      <c r="D10" s="398" t="s">
        <v>43</v>
      </c>
      <c r="E10" s="317" t="s">
        <v>1</v>
      </c>
      <c r="F10" s="309"/>
      <c r="G10" s="309"/>
      <c r="H10" s="309" t="s">
        <v>0</v>
      </c>
      <c r="I10" s="201"/>
      <c r="J10" s="400" t="s">
        <v>3</v>
      </c>
      <c r="K10" s="400"/>
      <c r="L10" s="309" t="s">
        <v>5</v>
      </c>
      <c r="M10" s="309"/>
      <c r="N10" s="309"/>
      <c r="O10" s="389" t="s">
        <v>69</v>
      </c>
      <c r="P10" s="392" t="s">
        <v>61</v>
      </c>
      <c r="Q10" s="299" t="s">
        <v>47</v>
      </c>
      <c r="R10" s="301" t="s">
        <v>48</v>
      </c>
      <c r="S10" s="301" t="s">
        <v>7</v>
      </c>
      <c r="T10" s="299" t="s">
        <v>8</v>
      </c>
      <c r="U10" s="391"/>
      <c r="V10" s="303" t="s">
        <v>78</v>
      </c>
      <c r="AD10" s="202" t="s">
        <v>99</v>
      </c>
      <c r="AE10" s="202"/>
      <c r="AF10" s="30"/>
    </row>
    <row r="11" spans="1:36" ht="41.1" customHeight="1">
      <c r="A11" s="313"/>
      <c r="B11" s="314"/>
      <c r="C11" s="397"/>
      <c r="D11" s="399"/>
      <c r="E11" s="101" t="s">
        <v>18</v>
      </c>
      <c r="F11" s="101" t="s">
        <v>19</v>
      </c>
      <c r="G11" s="101" t="s">
        <v>20</v>
      </c>
      <c r="H11" s="310"/>
      <c r="I11" s="203" t="s">
        <v>62</v>
      </c>
      <c r="J11" s="101" t="s">
        <v>17</v>
      </c>
      <c r="K11" s="101" t="s">
        <v>6</v>
      </c>
      <c r="L11" s="101" t="s">
        <v>4</v>
      </c>
      <c r="M11" s="101" t="s">
        <v>35</v>
      </c>
      <c r="N11" s="101" t="s">
        <v>36</v>
      </c>
      <c r="O11" s="390"/>
      <c r="P11" s="393"/>
      <c r="Q11" s="300"/>
      <c r="R11" s="302"/>
      <c r="S11" s="302"/>
      <c r="T11" s="117" t="s">
        <v>37</v>
      </c>
      <c r="U11" s="130" t="s">
        <v>2</v>
      </c>
      <c r="V11" s="303"/>
      <c r="W11" s="47" t="s">
        <v>56</v>
      </c>
      <c r="X11" s="273" t="s">
        <v>187</v>
      </c>
      <c r="Y11" s="31"/>
      <c r="Z11" s="31"/>
      <c r="AD11" s="202" t="s">
        <v>100</v>
      </c>
      <c r="AE11" s="202"/>
      <c r="AF11" s="30"/>
    </row>
    <row r="12" spans="1:36" ht="25.35" customHeight="1">
      <c r="A12" s="70" t="str">
        <f t="shared" ref="A12" si="0">IF(W12="IN",$E$6,"")</f>
        <v>L01</v>
      </c>
      <c r="B12" s="70" t="str">
        <f>IF(W12="IN","Muc "&amp;$E$7,"")</f>
        <v>Muc 1.1</v>
      </c>
      <c r="C12" s="160" t="s">
        <v>14</v>
      </c>
      <c r="D12" s="161" t="s">
        <v>71</v>
      </c>
      <c r="E12" s="108"/>
      <c r="F12" s="108"/>
      <c r="G12" s="108"/>
      <c r="H12" s="108"/>
      <c r="I12" s="108"/>
      <c r="J12" s="108"/>
      <c r="K12" s="108"/>
      <c r="L12" s="109"/>
      <c r="M12" s="109"/>
      <c r="N12" s="109"/>
      <c r="O12" s="138"/>
      <c r="P12" s="131"/>
      <c r="Q12" s="80"/>
      <c r="R12" s="85"/>
      <c r="S12" s="86"/>
      <c r="T12" s="86"/>
      <c r="U12" s="132"/>
      <c r="V12" s="69">
        <f>IF(W12="IN",$Y$3,"")</f>
        <v>1</v>
      </c>
      <c r="W12" s="69" t="str">
        <f t="shared" ref="W12" si="1">IF(OR(C12&lt;&gt;"",D12&lt;&gt;""),"IN","")</f>
        <v>IN</v>
      </c>
      <c r="X12" s="271"/>
      <c r="Y12" s="69"/>
      <c r="Z12" s="32"/>
      <c r="AD12" s="202" t="s">
        <v>101</v>
      </c>
      <c r="AE12" s="202"/>
      <c r="AF12" s="30"/>
      <c r="AG12" s="30"/>
      <c r="AI12" s="30"/>
      <c r="AJ12" s="30"/>
    </row>
    <row r="13" spans="1:36" ht="30" customHeight="1">
      <c r="A13" s="70" t="str">
        <f t="shared" ref="A13:A234" si="2">IF(W13="IN",$E$6,"")</f>
        <v>L01</v>
      </c>
      <c r="B13" s="70" t="str">
        <f t="shared" ref="B13:B234" si="3">IF(W13="IN","Muc "&amp;$E$7,"")</f>
        <v>Muc 1.1</v>
      </c>
      <c r="C13" s="190">
        <f>IF(D13="","",
    IF(ISERR(SEARCH("_",D13)),
        IFERROR(_xlfn.AGGREGATE(14,6,$C$12:C12,1),0)+1,
        IFERROR(
            VALUE(TRIM(MID(SUBSTITUTE(D13,"_",REPT(" ",LEN(D13))), (LEN(D13)-LEN(SUBSTITUTE(D13,"_",""))-1)*LEN(D13)+1, LEN(D13))))
            &amp; "." &amp;
            VALUE(TRIM(RIGHT(SUBSTITUTE(D13,"_",REPT(" ",LEN(D13))),LEN(D13)))),
            "")))</f>
        <v>1</v>
      </c>
      <c r="D13" s="33" t="s">
        <v>228</v>
      </c>
      <c r="E13" s="191" t="s">
        <v>185</v>
      </c>
      <c r="F13" s="191" t="s">
        <v>185</v>
      </c>
      <c r="G13" s="191" t="s">
        <v>185</v>
      </c>
      <c r="H13" s="25">
        <v>1</v>
      </c>
      <c r="I13" s="33" t="s">
        <v>185</v>
      </c>
      <c r="J13" s="25" t="s">
        <v>185</v>
      </c>
      <c r="K13" s="25" t="s">
        <v>185</v>
      </c>
      <c r="L13" s="191"/>
      <c r="M13" s="25"/>
      <c r="N13" s="33"/>
      <c r="O13" s="195" t="s">
        <v>229</v>
      </c>
      <c r="P13" s="192" t="str">
        <f>IF(M13="","",IF(AND(LEFT(I13,2)="Gỗ",LEFT(RIGHT(I13,10),1)&lt;&gt;"C"),IF(LEFT(M13,4)="2M2D","1COM",IF(AND(G13&gt;1699,LEFT(M13,4)&lt;&gt;"2M2D"),"1COM","2COM")),""))</f>
        <v/>
      </c>
      <c r="Q13" s="79" t="str">
        <f>IFERROR(IF(I13="","",IF(LEFT(I13,2)="Gỗ","M3","Tấm")),"")</f>
        <v/>
      </c>
      <c r="R13" s="171">
        <f>IFERROR(IF(OR(Q13="Con",Q13="Cụm",Q13="Hệ",Q13="Thanh"),H13,IF(Q13="Tấm",(F13*G13*H13)/(1220*2440),IF(Q13="Md",G13*H13/1000,IF(Q13="M2",F13*G13*H13/10^6,IF(Q13="M3",E13*F13*G13*H13/10^9,0))))),"-")</f>
        <v>0</v>
      </c>
      <c r="S13" s="84" t="str">
        <f>IFERROR(IF(ISERR(SEARCH("2d",K13)),IF(ISERR(SEARCH("1d",K13)),0,1),2)*($G13)*$H13/10^3+IF(ISERR(SEARCH("2r",K13)),IF(ISERR(SEARCH("1r",K13)),0,1),2)*($F13)*$H13/10^3,"-")</f>
        <v>-</v>
      </c>
      <c r="T13" s="193" t="str">
        <f>IFERROR(IF(ISERR(SEARCH("2m",M13)),IF(ISERR(SEARCH("1m",M13)),0,1),2)*$G13*$F13*$H13/10^6+IF(ISERR(SEARCH("2d",M13)),IF(ISERR(SEARCH("1d",M13)),0,1),2)*$G13*$E13*$H13/10^6+IF(ISERR(SEARCH("2r",M13)),IF(ISERR(SEARCH("1r",M13)),0,1),2)*$F13*$E13*$H13/10^6,"-")</f>
        <v>-</v>
      </c>
      <c r="U13" s="194" t="str">
        <f>IFERROR(IF(ISERR(SEARCH("2m",N13)),IF(ISERR(SEARCH("1m",N13)),0,1),2)*$G13*$F13*$H13/10^6+IF(ISERR(SEARCH("2d",N13)),IF(ISERR(SEARCH("1d",N13)),0,1),2)*$G13*$E13*$H13/10^6+IF(ISERR(SEARCH("2r",N13)),IF(ISERR(SEARCH("1r",N13)),0,1),2)*$F13*$E13*$H13/10^6,"-")</f>
        <v>-</v>
      </c>
      <c r="V13" s="69">
        <f t="shared" ref="V13:V234" si="4">IF(W13="IN",$Y$3,"")</f>
        <v>1</v>
      </c>
      <c r="W13" s="69" t="str">
        <f t="shared" ref="W13:W234" si="5">IF(OR(C13&lt;&gt;"",D13&lt;&gt;""),"IN","")</f>
        <v>IN</v>
      </c>
      <c r="X13" s="271">
        <f>IF(O13="","",IF(O13="HOÀN THIỆN ĐI MODULE",1,IF(O13="GIAO RỜI",2,2)))</f>
        <v>2</v>
      </c>
      <c r="Y13" s="214" t="str">
        <f t="shared" ref="Y13:Y76" si="6">IFERROR((E13*F13*G13*H13*10^-9)*750,"")</f>
        <v/>
      </c>
      <c r="Z13" s="32"/>
      <c r="AD13" s="202" t="s">
        <v>102</v>
      </c>
      <c r="AE13" s="202"/>
    </row>
    <row r="14" spans="1:36" ht="30" customHeight="1">
      <c r="A14" s="70" t="str">
        <f t="shared" si="2"/>
        <v>L01</v>
      </c>
      <c r="B14" s="70" t="str">
        <f t="shared" si="3"/>
        <v>Muc 1.1</v>
      </c>
      <c r="C14" s="190" t="str">
        <f>IF(D14="","",
    IF(ISERR(SEARCH("_",D14)),
        IFERROR(_xlfn.AGGREGATE(14,6,$C$12:C13,1),0)+1,
        IFERROR(
            VALUE(TRIM(MID(SUBSTITUTE(D14,"_",REPT(" ",LEN(D14))), (LEN(D14)-LEN(SUBSTITUTE(D14,"_",""))-1)*LEN(D14)+1, LEN(D14))))
            &amp; "." &amp;
            VALUE(TRIM(RIGHT(SUBSTITUTE(D14,"_",REPT(" ",LEN(D14))),LEN(D14)))),
            "")))</f>
        <v>1.1</v>
      </c>
      <c r="D14" s="33" t="s">
        <v>230</v>
      </c>
      <c r="E14" s="191">
        <v>16</v>
      </c>
      <c r="F14" s="191">
        <v>547</v>
      </c>
      <c r="G14" s="191">
        <v>2278</v>
      </c>
      <c r="H14" s="25">
        <v>1</v>
      </c>
      <c r="I14" s="33" t="s">
        <v>231</v>
      </c>
      <c r="J14" s="25" t="s">
        <v>232</v>
      </c>
      <c r="K14" s="25" t="s">
        <v>233</v>
      </c>
      <c r="L14" s="191"/>
      <c r="M14" s="25"/>
      <c r="N14" s="33"/>
      <c r="O14" s="195"/>
      <c r="P14" s="192" t="str">
        <f t="shared" ref="P14:P193" si="7">IF(M14="","",IF(AND(LEFT(I14,2)="Gỗ",LEFT(RIGHT(I14,10),1)&lt;&gt;"C"),IF(LEFT(M14,4)="2M2D","1COM",IF(AND(G14&gt;1699,LEFT(M14,4)&lt;&gt;"2M2D"),"1COM","2COM")),""))</f>
        <v/>
      </c>
      <c r="Q14" s="79" t="str">
        <f>IFERROR(IF(I14="","",IF(LEFT(I14,2)="Gỗ","M3","Tấm")),"")</f>
        <v>Tấm</v>
      </c>
      <c r="R14" s="171">
        <f t="shared" ref="R14:R15" si="8">IFERROR(IF(OR(Q14="Con",Q14="Cụm",Q14="Hệ",Q14="Thanh"),H14,IF(Q14="Tấm",(F14*G14*H14)/(1220*2440),IF(Q14="Md",G14*H14/1000,IF(Q14="M2",F14*G14*H14/10^6,IF(Q14="M3",E14*F14*G14*H14/10^9,0))))),"-")</f>
        <v>0.41859244826659497</v>
      </c>
      <c r="S14" s="84">
        <f t="shared" ref="S14:S77" si="9">IFERROR(IF(ISERR(SEARCH("2d",K14)),IF(ISERR(SEARCH("1d",K14)),0,1),2)*($G14)*$H14/10^3+IF(ISERR(SEARCH("2r",K14)),IF(ISERR(SEARCH("1r",K14)),0,1),2)*($F14)*$H14/10^3,"-")</f>
        <v>3.3719999999999999</v>
      </c>
      <c r="T14" s="193">
        <f t="shared" ref="T14:T193" si="10">IFERROR(IF(ISERR(SEARCH("2m",M14)),IF(ISERR(SEARCH("1m",M14)),0,1),2)*$G14*$F14*$H14/10^6+IF(ISERR(SEARCH("2d",M14)),IF(ISERR(SEARCH("1d",M14)),0,1),2)*$G14*$E14*$H14/10^6+IF(ISERR(SEARCH("2r",M14)),IF(ISERR(SEARCH("1r",M14)),0,1),2)*$F14*$E14*$H14/10^6,"-")</f>
        <v>0</v>
      </c>
      <c r="U14" s="194">
        <f t="shared" ref="U14:U193" si="11">IFERROR(IF(ISERR(SEARCH("2m",N14)),IF(ISERR(SEARCH("1m",N14)),0,1),2)*$G14*$F14*$H14/10^6+IF(ISERR(SEARCH("2d",N14)),IF(ISERR(SEARCH("1d",N14)),0,1),2)*$G14*$E14*$H14/10^6+IF(ISERR(SEARCH("2r",N14)),IF(ISERR(SEARCH("1r",N14)),0,1),2)*$F14*$E14*$H14/10^6,"-")</f>
        <v>0</v>
      </c>
      <c r="V14" s="69">
        <f t="shared" si="4"/>
        <v>1</v>
      </c>
      <c r="W14" s="69" t="str">
        <f t="shared" si="5"/>
        <v>IN</v>
      </c>
      <c r="X14" s="271">
        <v>2</v>
      </c>
      <c r="Y14" s="214">
        <f t="shared" si="6"/>
        <v>14.952792000000001</v>
      </c>
      <c r="Z14" s="32"/>
      <c r="AD14" s="202" t="s">
        <v>103</v>
      </c>
      <c r="AE14" s="202"/>
    </row>
    <row r="15" spans="1:36" ht="30" customHeight="1">
      <c r="A15" s="70" t="str">
        <f t="shared" si="2"/>
        <v>L01</v>
      </c>
      <c r="B15" s="70" t="str">
        <f t="shared" si="3"/>
        <v>Muc 1.1</v>
      </c>
      <c r="C15" s="190" t="str">
        <f>IF(D15="","",
    IF(ISERR(SEARCH("_",D15)),
        IFERROR(_xlfn.AGGREGATE(14,6,$C$12:C14,1),0)+1,
        IFERROR(
            VALUE(TRIM(MID(SUBSTITUTE(D15,"_",REPT(" ",LEN(D15))), (LEN(D15)-LEN(SUBSTITUTE(D15,"_",""))-1)*LEN(D15)+1, LEN(D15))))
            &amp; "." &amp;
            VALUE(TRIM(RIGHT(SUBSTITUTE(D15,"_",REPT(" ",LEN(D15))),LEN(D15)))),
            "")))</f>
        <v>1.2</v>
      </c>
      <c r="D15" s="33" t="s">
        <v>234</v>
      </c>
      <c r="E15" s="191">
        <v>16</v>
      </c>
      <c r="F15" s="191">
        <v>547</v>
      </c>
      <c r="G15" s="191">
        <v>2278</v>
      </c>
      <c r="H15" s="25">
        <v>1</v>
      </c>
      <c r="I15" s="33" t="s">
        <v>231</v>
      </c>
      <c r="J15" s="25" t="s">
        <v>232</v>
      </c>
      <c r="K15" s="25" t="s">
        <v>233</v>
      </c>
      <c r="L15" s="191"/>
      <c r="M15" s="25"/>
      <c r="N15" s="33"/>
      <c r="O15" s="195"/>
      <c r="P15" s="192" t="str">
        <f t="shared" si="7"/>
        <v/>
      </c>
      <c r="Q15" s="79" t="str">
        <f t="shared" ref="Q15" si="12">IFERROR(IF(I15="","",IF(LEFT(I15,2)="Gỗ","M3","Tấm")),"")</f>
        <v>Tấm</v>
      </c>
      <c r="R15" s="171">
        <f t="shared" si="8"/>
        <v>0.41859244826659497</v>
      </c>
      <c r="S15" s="84">
        <f t="shared" si="9"/>
        <v>3.3719999999999999</v>
      </c>
      <c r="T15" s="193">
        <f t="shared" si="10"/>
        <v>0</v>
      </c>
      <c r="U15" s="194">
        <f t="shared" si="11"/>
        <v>0</v>
      </c>
      <c r="V15" s="69">
        <f t="shared" si="4"/>
        <v>1</v>
      </c>
      <c r="W15" s="69" t="str">
        <f t="shared" si="5"/>
        <v>IN</v>
      </c>
      <c r="X15" s="271">
        <v>2</v>
      </c>
      <c r="Y15" s="214">
        <f t="shared" si="6"/>
        <v>14.952792000000001</v>
      </c>
      <c r="Z15" s="32"/>
      <c r="AD15" s="202" t="s">
        <v>105</v>
      </c>
      <c r="AE15" s="202"/>
    </row>
    <row r="16" spans="1:36" ht="30" customHeight="1">
      <c r="A16" s="70" t="str">
        <f t="shared" ref="A16:A193" si="13">IF(W16="IN",$E$6,"")</f>
        <v>L01</v>
      </c>
      <c r="B16" s="70" t="str">
        <f t="shared" ref="B16:B193" si="14">IF(W16="IN","Muc "&amp;$E$7,"")</f>
        <v>Muc 1.1</v>
      </c>
      <c r="C16" s="190">
        <f>IF(D16="","",
    IF(ISERR(SEARCH("_",D16)),
        IFERROR(_xlfn.AGGREGATE(14,6,$C$12:C15,1),0)+1,
        IFERROR(
            VALUE(TRIM(MID(SUBSTITUTE(D16,"_",REPT(" ",LEN(D16))), (LEN(D16)-LEN(SUBSTITUTE(D16,"_",""))-1)*LEN(D16)+1, LEN(D16))))
            &amp; "." &amp;
            VALUE(TRIM(RIGHT(SUBSTITUTE(D16,"_",REPT(" ",LEN(D16))),LEN(D16)))),
            "")))</f>
        <v>2</v>
      </c>
      <c r="D16" s="33" t="s">
        <v>235</v>
      </c>
      <c r="E16" s="191" t="s">
        <v>185</v>
      </c>
      <c r="F16" s="191" t="s">
        <v>185</v>
      </c>
      <c r="G16" s="191" t="s">
        <v>185</v>
      </c>
      <c r="H16" s="25">
        <v>1</v>
      </c>
      <c r="I16" s="33" t="s">
        <v>185</v>
      </c>
      <c r="J16" s="25" t="s">
        <v>185</v>
      </c>
      <c r="K16" s="25" t="s">
        <v>185</v>
      </c>
      <c r="L16" s="191"/>
      <c r="M16" s="25"/>
      <c r="N16" s="33"/>
      <c r="O16" s="195" t="s">
        <v>229</v>
      </c>
      <c r="P16" s="192" t="str">
        <f t="shared" si="7"/>
        <v/>
      </c>
      <c r="Q16" s="79" t="str">
        <f t="shared" ref="Q16:Q193" si="15">IFERROR(IF(I16="","",IF(LEFT(I16,2)="Gỗ","M3","Tấm")),"")</f>
        <v/>
      </c>
      <c r="R16" s="171">
        <f t="shared" ref="R16:R193" si="16">IFERROR(IF(OR(Q16="Con",Q16="Cụm",Q16="Hệ",Q16="Thanh"),H16,IF(Q16="Tấm",(F16*G16*H16)/(1220*2440),IF(Q16="Md",G16*H16/1000,IF(Q16="M2",F16*G16*H16/10^6,IF(Q16="M3",E16*F16*G16*H16/10^9,0))))),"-")</f>
        <v>0</v>
      </c>
      <c r="S16" s="84" t="str">
        <f t="shared" si="9"/>
        <v>-</v>
      </c>
      <c r="T16" s="193" t="str">
        <f t="shared" si="10"/>
        <v>-</v>
      </c>
      <c r="U16" s="194" t="str">
        <f t="shared" si="11"/>
        <v>-</v>
      </c>
      <c r="V16" s="69">
        <f t="shared" ref="V16:V193" si="17">IF(W16="IN",$Y$3,"")</f>
        <v>1</v>
      </c>
      <c r="W16" s="69" t="str">
        <f t="shared" ref="W16:W193" si="18">IF(OR(C16&lt;&gt;"",D16&lt;&gt;""),"IN","")</f>
        <v>IN</v>
      </c>
      <c r="X16" s="271">
        <f t="shared" ref="X16:X75" si="19">IF(O16="","",IF(O16="HOÀN THIỆN ĐI MODULE",1,IF(O16="GIAO RỜI",2,2)))</f>
        <v>2</v>
      </c>
      <c r="Y16" s="214" t="str">
        <f t="shared" si="6"/>
        <v/>
      </c>
      <c r="Z16" s="32"/>
      <c r="AD16" s="202" t="s">
        <v>106</v>
      </c>
      <c r="AE16" s="202"/>
    </row>
    <row r="17" spans="1:31" ht="30" customHeight="1">
      <c r="A17" s="70" t="str">
        <f t="shared" si="13"/>
        <v>L01</v>
      </c>
      <c r="B17" s="70" t="str">
        <f t="shared" si="14"/>
        <v>Muc 1.1</v>
      </c>
      <c r="C17" s="190" t="str">
        <f>IF(D17="","",
    IF(ISERR(SEARCH("_",D17)),
        IFERROR(_xlfn.AGGREGATE(14,6,$C$12:C16,1),0)+1,
        IFERROR(
            VALUE(TRIM(MID(SUBSTITUTE(D17,"_",REPT(" ",LEN(D17))), (LEN(D17)-LEN(SUBSTITUTE(D17,"_",""))-1)*LEN(D17)+1, LEN(D17))))
            &amp; "." &amp;
            VALUE(TRIM(RIGHT(SUBSTITUTE(D17,"_",REPT(" ",LEN(D17))),LEN(D17)))),
            "")))</f>
        <v>2.1</v>
      </c>
      <c r="D17" s="33" t="s">
        <v>236</v>
      </c>
      <c r="E17" s="191">
        <v>16</v>
      </c>
      <c r="F17" s="191">
        <v>598</v>
      </c>
      <c r="G17" s="191">
        <v>2278</v>
      </c>
      <c r="H17" s="25">
        <v>1</v>
      </c>
      <c r="I17" s="33" t="s">
        <v>231</v>
      </c>
      <c r="J17" s="25" t="s">
        <v>232</v>
      </c>
      <c r="K17" s="25" t="s">
        <v>237</v>
      </c>
      <c r="L17" s="191"/>
      <c r="M17" s="25"/>
      <c r="N17" s="33"/>
      <c r="O17" s="195"/>
      <c r="P17" s="192" t="str">
        <f t="shared" si="7"/>
        <v/>
      </c>
      <c r="Q17" s="79" t="str">
        <f t="shared" si="15"/>
        <v>Tấm</v>
      </c>
      <c r="R17" s="171">
        <f t="shared" si="16"/>
        <v>0.45762026337006179</v>
      </c>
      <c r="S17" s="84">
        <f t="shared" si="9"/>
        <v>5.7519999999999998</v>
      </c>
      <c r="T17" s="193">
        <f t="shared" si="10"/>
        <v>0</v>
      </c>
      <c r="U17" s="194">
        <f t="shared" si="11"/>
        <v>0</v>
      </c>
      <c r="V17" s="69">
        <f t="shared" si="17"/>
        <v>1</v>
      </c>
      <c r="W17" s="69" t="str">
        <f t="shared" si="18"/>
        <v>IN</v>
      </c>
      <c r="X17" s="271">
        <v>2</v>
      </c>
      <c r="Y17" s="214">
        <f t="shared" si="6"/>
        <v>16.346928000000002</v>
      </c>
      <c r="Z17" s="32"/>
      <c r="AD17" s="202" t="s">
        <v>107</v>
      </c>
      <c r="AE17" s="202"/>
    </row>
    <row r="18" spans="1:31" ht="30" customHeight="1">
      <c r="A18" s="70" t="str">
        <f t="shared" si="13"/>
        <v>L01</v>
      </c>
      <c r="B18" s="70" t="str">
        <f t="shared" si="14"/>
        <v>Muc 1.1</v>
      </c>
      <c r="C18" s="190">
        <f>IF(D18="","",
    IF(ISERR(SEARCH("_",D18)),
        IFERROR(_xlfn.AGGREGATE(14,6,$C$12:C17,1),0)+1,
        IFERROR(
            VALUE(TRIM(MID(SUBSTITUTE(D18,"_",REPT(" ",LEN(D18))), (LEN(D18)-LEN(SUBSTITUTE(D18,"_",""))-1)*LEN(D18)+1, LEN(D18))))
            &amp; "." &amp;
            VALUE(TRIM(RIGHT(SUBSTITUTE(D18,"_",REPT(" ",LEN(D18))),LEN(D18)))),
            "")))</f>
        <v>3</v>
      </c>
      <c r="D18" s="33" t="s">
        <v>394</v>
      </c>
      <c r="E18" s="191" t="s">
        <v>185</v>
      </c>
      <c r="F18" s="191" t="s">
        <v>185</v>
      </c>
      <c r="G18" s="191" t="s">
        <v>185</v>
      </c>
      <c r="H18" s="25">
        <v>1</v>
      </c>
      <c r="I18" s="33" t="s">
        <v>185</v>
      </c>
      <c r="J18" s="25" t="s">
        <v>185</v>
      </c>
      <c r="K18" s="25" t="s">
        <v>185</v>
      </c>
      <c r="L18" s="191"/>
      <c r="M18" s="25"/>
      <c r="N18" s="33"/>
      <c r="O18" s="195" t="s">
        <v>229</v>
      </c>
      <c r="P18" s="192" t="str">
        <f t="shared" si="7"/>
        <v/>
      </c>
      <c r="Q18" s="79" t="str">
        <f t="shared" si="15"/>
        <v/>
      </c>
      <c r="R18" s="171">
        <f t="shared" si="16"/>
        <v>0</v>
      </c>
      <c r="S18" s="84" t="str">
        <f t="shared" si="9"/>
        <v>-</v>
      </c>
      <c r="T18" s="193" t="str">
        <f t="shared" si="10"/>
        <v>-</v>
      </c>
      <c r="U18" s="194" t="str">
        <f t="shared" si="11"/>
        <v>-</v>
      </c>
      <c r="V18" s="69">
        <f t="shared" si="17"/>
        <v>1</v>
      </c>
      <c r="W18" s="69" t="str">
        <f t="shared" si="18"/>
        <v>IN</v>
      </c>
      <c r="X18" s="271">
        <f t="shared" si="19"/>
        <v>2</v>
      </c>
      <c r="Y18" s="214" t="str">
        <f t="shared" si="6"/>
        <v/>
      </c>
      <c r="Z18" s="32"/>
      <c r="AD18" s="202" t="s">
        <v>108</v>
      </c>
      <c r="AE18" s="202"/>
    </row>
    <row r="19" spans="1:31" ht="30" customHeight="1">
      <c r="A19" s="70" t="str">
        <f t="shared" si="13"/>
        <v>L01</v>
      </c>
      <c r="B19" s="70" t="str">
        <f t="shared" si="14"/>
        <v>Muc 1.1</v>
      </c>
      <c r="C19" s="190" t="str">
        <f>IF(D19="","",
    IF(ISERR(SEARCH("_",D19)),
        IFERROR(_xlfn.AGGREGATE(14,6,$C$12:C18,1),0)+1,
        IFERROR(
            VALUE(TRIM(MID(SUBSTITUTE(D19,"_",REPT(" ",LEN(D19))), (LEN(D19)-LEN(SUBSTITUTE(D19,"_",""))-1)*LEN(D19)+1, LEN(D19))))
            &amp; "." &amp;
            VALUE(TRIM(RIGHT(SUBSTITUTE(D19,"_",REPT(" ",LEN(D19))),LEN(D19)))),
            "")))</f>
        <v>3.1</v>
      </c>
      <c r="D19" s="33" t="s">
        <v>238</v>
      </c>
      <c r="E19" s="191">
        <v>16</v>
      </c>
      <c r="F19" s="191">
        <v>547</v>
      </c>
      <c r="G19" s="191">
        <v>568</v>
      </c>
      <c r="H19" s="25">
        <v>1</v>
      </c>
      <c r="I19" s="33" t="s">
        <v>231</v>
      </c>
      <c r="J19" s="25" t="s">
        <v>232</v>
      </c>
      <c r="K19" s="25" t="s">
        <v>239</v>
      </c>
      <c r="L19" s="191"/>
      <c r="M19" s="25"/>
      <c r="N19" s="25"/>
      <c r="O19" s="195"/>
      <c r="P19" s="192" t="str">
        <f t="shared" si="7"/>
        <v/>
      </c>
      <c r="Q19" s="79" t="str">
        <f t="shared" si="15"/>
        <v>Tấm</v>
      </c>
      <c r="R19" s="171">
        <f t="shared" si="16"/>
        <v>0.10437248051599032</v>
      </c>
      <c r="S19" s="84">
        <f t="shared" si="9"/>
        <v>0.56799999999999995</v>
      </c>
      <c r="T19" s="193">
        <f t="shared" si="10"/>
        <v>0</v>
      </c>
      <c r="U19" s="194">
        <f t="shared" si="11"/>
        <v>0</v>
      </c>
      <c r="V19" s="69">
        <f t="shared" si="17"/>
        <v>1</v>
      </c>
      <c r="W19" s="69" t="str">
        <f t="shared" si="18"/>
        <v>IN</v>
      </c>
      <c r="X19" s="271">
        <v>2</v>
      </c>
      <c r="Y19" s="214">
        <f t="shared" si="6"/>
        <v>3.7283520000000001</v>
      </c>
      <c r="Z19" s="32"/>
      <c r="AE19" s="202"/>
    </row>
    <row r="20" spans="1:31" ht="30" customHeight="1">
      <c r="A20" s="70" t="str">
        <f t="shared" si="13"/>
        <v>L01</v>
      </c>
      <c r="B20" s="70" t="str">
        <f t="shared" si="14"/>
        <v>Muc 1.1</v>
      </c>
      <c r="C20" s="190" t="str">
        <f>IF(D20="","",
    IF(ISERR(SEARCH("_",D20)),
        IFERROR(_xlfn.AGGREGATE(14,6,$C$12:C19,1),0)+1,
        IFERROR(
            VALUE(TRIM(MID(SUBSTITUTE(D20,"_",REPT(" ",LEN(D20))), (LEN(D20)-LEN(SUBSTITUTE(D20,"_",""))-1)*LEN(D20)+1, LEN(D20))))
            &amp; "." &amp;
            VALUE(TRIM(RIGHT(SUBSTITUTE(D20,"_",REPT(" ",LEN(D20))),LEN(D20)))),
            "")))</f>
        <v>3.2</v>
      </c>
      <c r="D20" s="33" t="s">
        <v>240</v>
      </c>
      <c r="E20" s="25">
        <v>16</v>
      </c>
      <c r="F20" s="25">
        <v>546</v>
      </c>
      <c r="G20" s="25">
        <v>568</v>
      </c>
      <c r="H20" s="25">
        <v>1</v>
      </c>
      <c r="I20" s="33" t="s">
        <v>231</v>
      </c>
      <c r="J20" s="25" t="s">
        <v>232</v>
      </c>
      <c r="K20" s="25" t="s">
        <v>239</v>
      </c>
      <c r="L20" s="191"/>
      <c r="M20" s="25"/>
      <c r="N20" s="25"/>
      <c r="O20" s="195"/>
      <c r="P20" s="192" t="str">
        <f t="shared" si="7"/>
        <v/>
      </c>
      <c r="Q20" s="79" t="str">
        <f t="shared" si="15"/>
        <v>Tấm</v>
      </c>
      <c r="R20" s="171">
        <f t="shared" si="16"/>
        <v>0.10418167159365761</v>
      </c>
      <c r="S20" s="84">
        <f t="shared" si="9"/>
        <v>0.56799999999999995</v>
      </c>
      <c r="T20" s="193">
        <f t="shared" si="10"/>
        <v>0</v>
      </c>
      <c r="U20" s="194">
        <f t="shared" si="11"/>
        <v>0</v>
      </c>
      <c r="V20" s="69">
        <f t="shared" si="17"/>
        <v>1</v>
      </c>
      <c r="W20" s="69" t="str">
        <f t="shared" si="18"/>
        <v>IN</v>
      </c>
      <c r="X20" s="271">
        <v>2</v>
      </c>
      <c r="Y20" s="214">
        <f t="shared" si="6"/>
        <v>3.721536</v>
      </c>
      <c r="Z20" s="32"/>
      <c r="AE20" s="202"/>
    </row>
    <row r="21" spans="1:31" ht="30" customHeight="1">
      <c r="A21" s="70" t="str">
        <f t="shared" si="13"/>
        <v>L01</v>
      </c>
      <c r="B21" s="70" t="str">
        <f t="shared" si="14"/>
        <v>Muc 1.1</v>
      </c>
      <c r="C21" s="190">
        <f>IF(D21="","",
    IF(ISERR(SEARCH("_",D21)),
        IFERROR(_xlfn.AGGREGATE(14,6,$C$12:C20,1),0)+1,
        IFERROR(
            VALUE(TRIM(MID(SUBSTITUTE(D21,"_",REPT(" ",LEN(D21))), (LEN(D21)-LEN(SUBSTITUTE(D21,"_",""))-1)*LEN(D21)+1, LEN(D21))))
            &amp; "." &amp;
            VALUE(TRIM(RIGHT(SUBSTITUTE(D21,"_",REPT(" ",LEN(D21))),LEN(D21)))),
            "")))</f>
        <v>4</v>
      </c>
      <c r="D21" s="33" t="s">
        <v>241</v>
      </c>
      <c r="E21" s="25" t="s">
        <v>185</v>
      </c>
      <c r="F21" s="25" t="s">
        <v>185</v>
      </c>
      <c r="G21" s="25" t="s">
        <v>185</v>
      </c>
      <c r="H21" s="25">
        <v>1</v>
      </c>
      <c r="I21" s="33" t="s">
        <v>185</v>
      </c>
      <c r="J21" s="25" t="s">
        <v>185</v>
      </c>
      <c r="K21" s="25" t="s">
        <v>185</v>
      </c>
      <c r="L21" s="191"/>
      <c r="M21" s="25"/>
      <c r="N21" s="25"/>
      <c r="O21" s="195" t="s">
        <v>229</v>
      </c>
      <c r="P21" s="192" t="str">
        <f t="shared" ref="P21:P25" si="20">IF(M21="","",IF(AND(LEFT(I21,2)="Gỗ",LEFT(RIGHT(I21,10),1)&lt;&gt;"C"),IF(LEFT(M21,4)="2M2D","1COM",IF(AND(G21&gt;1699,LEFT(M21,4)&lt;&gt;"2M2D"),"1COM","2COM")),""))</f>
        <v/>
      </c>
      <c r="Q21" s="79" t="str">
        <f t="shared" ref="Q21:Q25" si="21">IFERROR(IF(I21="","",IF(LEFT(I21,2)="Gỗ","M3","Tấm")),"")</f>
        <v/>
      </c>
      <c r="R21" s="171">
        <f t="shared" ref="R21:R25" si="22">IFERROR(IF(OR(Q21="Con",Q21="Cụm",Q21="Hệ",Q21="Thanh"),H21,IF(Q21="Tấm",(F21*G21*H21)/(1220*2440),IF(Q21="Md",G21*H21/1000,IF(Q21="M2",F21*G21*H21/10^6,IF(Q21="M3",E21*F21*G21*H21/10^9,0))))),"-")</f>
        <v>0</v>
      </c>
      <c r="S21" s="84" t="str">
        <f t="shared" si="9"/>
        <v>-</v>
      </c>
      <c r="T21" s="193" t="str">
        <f t="shared" ref="T21:T25" si="23">IFERROR(IF(ISERR(SEARCH("2m",M21)),IF(ISERR(SEARCH("1m",M21)),0,1),2)*$G21*$F21*$H21/10^6+IF(ISERR(SEARCH("2d",M21)),IF(ISERR(SEARCH("1d",M21)),0,1),2)*$G21*$E21*$H21/10^6+IF(ISERR(SEARCH("2r",M21)),IF(ISERR(SEARCH("1r",M21)),0,1),2)*$F21*$E21*$H21/10^6,"-")</f>
        <v>-</v>
      </c>
      <c r="U21" s="194" t="str">
        <f t="shared" ref="U21:U25" si="24">IFERROR(IF(ISERR(SEARCH("2m",N21)),IF(ISERR(SEARCH("1m",N21)),0,1),2)*$G21*$F21*$H21/10^6+IF(ISERR(SEARCH("2d",N21)),IF(ISERR(SEARCH("1d",N21)),0,1),2)*$G21*$E21*$H21/10^6+IF(ISERR(SEARCH("2r",N21)),IF(ISERR(SEARCH("1r",N21)),0,1),2)*$F21*$E21*$H21/10^6,"-")</f>
        <v>-</v>
      </c>
      <c r="V21" s="69">
        <f t="shared" ref="V21:V25" si="25">IF(W21="IN",$Y$3,"")</f>
        <v>1</v>
      </c>
      <c r="W21" s="69" t="str">
        <f t="shared" ref="W21:W25" si="26">IF(OR(C21&lt;&gt;"",D21&lt;&gt;""),"IN","")</f>
        <v>IN</v>
      </c>
      <c r="X21" s="271">
        <f t="shared" si="19"/>
        <v>2</v>
      </c>
      <c r="Y21" s="214" t="str">
        <f t="shared" si="6"/>
        <v/>
      </c>
      <c r="Z21" s="32"/>
      <c r="AE21" s="202"/>
    </row>
    <row r="22" spans="1:31" ht="30" customHeight="1">
      <c r="A22" s="70" t="str">
        <f t="shared" si="13"/>
        <v>L01</v>
      </c>
      <c r="B22" s="70" t="str">
        <f t="shared" si="14"/>
        <v>Muc 1.1</v>
      </c>
      <c r="C22" s="190" t="str">
        <f>IF(D22="","",
    IF(ISERR(SEARCH("_",D22)),
        IFERROR(_xlfn.AGGREGATE(14,6,$C$12:C21,1),0)+1,
        IFERROR(
            VALUE(TRIM(MID(SUBSTITUTE(D22,"_",REPT(" ",LEN(D22))), (LEN(D22)-LEN(SUBSTITUTE(D22,"_",""))-1)*LEN(D22)+1, LEN(D22))))
            &amp; "." &amp;
            VALUE(TRIM(RIGHT(SUBSTITUTE(D22,"_",REPT(" ",LEN(D22))),LEN(D22)))),
            "")))</f>
        <v>4.1</v>
      </c>
      <c r="D22" s="33" t="s">
        <v>242</v>
      </c>
      <c r="E22" s="25">
        <v>16</v>
      </c>
      <c r="F22" s="25">
        <v>498</v>
      </c>
      <c r="G22" s="25">
        <v>564</v>
      </c>
      <c r="H22" s="25">
        <v>1</v>
      </c>
      <c r="I22" s="33" t="s">
        <v>231</v>
      </c>
      <c r="J22" s="25" t="s">
        <v>232</v>
      </c>
      <c r="K22" s="25" t="s">
        <v>237</v>
      </c>
      <c r="L22" s="191"/>
      <c r="M22" s="25"/>
      <c r="N22" s="25"/>
      <c r="O22" s="195"/>
      <c r="P22" s="192" t="str">
        <f t="shared" si="20"/>
        <v/>
      </c>
      <c r="Q22" s="79" t="str">
        <f t="shared" si="21"/>
        <v>Tấm</v>
      </c>
      <c r="R22" s="171">
        <f t="shared" si="22"/>
        <v>9.4353668368718085E-2</v>
      </c>
      <c r="S22" s="84">
        <f t="shared" si="9"/>
        <v>2.1239999999999997</v>
      </c>
      <c r="T22" s="193">
        <f t="shared" si="23"/>
        <v>0</v>
      </c>
      <c r="U22" s="194">
        <f t="shared" si="24"/>
        <v>0</v>
      </c>
      <c r="V22" s="69">
        <f t="shared" si="25"/>
        <v>1</v>
      </c>
      <c r="W22" s="69" t="str">
        <f t="shared" si="26"/>
        <v>IN</v>
      </c>
      <c r="X22" s="271">
        <v>2</v>
      </c>
      <c r="Y22" s="214">
        <f t="shared" si="6"/>
        <v>3.3704640000000006</v>
      </c>
      <c r="Z22" s="32"/>
    </row>
    <row r="23" spans="1:31" ht="30" customHeight="1">
      <c r="A23" s="70" t="str">
        <f t="shared" si="13"/>
        <v>L01</v>
      </c>
      <c r="B23" s="70" t="str">
        <f t="shared" si="14"/>
        <v>Muc 1.1</v>
      </c>
      <c r="C23" s="190" t="str">
        <f>IF(D23="","",
    IF(ISERR(SEARCH("_",D23)),
        IFERROR(_xlfn.AGGREGATE(14,6,$C$12:C22,1),0)+1,
        IFERROR(
            VALUE(TRIM(MID(SUBSTITUTE(D23,"_",REPT(" ",LEN(D23))), (LEN(D23)-LEN(SUBSTITUTE(D23,"_",""))-1)*LEN(D23)+1, LEN(D23))))
            &amp; "." &amp;
            VALUE(TRIM(RIGHT(SUBSTITUTE(D23,"_",REPT(" ",LEN(D23))),LEN(D23)))),
            "")))</f>
        <v>4.2</v>
      </c>
      <c r="D23" s="33" t="s">
        <v>243</v>
      </c>
      <c r="E23" s="25">
        <v>16</v>
      </c>
      <c r="F23" s="25">
        <v>498</v>
      </c>
      <c r="G23" s="25">
        <v>564</v>
      </c>
      <c r="H23" s="25">
        <v>1</v>
      </c>
      <c r="I23" s="33" t="s">
        <v>231</v>
      </c>
      <c r="J23" s="25" t="s">
        <v>232</v>
      </c>
      <c r="K23" s="25" t="s">
        <v>237</v>
      </c>
      <c r="L23" s="191"/>
      <c r="M23" s="25"/>
      <c r="N23" s="25"/>
      <c r="O23" s="195"/>
      <c r="P23" s="192" t="str">
        <f t="shared" si="20"/>
        <v/>
      </c>
      <c r="Q23" s="79" t="str">
        <f t="shared" si="21"/>
        <v>Tấm</v>
      </c>
      <c r="R23" s="171">
        <f t="shared" si="22"/>
        <v>9.4353668368718085E-2</v>
      </c>
      <c r="S23" s="84">
        <f t="shared" si="9"/>
        <v>2.1239999999999997</v>
      </c>
      <c r="T23" s="193">
        <f t="shared" si="23"/>
        <v>0</v>
      </c>
      <c r="U23" s="194">
        <f t="shared" si="24"/>
        <v>0</v>
      </c>
      <c r="V23" s="69">
        <f t="shared" si="25"/>
        <v>1</v>
      </c>
      <c r="W23" s="69" t="str">
        <f t="shared" si="26"/>
        <v>IN</v>
      </c>
      <c r="X23" s="271">
        <v>2</v>
      </c>
      <c r="Y23" s="214">
        <f t="shared" si="6"/>
        <v>3.3704640000000006</v>
      </c>
      <c r="Z23" s="32"/>
    </row>
    <row r="24" spans="1:31" ht="30" customHeight="1">
      <c r="A24" s="70" t="str">
        <f t="shared" si="13"/>
        <v>L01</v>
      </c>
      <c r="B24" s="70" t="str">
        <f t="shared" si="14"/>
        <v>Muc 1.1</v>
      </c>
      <c r="C24" s="190" t="str">
        <f>IF(D24="","",
    IF(ISERR(SEARCH("_",D24)),
        IFERROR(_xlfn.AGGREGATE(14,6,$C$12:C23,1),0)+1,
        IFERROR(
            VALUE(TRIM(MID(SUBSTITUTE(D24,"_",REPT(" ",LEN(D24))), (LEN(D24)-LEN(SUBSTITUTE(D24,"_",""))-1)*LEN(D24)+1, LEN(D24))))
            &amp; "." &amp;
            VALUE(TRIM(RIGHT(SUBSTITUTE(D24,"_",REPT(" ",LEN(D24))),LEN(D24)))),
            "")))</f>
        <v>4.3</v>
      </c>
      <c r="D24" s="33" t="s">
        <v>244</v>
      </c>
      <c r="E24" s="25">
        <v>16</v>
      </c>
      <c r="F24" s="25">
        <v>498</v>
      </c>
      <c r="G24" s="25">
        <v>564</v>
      </c>
      <c r="H24" s="25">
        <v>1</v>
      </c>
      <c r="I24" s="33" t="s">
        <v>231</v>
      </c>
      <c r="J24" s="25" t="s">
        <v>232</v>
      </c>
      <c r="K24" s="25" t="s">
        <v>237</v>
      </c>
      <c r="L24" s="191"/>
      <c r="M24" s="25"/>
      <c r="N24" s="25"/>
      <c r="O24" s="195"/>
      <c r="P24" s="192" t="str">
        <f t="shared" si="20"/>
        <v/>
      </c>
      <c r="Q24" s="79" t="str">
        <f t="shared" si="21"/>
        <v>Tấm</v>
      </c>
      <c r="R24" s="171">
        <f t="shared" si="22"/>
        <v>9.4353668368718085E-2</v>
      </c>
      <c r="S24" s="84">
        <f t="shared" si="9"/>
        <v>2.1239999999999997</v>
      </c>
      <c r="T24" s="193">
        <f t="shared" si="23"/>
        <v>0</v>
      </c>
      <c r="U24" s="194">
        <f t="shared" si="24"/>
        <v>0</v>
      </c>
      <c r="V24" s="69">
        <f t="shared" si="25"/>
        <v>1</v>
      </c>
      <c r="W24" s="69" t="str">
        <f t="shared" si="26"/>
        <v>IN</v>
      </c>
      <c r="X24" s="271">
        <v>2</v>
      </c>
      <c r="Y24" s="214">
        <f t="shared" si="6"/>
        <v>3.3704640000000006</v>
      </c>
      <c r="Z24" s="32"/>
    </row>
    <row r="25" spans="1:31" ht="30" customHeight="1">
      <c r="A25" s="70" t="str">
        <f t="shared" si="13"/>
        <v>L01</v>
      </c>
      <c r="B25" s="70" t="str">
        <f t="shared" si="14"/>
        <v>Muc 1.1</v>
      </c>
      <c r="C25" s="190" t="str">
        <f>IF(D25="","",
    IF(ISERR(SEARCH("_",D25)),
        IFERROR(_xlfn.AGGREGATE(14,6,$C$12:C24,1),0)+1,
        IFERROR(
            VALUE(TRIM(MID(SUBSTITUTE(D25,"_",REPT(" ",LEN(D25))), (LEN(D25)-LEN(SUBSTITUTE(D25,"_",""))-1)*LEN(D25)+1, LEN(D25))))
            &amp; "." &amp;
            VALUE(TRIM(RIGHT(SUBSTITUTE(D25,"_",REPT(" ",LEN(D25))),LEN(D25)))),
            "")))</f>
        <v>4.4</v>
      </c>
      <c r="D25" s="33" t="s">
        <v>245</v>
      </c>
      <c r="E25" s="25">
        <v>16</v>
      </c>
      <c r="F25" s="25">
        <v>498</v>
      </c>
      <c r="G25" s="25">
        <v>564</v>
      </c>
      <c r="H25" s="25">
        <v>1</v>
      </c>
      <c r="I25" s="33" t="s">
        <v>231</v>
      </c>
      <c r="J25" s="25" t="s">
        <v>232</v>
      </c>
      <c r="K25" s="25" t="s">
        <v>237</v>
      </c>
      <c r="L25" s="191"/>
      <c r="M25" s="25"/>
      <c r="N25" s="25"/>
      <c r="O25" s="195"/>
      <c r="P25" s="192" t="str">
        <f t="shared" si="20"/>
        <v/>
      </c>
      <c r="Q25" s="79" t="str">
        <f t="shared" si="21"/>
        <v>Tấm</v>
      </c>
      <c r="R25" s="171">
        <f t="shared" si="22"/>
        <v>9.4353668368718085E-2</v>
      </c>
      <c r="S25" s="84">
        <f t="shared" si="9"/>
        <v>2.1239999999999997</v>
      </c>
      <c r="T25" s="193">
        <f t="shared" si="23"/>
        <v>0</v>
      </c>
      <c r="U25" s="194">
        <f t="shared" si="24"/>
        <v>0</v>
      </c>
      <c r="V25" s="69">
        <f t="shared" si="25"/>
        <v>1</v>
      </c>
      <c r="W25" s="69" t="str">
        <f t="shared" si="26"/>
        <v>IN</v>
      </c>
      <c r="X25" s="271">
        <v>2</v>
      </c>
      <c r="Y25" s="214">
        <f t="shared" si="6"/>
        <v>3.3704640000000006</v>
      </c>
      <c r="Z25" s="32"/>
    </row>
    <row r="26" spans="1:31" ht="30" customHeight="1">
      <c r="A26" s="70" t="str">
        <f t="shared" si="13"/>
        <v>L01</v>
      </c>
      <c r="B26" s="70" t="str">
        <f t="shared" si="14"/>
        <v>Muc 1.1</v>
      </c>
      <c r="C26" s="190" t="str">
        <f>IF(D26="","",
    IF(ISERR(SEARCH("_",D26)),
        IFERROR(_xlfn.AGGREGATE(14,6,$C$12:C25,1),0)+1,
        IFERROR(
            VALUE(TRIM(MID(SUBSTITUTE(D26,"_",REPT(" ",LEN(D26))), (LEN(D26)-LEN(SUBSTITUTE(D26,"_",""))-1)*LEN(D26)+1, LEN(D26))))
            &amp; "." &amp;
            VALUE(TRIM(RIGHT(SUBSTITUTE(D26,"_",REPT(" ",LEN(D26))),LEN(D26)))),
            "")))</f>
        <v>4.5</v>
      </c>
      <c r="D26" s="33" t="s">
        <v>246</v>
      </c>
      <c r="E26" s="191">
        <v>16</v>
      </c>
      <c r="F26" s="191">
        <v>498</v>
      </c>
      <c r="G26" s="191">
        <v>564</v>
      </c>
      <c r="H26" s="25">
        <v>1</v>
      </c>
      <c r="I26" s="33" t="s">
        <v>231</v>
      </c>
      <c r="J26" s="25" t="s">
        <v>232</v>
      </c>
      <c r="K26" s="25" t="s">
        <v>237</v>
      </c>
      <c r="L26" s="191"/>
      <c r="M26" s="25"/>
      <c r="N26" s="33"/>
      <c r="O26" s="195"/>
      <c r="P26" s="192" t="str">
        <f t="shared" si="7"/>
        <v/>
      </c>
      <c r="Q26" s="79" t="str">
        <f t="shared" si="15"/>
        <v>Tấm</v>
      </c>
      <c r="R26" s="171">
        <f t="shared" si="16"/>
        <v>9.4353668368718085E-2</v>
      </c>
      <c r="S26" s="84">
        <f t="shared" si="9"/>
        <v>2.1239999999999997</v>
      </c>
      <c r="T26" s="193">
        <f t="shared" si="10"/>
        <v>0</v>
      </c>
      <c r="U26" s="194">
        <f t="shared" si="11"/>
        <v>0</v>
      </c>
      <c r="V26" s="69">
        <f t="shared" si="17"/>
        <v>1</v>
      </c>
      <c r="W26" s="69" t="str">
        <f t="shared" si="18"/>
        <v>IN</v>
      </c>
      <c r="X26" s="271">
        <v>2</v>
      </c>
      <c r="Y26" s="214">
        <f t="shared" si="6"/>
        <v>3.3704640000000006</v>
      </c>
      <c r="Z26" s="32"/>
    </row>
    <row r="27" spans="1:31" ht="30" customHeight="1">
      <c r="A27" s="70" t="str">
        <f t="shared" si="13"/>
        <v>L01</v>
      </c>
      <c r="B27" s="70" t="str">
        <f t="shared" si="14"/>
        <v>Muc 1.1</v>
      </c>
      <c r="C27" s="190">
        <f>IF(D27="","",
    IF(ISERR(SEARCH("_",D27)),
        IFERROR(_xlfn.AGGREGATE(14,6,$C$12:C26,1),0)+1,
        IFERROR(
            VALUE(TRIM(MID(SUBSTITUTE(D27,"_",REPT(" ",LEN(D27))), (LEN(D27)-LEN(SUBSTITUTE(D27,"_",""))-1)*LEN(D27)+1, LEN(D27))))
            &amp; "." &amp;
            VALUE(TRIM(RIGHT(SUBSTITUTE(D27,"_",REPT(" ",LEN(D27))),LEN(D27)))),
            "")))</f>
        <v>5</v>
      </c>
      <c r="D27" s="33" t="s">
        <v>247</v>
      </c>
      <c r="E27" s="25" t="s">
        <v>185</v>
      </c>
      <c r="F27" s="25" t="s">
        <v>185</v>
      </c>
      <c r="G27" s="25" t="s">
        <v>185</v>
      </c>
      <c r="H27" s="25">
        <v>1</v>
      </c>
      <c r="I27" s="33" t="s">
        <v>185</v>
      </c>
      <c r="J27" s="25" t="s">
        <v>185</v>
      </c>
      <c r="K27" s="25" t="s">
        <v>185</v>
      </c>
      <c r="L27" s="191"/>
      <c r="M27" s="25"/>
      <c r="N27" s="33"/>
      <c r="O27" s="195" t="s">
        <v>229</v>
      </c>
      <c r="P27" s="192" t="str">
        <f t="shared" si="7"/>
        <v/>
      </c>
      <c r="Q27" s="79" t="str">
        <f t="shared" si="15"/>
        <v/>
      </c>
      <c r="R27" s="171">
        <f t="shared" si="16"/>
        <v>0</v>
      </c>
      <c r="S27" s="84" t="str">
        <f t="shared" si="9"/>
        <v>-</v>
      </c>
      <c r="T27" s="193" t="str">
        <f t="shared" si="10"/>
        <v>-</v>
      </c>
      <c r="U27" s="194" t="str">
        <f t="shared" si="11"/>
        <v>-</v>
      </c>
      <c r="V27" s="69">
        <f t="shared" si="17"/>
        <v>1</v>
      </c>
      <c r="W27" s="69" t="str">
        <f t="shared" si="18"/>
        <v>IN</v>
      </c>
      <c r="X27" s="271">
        <f t="shared" si="19"/>
        <v>2</v>
      </c>
      <c r="Y27" s="214" t="str">
        <f t="shared" si="6"/>
        <v/>
      </c>
      <c r="Z27" s="32"/>
    </row>
    <row r="28" spans="1:31" ht="30" customHeight="1">
      <c r="A28" s="70" t="str">
        <f t="shared" si="13"/>
        <v>L01</v>
      </c>
      <c r="B28" s="70" t="str">
        <f t="shared" si="14"/>
        <v>Muc 1.1</v>
      </c>
      <c r="C28" s="190" t="str">
        <f>IF(D28="","",
    IF(ISERR(SEARCH("_",D28)),
        IFERROR(_xlfn.AGGREGATE(14,6,$C$12:C27,1),0)+1,
        IFERROR(
            VALUE(TRIM(MID(SUBSTITUTE(D28,"_",REPT(" ",LEN(D28))), (LEN(D28)-LEN(SUBSTITUTE(D28,"_",""))-1)*LEN(D28)+1, LEN(D28))))
            &amp; "." &amp;
            VALUE(TRIM(RIGHT(SUBSTITUTE(D28,"_",REPT(" ",LEN(D28))),LEN(D28)))),
            "")))</f>
        <v>5.1</v>
      </c>
      <c r="D28" s="26" t="s">
        <v>248</v>
      </c>
      <c r="E28" s="25">
        <v>17</v>
      </c>
      <c r="F28" s="25">
        <v>600</v>
      </c>
      <c r="G28" s="25">
        <v>863</v>
      </c>
      <c r="H28" s="25">
        <v>1</v>
      </c>
      <c r="I28" s="33" t="s">
        <v>249</v>
      </c>
      <c r="J28" s="25" t="s">
        <v>232</v>
      </c>
      <c r="K28" s="25" t="s">
        <v>237</v>
      </c>
      <c r="L28" s="191"/>
      <c r="M28" s="25"/>
      <c r="N28" s="33"/>
      <c r="O28" s="195"/>
      <c r="P28" s="192" t="str">
        <f t="shared" si="7"/>
        <v/>
      </c>
      <c r="Q28" s="79" t="str">
        <f t="shared" si="15"/>
        <v>Tấm</v>
      </c>
      <c r="R28" s="171">
        <f t="shared" si="16"/>
        <v>0.17394517602794948</v>
      </c>
      <c r="S28" s="84">
        <f t="shared" si="9"/>
        <v>2.9260000000000002</v>
      </c>
      <c r="T28" s="193">
        <f t="shared" si="10"/>
        <v>0</v>
      </c>
      <c r="U28" s="194">
        <f t="shared" si="11"/>
        <v>0</v>
      </c>
      <c r="V28" s="69">
        <f t="shared" si="17"/>
        <v>1</v>
      </c>
      <c r="W28" s="69" t="str">
        <f t="shared" si="18"/>
        <v>IN</v>
      </c>
      <c r="X28" s="271">
        <v>2</v>
      </c>
      <c r="Y28" s="214">
        <f t="shared" si="6"/>
        <v>6.6019500000000004</v>
      </c>
      <c r="Z28" s="32"/>
    </row>
    <row r="29" spans="1:31" ht="30" hidden="1" customHeight="1">
      <c r="A29" s="70" t="str">
        <f t="shared" si="13"/>
        <v/>
      </c>
      <c r="B29" s="70" t="str">
        <f t="shared" si="14"/>
        <v/>
      </c>
      <c r="C29" s="190" t="str">
        <f>IF(D29="","",
    IF(ISERR(SEARCH("_",D29)),
        IFERROR(_xlfn.AGGREGATE(14,6,$C$12:C28,1),0)+1,
        IFERROR(
            VALUE(TRIM(MID(SUBSTITUTE(D29,"_",REPT(" ",LEN(D29))), (LEN(D29)-LEN(SUBSTITUTE(D29,"_",""))-1)*LEN(D29)+1, LEN(D29))))
            &amp; "." &amp;
            VALUE(TRIM(RIGHT(SUBSTITUTE(D29,"_",REPT(" ",LEN(D29))),LEN(D29)))),
            "")))</f>
        <v/>
      </c>
      <c r="D29" s="26"/>
      <c r="E29" s="25"/>
      <c r="F29" s="25"/>
      <c r="G29" s="25"/>
      <c r="H29" s="25"/>
      <c r="I29" s="33"/>
      <c r="J29" s="25"/>
      <c r="K29" s="25"/>
      <c r="L29" s="191"/>
      <c r="M29" s="25"/>
      <c r="N29" s="33"/>
      <c r="O29" s="195"/>
      <c r="P29" s="192" t="str">
        <f t="shared" si="7"/>
        <v/>
      </c>
      <c r="Q29" s="79" t="str">
        <f t="shared" si="15"/>
        <v/>
      </c>
      <c r="R29" s="171">
        <f t="shared" si="16"/>
        <v>0</v>
      </c>
      <c r="S29" s="84">
        <f t="shared" si="9"/>
        <v>0</v>
      </c>
      <c r="T29" s="193">
        <f t="shared" si="10"/>
        <v>0</v>
      </c>
      <c r="U29" s="194">
        <f t="shared" si="11"/>
        <v>0</v>
      </c>
      <c r="V29" s="69" t="str">
        <f t="shared" si="17"/>
        <v/>
      </c>
      <c r="W29" s="69" t="str">
        <f t="shared" si="18"/>
        <v/>
      </c>
      <c r="X29" s="271" t="str">
        <f t="shared" si="19"/>
        <v/>
      </c>
      <c r="Y29" s="214">
        <f t="shared" si="6"/>
        <v>0</v>
      </c>
      <c r="Z29" s="32"/>
    </row>
    <row r="30" spans="1:31" ht="30" customHeight="1">
      <c r="A30" s="70" t="str">
        <f t="shared" si="13"/>
        <v>L01</v>
      </c>
      <c r="B30" s="70" t="str">
        <f t="shared" si="14"/>
        <v>Muc 1.1</v>
      </c>
      <c r="C30" s="190" t="str">
        <f>IF(D30="","",
    IF(ISERR(SEARCH("_",D30)),
        IFERROR(_xlfn.AGGREGATE(14,6,$C$12:C29,1),0)+1,
        IFERROR(
            VALUE(TRIM(MID(SUBSTITUTE(D30,"_",REPT(" ",LEN(D30))), (LEN(D30)-LEN(SUBSTITUTE(D30,"_",""))-1)*LEN(D30)+1, LEN(D30))))
            &amp; "." &amp;
            VALUE(TRIM(RIGHT(SUBSTITUTE(D30,"_",REPT(" ",LEN(D30))),LEN(D30)))),
            "")))</f>
        <v>5.3</v>
      </c>
      <c r="D30" s="26" t="s">
        <v>250</v>
      </c>
      <c r="E30" s="25">
        <v>17</v>
      </c>
      <c r="F30" s="25">
        <v>600</v>
      </c>
      <c r="G30" s="25">
        <v>1336</v>
      </c>
      <c r="H30" s="25">
        <v>1</v>
      </c>
      <c r="I30" s="33" t="s">
        <v>249</v>
      </c>
      <c r="J30" s="25" t="s">
        <v>232</v>
      </c>
      <c r="K30" s="25" t="s">
        <v>237</v>
      </c>
      <c r="L30" s="191"/>
      <c r="M30" s="25"/>
      <c r="N30" s="33"/>
      <c r="O30" s="195"/>
      <c r="P30" s="192" t="str">
        <f t="shared" si="7"/>
        <v/>
      </c>
      <c r="Q30" s="79" t="str">
        <f t="shared" si="15"/>
        <v>Tấm</v>
      </c>
      <c r="R30" s="171">
        <f t="shared" si="16"/>
        <v>0.26928245095404463</v>
      </c>
      <c r="S30" s="84">
        <f t="shared" si="9"/>
        <v>3.8719999999999999</v>
      </c>
      <c r="T30" s="193">
        <f t="shared" si="10"/>
        <v>0</v>
      </c>
      <c r="U30" s="194">
        <f t="shared" si="11"/>
        <v>0</v>
      </c>
      <c r="V30" s="69">
        <f t="shared" si="17"/>
        <v>1</v>
      </c>
      <c r="W30" s="69" t="str">
        <f t="shared" si="18"/>
        <v>IN</v>
      </c>
      <c r="X30" s="271">
        <v>2</v>
      </c>
      <c r="Y30" s="214">
        <f t="shared" si="6"/>
        <v>10.2204</v>
      </c>
      <c r="Z30" s="32"/>
    </row>
    <row r="31" spans="1:31" ht="30" customHeight="1">
      <c r="A31" s="70" t="str">
        <f t="shared" si="13"/>
        <v>L01</v>
      </c>
      <c r="B31" s="70" t="str">
        <f t="shared" si="14"/>
        <v>Muc 1.1</v>
      </c>
      <c r="C31" s="190" t="str">
        <f>IF(D31="","",
    IF(ISERR(SEARCH("_",D31)),
        IFERROR(_xlfn.AGGREGATE(14,6,$C$12:C30,1),0)+1,
        IFERROR(
            VALUE(TRIM(MID(SUBSTITUTE(D31,"_",REPT(" ",LEN(D31))), (LEN(D31)-LEN(SUBSTITUTE(D31,"_",""))-1)*LEN(D31)+1, LEN(D31))))
            &amp; "." &amp;
            VALUE(TRIM(RIGHT(SUBSTITUTE(D31,"_",REPT(" ",LEN(D31))),LEN(D31)))),
            "")))</f>
        <v>5.4</v>
      </c>
      <c r="D31" s="26" t="s">
        <v>251</v>
      </c>
      <c r="E31" s="25">
        <v>17</v>
      </c>
      <c r="F31" s="25">
        <v>80</v>
      </c>
      <c r="G31" s="25">
        <v>1319</v>
      </c>
      <c r="H31" s="25">
        <v>1</v>
      </c>
      <c r="I31" s="33" t="s">
        <v>249</v>
      </c>
      <c r="J31" s="25" t="s">
        <v>232</v>
      </c>
      <c r="K31" s="25" t="s">
        <v>239</v>
      </c>
      <c r="L31" s="191"/>
      <c r="M31" s="25"/>
      <c r="N31" s="33"/>
      <c r="O31" s="195"/>
      <c r="P31" s="192" t="str">
        <f t="shared" si="7"/>
        <v/>
      </c>
      <c r="Q31" s="79" t="str">
        <f t="shared" si="15"/>
        <v>Tấm</v>
      </c>
      <c r="R31" s="171">
        <f t="shared" si="16"/>
        <v>3.5447460360118248E-2</v>
      </c>
      <c r="S31" s="84">
        <f t="shared" si="9"/>
        <v>1.319</v>
      </c>
      <c r="T31" s="193">
        <f t="shared" si="10"/>
        <v>0</v>
      </c>
      <c r="U31" s="194">
        <f t="shared" si="11"/>
        <v>0</v>
      </c>
      <c r="V31" s="69">
        <f t="shared" si="17"/>
        <v>1</v>
      </c>
      <c r="W31" s="69" t="str">
        <f t="shared" si="18"/>
        <v>IN</v>
      </c>
      <c r="X31" s="271">
        <v>2</v>
      </c>
      <c r="Y31" s="214">
        <f t="shared" si="6"/>
        <v>1.34538</v>
      </c>
      <c r="Z31" s="32"/>
    </row>
    <row r="32" spans="1:31" ht="30" customHeight="1">
      <c r="A32" s="70" t="str">
        <f t="shared" si="13"/>
        <v>L01</v>
      </c>
      <c r="B32" s="70" t="str">
        <f t="shared" si="14"/>
        <v>Muc 1.1</v>
      </c>
      <c r="C32" s="190">
        <f>IF(D32="","",
    IF(ISERR(SEARCH("_",D32)),
        IFERROR(_xlfn.AGGREGATE(14,6,$C$12:C31,1),0)+1,
        IFERROR(
            VALUE(TRIM(MID(SUBSTITUTE(D32,"_",REPT(" ",LEN(D32))), (LEN(D32)-LEN(SUBSTITUTE(D32,"_",""))-1)*LEN(D32)+1, LEN(D32))))
            &amp; "." &amp;
            VALUE(TRIM(RIGHT(SUBSTITUTE(D32,"_",REPT(" ",LEN(D32))),LEN(D32)))),
            "")))</f>
        <v>6</v>
      </c>
      <c r="D32" s="26" t="s">
        <v>252</v>
      </c>
      <c r="E32" s="25">
        <v>581</v>
      </c>
      <c r="F32" s="25">
        <v>780</v>
      </c>
      <c r="G32" s="25">
        <v>896</v>
      </c>
      <c r="H32" s="25">
        <v>1</v>
      </c>
      <c r="I32" s="33" t="s">
        <v>185</v>
      </c>
      <c r="J32" s="25" t="s">
        <v>185</v>
      </c>
      <c r="K32" s="25" t="s">
        <v>185</v>
      </c>
      <c r="L32" s="191"/>
      <c r="M32" s="25"/>
      <c r="N32" s="33"/>
      <c r="O32" s="195" t="s">
        <v>253</v>
      </c>
      <c r="P32" s="192" t="str">
        <f t="shared" si="7"/>
        <v/>
      </c>
      <c r="Q32" s="79" t="str">
        <f t="shared" si="15"/>
        <v/>
      </c>
      <c r="R32" s="171">
        <f t="shared" si="16"/>
        <v>0</v>
      </c>
      <c r="S32" s="84">
        <f t="shared" si="9"/>
        <v>0</v>
      </c>
      <c r="T32" s="193">
        <f t="shared" si="10"/>
        <v>0</v>
      </c>
      <c r="U32" s="194">
        <f t="shared" si="11"/>
        <v>0</v>
      </c>
      <c r="V32" s="69">
        <f t="shared" si="17"/>
        <v>1</v>
      </c>
      <c r="W32" s="69" t="str">
        <f t="shared" si="18"/>
        <v>IN</v>
      </c>
      <c r="X32" s="271">
        <f t="shared" si="19"/>
        <v>1</v>
      </c>
      <c r="Y32" s="214">
        <f t="shared" si="6"/>
        <v>304.53696000000002</v>
      </c>
      <c r="Z32" s="32"/>
    </row>
    <row r="33" spans="1:26" ht="30" customHeight="1">
      <c r="A33" s="70" t="str">
        <f t="shared" si="13"/>
        <v>L01</v>
      </c>
      <c r="B33" s="70" t="str">
        <f t="shared" si="14"/>
        <v>Muc 1.1</v>
      </c>
      <c r="C33" s="190" t="str">
        <f>IF(D33="","",
    IF(ISERR(SEARCH("_",D33)),
        IFERROR(_xlfn.AGGREGATE(14,6,$C$12:C32,1),0)+1,
        IFERROR(
            VALUE(TRIM(MID(SUBSTITUTE(D33,"_",REPT(" ",LEN(D33))), (LEN(D33)-LEN(SUBSTITUTE(D33,"_",""))-1)*LEN(D33)+1, LEN(D33))))
            &amp; "." &amp;
            VALUE(TRIM(RIGHT(SUBSTITUTE(D33,"_",REPT(" ",LEN(D33))),LEN(D33)))),
            "")))</f>
        <v>6.1</v>
      </c>
      <c r="D33" s="26" t="s">
        <v>254</v>
      </c>
      <c r="E33" s="25">
        <v>16</v>
      </c>
      <c r="F33" s="25">
        <v>564</v>
      </c>
      <c r="G33" s="25">
        <v>778</v>
      </c>
      <c r="H33" s="25">
        <v>1</v>
      </c>
      <c r="I33" s="33" t="s">
        <v>231</v>
      </c>
      <c r="J33" s="25" t="s">
        <v>232</v>
      </c>
      <c r="K33" s="25" t="s">
        <v>233</v>
      </c>
      <c r="L33" s="191"/>
      <c r="M33" s="25"/>
      <c r="N33" s="33"/>
      <c r="O33" s="195"/>
      <c r="P33" s="192" t="str">
        <f t="shared" si="7"/>
        <v/>
      </c>
      <c r="Q33" s="79" t="str">
        <f t="shared" si="15"/>
        <v>Tấm</v>
      </c>
      <c r="R33" s="171">
        <f t="shared" si="16"/>
        <v>0.14740392367643107</v>
      </c>
      <c r="S33" s="84">
        <f t="shared" si="9"/>
        <v>1.9059999999999999</v>
      </c>
      <c r="T33" s="193">
        <f t="shared" si="10"/>
        <v>0</v>
      </c>
      <c r="U33" s="194">
        <f t="shared" si="11"/>
        <v>0</v>
      </c>
      <c r="V33" s="69">
        <f t="shared" si="17"/>
        <v>1</v>
      </c>
      <c r="W33" s="69" t="str">
        <f t="shared" si="18"/>
        <v>IN</v>
      </c>
      <c r="X33" s="271" t="str">
        <f t="shared" si="19"/>
        <v/>
      </c>
      <c r="Y33" s="214">
        <f t="shared" si="6"/>
        <v>5.265504</v>
      </c>
      <c r="Z33" s="32"/>
    </row>
    <row r="34" spans="1:26" ht="30" customHeight="1">
      <c r="A34" s="70" t="str">
        <f t="shared" si="13"/>
        <v>L01</v>
      </c>
      <c r="B34" s="70" t="str">
        <f t="shared" si="14"/>
        <v>Muc 1.1</v>
      </c>
      <c r="C34" s="190" t="str">
        <f>IF(D34="","",
    IF(ISERR(SEARCH("_",D34)),
        IFERROR(_xlfn.AGGREGATE(14,6,$C$12:C33,1),0)+1,
        IFERROR(
            VALUE(TRIM(MID(SUBSTITUTE(D34,"_",REPT(" ",LEN(D34))), (LEN(D34)-LEN(SUBSTITUTE(D34,"_",""))-1)*LEN(D34)+1, LEN(D34))))
            &amp; "." &amp;
            VALUE(TRIM(RIGHT(SUBSTITUTE(D34,"_",REPT(" ",LEN(D34))),LEN(D34)))),
            "")))</f>
        <v>6.2</v>
      </c>
      <c r="D34" s="26" t="s">
        <v>255</v>
      </c>
      <c r="E34" s="25">
        <v>16</v>
      </c>
      <c r="F34" s="25">
        <v>564</v>
      </c>
      <c r="G34" s="25">
        <v>778</v>
      </c>
      <c r="H34" s="25">
        <v>1</v>
      </c>
      <c r="I34" s="33" t="s">
        <v>231</v>
      </c>
      <c r="J34" s="25" t="s">
        <v>232</v>
      </c>
      <c r="K34" s="25" t="s">
        <v>233</v>
      </c>
      <c r="L34" s="191"/>
      <c r="M34" s="25"/>
      <c r="N34" s="33"/>
      <c r="O34" s="195"/>
      <c r="P34" s="192" t="str">
        <f t="shared" si="7"/>
        <v/>
      </c>
      <c r="Q34" s="79" t="str">
        <f t="shared" si="15"/>
        <v>Tấm</v>
      </c>
      <c r="R34" s="171">
        <f t="shared" si="16"/>
        <v>0.14740392367643107</v>
      </c>
      <c r="S34" s="84">
        <f t="shared" si="9"/>
        <v>1.9059999999999999</v>
      </c>
      <c r="T34" s="193">
        <f t="shared" si="10"/>
        <v>0</v>
      </c>
      <c r="U34" s="194">
        <f t="shared" si="11"/>
        <v>0</v>
      </c>
      <c r="V34" s="69">
        <f t="shared" si="17"/>
        <v>1</v>
      </c>
      <c r="W34" s="69" t="str">
        <f t="shared" si="18"/>
        <v>IN</v>
      </c>
      <c r="X34" s="271" t="str">
        <f t="shared" si="19"/>
        <v/>
      </c>
      <c r="Y34" s="214">
        <f t="shared" si="6"/>
        <v>5.265504</v>
      </c>
      <c r="Z34" s="32"/>
    </row>
    <row r="35" spans="1:26" ht="30" customHeight="1">
      <c r="A35" s="70" t="str">
        <f t="shared" si="13"/>
        <v>L01</v>
      </c>
      <c r="B35" s="70" t="str">
        <f t="shared" si="14"/>
        <v>Muc 1.1</v>
      </c>
      <c r="C35" s="190" t="str">
        <f>IF(D35="","",
    IF(ISERR(SEARCH("_",D35)),
        IFERROR(_xlfn.AGGREGATE(14,6,$C$12:C34,1),0)+1,
        IFERROR(
            VALUE(TRIM(MID(SUBSTITUTE(D35,"_",REPT(" ",LEN(D35))), (LEN(D35)-LEN(SUBSTITUTE(D35,"_",""))-1)*LEN(D35)+1, LEN(D35))))
            &amp; "." &amp;
            VALUE(TRIM(RIGHT(SUBSTITUTE(D35,"_",REPT(" ",LEN(D35))),LEN(D35)))),
            "")))</f>
        <v>6.3</v>
      </c>
      <c r="D35" s="26" t="s">
        <v>256</v>
      </c>
      <c r="E35" s="25">
        <v>16</v>
      </c>
      <c r="F35" s="25">
        <v>548</v>
      </c>
      <c r="G35" s="25">
        <v>864</v>
      </c>
      <c r="H35" s="25">
        <v>1</v>
      </c>
      <c r="I35" s="33" t="s">
        <v>231</v>
      </c>
      <c r="J35" s="25" t="s">
        <v>185</v>
      </c>
      <c r="K35" s="25" t="s">
        <v>185</v>
      </c>
      <c r="L35" s="191"/>
      <c r="M35" s="25"/>
      <c r="N35" s="33"/>
      <c r="O35" s="195"/>
      <c r="P35" s="192" t="str">
        <f t="shared" si="7"/>
        <v/>
      </c>
      <c r="Q35" s="79" t="str">
        <f t="shared" si="15"/>
        <v>Tấm</v>
      </c>
      <c r="R35" s="171">
        <f t="shared" si="16"/>
        <v>0.15905401773716743</v>
      </c>
      <c r="S35" s="84">
        <f t="shared" si="9"/>
        <v>0</v>
      </c>
      <c r="T35" s="193">
        <f t="shared" si="10"/>
        <v>0</v>
      </c>
      <c r="U35" s="194">
        <f t="shared" si="11"/>
        <v>0</v>
      </c>
      <c r="V35" s="69">
        <f t="shared" si="17"/>
        <v>1</v>
      </c>
      <c r="W35" s="69" t="str">
        <f t="shared" si="18"/>
        <v>IN</v>
      </c>
      <c r="X35" s="271" t="str">
        <f t="shared" si="19"/>
        <v/>
      </c>
      <c r="Y35" s="214">
        <f t="shared" si="6"/>
        <v>5.6816640000000005</v>
      </c>
      <c r="Z35" s="32"/>
    </row>
    <row r="36" spans="1:26" ht="30" customHeight="1">
      <c r="A36" s="70" t="str">
        <f t="shared" si="13"/>
        <v>L01</v>
      </c>
      <c r="B36" s="70" t="str">
        <f t="shared" si="14"/>
        <v>Muc 1.1</v>
      </c>
      <c r="C36" s="190" t="str">
        <f>IF(D36="","",
    IF(ISERR(SEARCH("_",D36)),
        IFERROR(_xlfn.AGGREGATE(14,6,$C$12:C35,1),0)+1,
        IFERROR(
            VALUE(TRIM(MID(SUBSTITUTE(D36,"_",REPT(" ",LEN(D36))), (LEN(D36)-LEN(SUBSTITUTE(D36,"_",""))-1)*LEN(D36)+1, LEN(D36))))
            &amp; "." &amp;
            VALUE(TRIM(RIGHT(SUBSTITUTE(D36,"_",REPT(" ",LEN(D36))),LEN(D36)))),
            "")))</f>
        <v>6.4</v>
      </c>
      <c r="D36" s="26" t="s">
        <v>257</v>
      </c>
      <c r="E36" s="25">
        <v>16</v>
      </c>
      <c r="F36" s="25">
        <v>563</v>
      </c>
      <c r="G36" s="25">
        <v>864</v>
      </c>
      <c r="H36" s="25">
        <v>1</v>
      </c>
      <c r="I36" s="33" t="s">
        <v>231</v>
      </c>
      <c r="J36" s="25" t="s">
        <v>232</v>
      </c>
      <c r="K36" s="25" t="s">
        <v>239</v>
      </c>
      <c r="L36" s="191"/>
      <c r="M36" s="25"/>
      <c r="N36" s="33"/>
      <c r="O36" s="195"/>
      <c r="P36" s="192" t="str">
        <f t="shared" si="7"/>
        <v/>
      </c>
      <c r="Q36" s="79" t="str">
        <f t="shared" si="15"/>
        <v>Tấm</v>
      </c>
      <c r="R36" s="171">
        <f t="shared" si="16"/>
        <v>0.16340768610588552</v>
      </c>
      <c r="S36" s="84">
        <f t="shared" si="9"/>
        <v>0.86399999999999999</v>
      </c>
      <c r="T36" s="193">
        <f t="shared" si="10"/>
        <v>0</v>
      </c>
      <c r="U36" s="194">
        <f t="shared" si="11"/>
        <v>0</v>
      </c>
      <c r="V36" s="69">
        <f t="shared" si="17"/>
        <v>1</v>
      </c>
      <c r="W36" s="69" t="str">
        <f t="shared" si="18"/>
        <v>IN</v>
      </c>
      <c r="X36" s="271" t="str">
        <f t="shared" si="19"/>
        <v/>
      </c>
      <c r="Y36" s="214">
        <f t="shared" si="6"/>
        <v>5.8371840000000006</v>
      </c>
      <c r="Z36" s="32"/>
    </row>
    <row r="37" spans="1:26" ht="30" customHeight="1">
      <c r="A37" s="70" t="str">
        <f t="shared" si="13"/>
        <v>L01</v>
      </c>
      <c r="B37" s="70" t="str">
        <f t="shared" si="14"/>
        <v>Muc 1.1</v>
      </c>
      <c r="C37" s="190" t="str">
        <f>IF(D37="","",
    IF(ISERR(SEARCH("_",D37)),
        IFERROR(_xlfn.AGGREGATE(14,6,$C$12:C36,1),0)+1,
        IFERROR(
            VALUE(TRIM(MID(SUBSTITUTE(D37,"_",REPT(" ",LEN(D37))), (LEN(D37)-LEN(SUBSTITUTE(D37,"_",""))-1)*LEN(D37)+1, LEN(D37))))
            &amp; "." &amp;
            VALUE(TRIM(RIGHT(SUBSTITUTE(D37,"_",REPT(" ",LEN(D37))),LEN(D37)))),
            "")))</f>
        <v>6.5</v>
      </c>
      <c r="D37" s="26" t="s">
        <v>258</v>
      </c>
      <c r="E37" s="25">
        <v>16</v>
      </c>
      <c r="F37" s="25">
        <v>894</v>
      </c>
      <c r="G37" s="25">
        <v>778</v>
      </c>
      <c r="H37" s="25">
        <v>1</v>
      </c>
      <c r="I37" s="33" t="s">
        <v>231</v>
      </c>
      <c r="J37" s="25" t="s">
        <v>232</v>
      </c>
      <c r="K37" s="25" t="s">
        <v>237</v>
      </c>
      <c r="L37" s="191"/>
      <c r="M37" s="25"/>
      <c r="N37" s="33"/>
      <c r="O37" s="195"/>
      <c r="P37" s="192" t="str">
        <f t="shared" si="7"/>
        <v/>
      </c>
      <c r="Q37" s="79" t="str">
        <f t="shared" si="15"/>
        <v>Tấm</v>
      </c>
      <c r="R37" s="171">
        <f t="shared" si="16"/>
        <v>0.23365090029561947</v>
      </c>
      <c r="S37" s="84">
        <f t="shared" si="9"/>
        <v>3.3440000000000003</v>
      </c>
      <c r="T37" s="193">
        <f t="shared" si="10"/>
        <v>0</v>
      </c>
      <c r="U37" s="194">
        <f t="shared" si="11"/>
        <v>0</v>
      </c>
      <c r="V37" s="69">
        <f t="shared" si="17"/>
        <v>1</v>
      </c>
      <c r="W37" s="69" t="str">
        <f t="shared" si="18"/>
        <v>IN</v>
      </c>
      <c r="X37" s="271" t="str">
        <f t="shared" si="19"/>
        <v/>
      </c>
      <c r="Y37" s="214">
        <f t="shared" si="6"/>
        <v>8.3463840000000005</v>
      </c>
      <c r="Z37" s="32"/>
    </row>
    <row r="38" spans="1:26" ht="30" customHeight="1">
      <c r="A38" s="70" t="str">
        <f t="shared" si="13"/>
        <v>L01</v>
      </c>
      <c r="B38" s="70" t="str">
        <f t="shared" si="14"/>
        <v>Muc 1.1</v>
      </c>
      <c r="C38" s="190" t="str">
        <f>IF(D38="","",
    IF(ISERR(SEARCH("_",D38)),
        IFERROR(_xlfn.AGGREGATE(14,6,$C$12:C37,1),0)+1,
        IFERROR(
            VALUE(TRIM(MID(SUBSTITUTE(D38,"_",REPT(" ",LEN(D38))), (LEN(D38)-LEN(SUBSTITUTE(D38,"_",""))-1)*LEN(D38)+1, LEN(D38))))
            &amp; "." &amp;
            VALUE(TRIM(RIGHT(SUBSTITUTE(D38,"_",REPT(" ",LEN(D38))),LEN(D38)))),
            "")))</f>
        <v>6.6</v>
      </c>
      <c r="D38" s="26" t="s">
        <v>259</v>
      </c>
      <c r="E38" s="25">
        <v>17</v>
      </c>
      <c r="F38" s="25">
        <v>60</v>
      </c>
      <c r="G38" s="25">
        <v>896</v>
      </c>
      <c r="H38" s="25">
        <v>1</v>
      </c>
      <c r="I38" s="33" t="s">
        <v>249</v>
      </c>
      <c r="J38" s="25" t="s">
        <v>232</v>
      </c>
      <c r="K38" s="25" t="s">
        <v>237</v>
      </c>
      <c r="L38" s="191"/>
      <c r="M38" s="25"/>
      <c r="N38" s="25"/>
      <c r="O38" s="195"/>
      <c r="P38" s="192" t="str">
        <f t="shared" si="7"/>
        <v/>
      </c>
      <c r="Q38" s="79" t="str">
        <f t="shared" si="15"/>
        <v>Tấm</v>
      </c>
      <c r="R38" s="171">
        <f t="shared" si="16"/>
        <v>1.8059661381349099E-2</v>
      </c>
      <c r="S38" s="84">
        <f t="shared" si="9"/>
        <v>1.9119999999999999</v>
      </c>
      <c r="T38" s="193">
        <f t="shared" si="10"/>
        <v>0</v>
      </c>
      <c r="U38" s="194">
        <f t="shared" si="11"/>
        <v>0</v>
      </c>
      <c r="V38" s="69">
        <f t="shared" si="17"/>
        <v>1</v>
      </c>
      <c r="W38" s="69" t="str">
        <f t="shared" si="18"/>
        <v>IN</v>
      </c>
      <c r="X38" s="271" t="str">
        <f t="shared" si="19"/>
        <v/>
      </c>
      <c r="Y38" s="214">
        <f t="shared" si="6"/>
        <v>0.68544000000000005</v>
      </c>
      <c r="Z38" s="32"/>
    </row>
    <row r="39" spans="1:26" ht="30" customHeight="1">
      <c r="A39" s="70" t="str">
        <f t="shared" si="13"/>
        <v>L01</v>
      </c>
      <c r="B39" s="70" t="str">
        <f t="shared" si="14"/>
        <v>Muc 1.1</v>
      </c>
      <c r="C39" s="190" t="str">
        <f>IF(D39="","",
    IF(ISERR(SEARCH("_",D39)),
        IFERROR(_xlfn.AGGREGATE(14,6,$C$12:C38,1),0)+1,
        IFERROR(
            VALUE(TRIM(MID(SUBSTITUTE(D39,"_",REPT(" ",LEN(D39))), (LEN(D39)-LEN(SUBSTITUTE(D39,"_",""))-1)*LEN(D39)+1, LEN(D39))))
            &amp; "." &amp;
            VALUE(TRIM(RIGHT(SUBSTITUTE(D39,"_",REPT(" ",LEN(D39))),LEN(D39)))),
            "")))</f>
        <v>6.7</v>
      </c>
      <c r="D39" s="26" t="s">
        <v>260</v>
      </c>
      <c r="E39" s="25">
        <v>16</v>
      </c>
      <c r="F39" s="25">
        <v>515</v>
      </c>
      <c r="G39" s="25">
        <v>860</v>
      </c>
      <c r="H39" s="25">
        <v>1</v>
      </c>
      <c r="I39" s="33" t="s">
        <v>231</v>
      </c>
      <c r="J39" s="25" t="s">
        <v>232</v>
      </c>
      <c r="K39" s="25" t="s">
        <v>237</v>
      </c>
      <c r="L39" s="191"/>
      <c r="M39" s="25"/>
      <c r="N39" s="25"/>
      <c r="O39" s="195"/>
      <c r="P39" s="192" t="str">
        <f t="shared" si="7"/>
        <v/>
      </c>
      <c r="Q39" s="79" t="str">
        <f t="shared" si="15"/>
        <v>Tấm</v>
      </c>
      <c r="R39" s="171">
        <f t="shared" si="16"/>
        <v>0.14878392905133028</v>
      </c>
      <c r="S39" s="84">
        <f t="shared" si="9"/>
        <v>2.75</v>
      </c>
      <c r="T39" s="193">
        <f t="shared" si="10"/>
        <v>0</v>
      </c>
      <c r="U39" s="194">
        <f t="shared" si="11"/>
        <v>0</v>
      </c>
      <c r="V39" s="69">
        <f t="shared" si="17"/>
        <v>1</v>
      </c>
      <c r="W39" s="69" t="str">
        <f t="shared" si="18"/>
        <v>IN</v>
      </c>
      <c r="X39" s="271" t="str">
        <f t="shared" si="19"/>
        <v/>
      </c>
      <c r="Y39" s="214">
        <f t="shared" si="6"/>
        <v>5.3148</v>
      </c>
      <c r="Z39" s="32"/>
    </row>
    <row r="40" spans="1:26" ht="30" customHeight="1">
      <c r="A40" s="70" t="str">
        <f t="shared" si="13"/>
        <v>L01</v>
      </c>
      <c r="B40" s="70" t="str">
        <f t="shared" si="14"/>
        <v>Muc 1.1</v>
      </c>
      <c r="C40" s="190">
        <f>IF(D40="","",
    IF(ISERR(SEARCH("_",D40)),
        IFERROR(_xlfn.AGGREGATE(14,6,$C$12:C39,1),0)+1,
        IFERROR(
            VALUE(TRIM(MID(SUBSTITUTE(D40,"_",REPT(" ",LEN(D40))), (LEN(D40)-LEN(SUBSTITUTE(D40,"_",""))-1)*LEN(D40)+1, LEN(D40))))
            &amp; "." &amp;
            VALUE(TRIM(RIGHT(SUBSTITUTE(D40,"_",REPT(" ",LEN(D40))),LEN(D40)))),
            "")))</f>
        <v>7</v>
      </c>
      <c r="D40" s="26" t="s">
        <v>261</v>
      </c>
      <c r="E40" s="25">
        <v>580</v>
      </c>
      <c r="F40" s="25">
        <v>780</v>
      </c>
      <c r="G40" s="25">
        <v>896</v>
      </c>
      <c r="H40" s="25">
        <v>1</v>
      </c>
      <c r="I40" s="33" t="s">
        <v>185</v>
      </c>
      <c r="J40" s="25" t="s">
        <v>185</v>
      </c>
      <c r="K40" s="25" t="s">
        <v>185</v>
      </c>
      <c r="L40" s="191"/>
      <c r="M40" s="25"/>
      <c r="N40" s="33"/>
      <c r="O40" s="195" t="s">
        <v>253</v>
      </c>
      <c r="P40" s="192" t="str">
        <f t="shared" si="7"/>
        <v/>
      </c>
      <c r="Q40" s="79" t="str">
        <f t="shared" si="15"/>
        <v/>
      </c>
      <c r="R40" s="171">
        <f t="shared" si="16"/>
        <v>0</v>
      </c>
      <c r="S40" s="84">
        <f t="shared" si="9"/>
        <v>0</v>
      </c>
      <c r="T40" s="193">
        <f t="shared" si="10"/>
        <v>0</v>
      </c>
      <c r="U40" s="194">
        <f t="shared" si="11"/>
        <v>0</v>
      </c>
      <c r="V40" s="69">
        <f t="shared" si="17"/>
        <v>1</v>
      </c>
      <c r="W40" s="69" t="str">
        <f t="shared" si="18"/>
        <v>IN</v>
      </c>
      <c r="X40" s="271">
        <f t="shared" si="19"/>
        <v>1</v>
      </c>
      <c r="Y40" s="214">
        <f t="shared" si="6"/>
        <v>304.01280000000003</v>
      </c>
      <c r="Z40" s="32"/>
    </row>
    <row r="41" spans="1:26" ht="30" customHeight="1">
      <c r="A41" s="70" t="str">
        <f t="shared" si="13"/>
        <v>L01</v>
      </c>
      <c r="B41" s="70" t="str">
        <f t="shared" si="14"/>
        <v>Muc 1.1</v>
      </c>
      <c r="C41" s="190" t="str">
        <f>IF(D41="","",
    IF(ISERR(SEARCH("_",D41)),
        IFERROR(_xlfn.AGGREGATE(14,6,$C$12:C40,1),0)+1,
        IFERROR(
            VALUE(TRIM(MID(SUBSTITUTE(D41,"_",REPT(" ",LEN(D41))), (LEN(D41)-LEN(SUBSTITUTE(D41,"_",""))-1)*LEN(D41)+1, LEN(D41))))
            &amp; "." &amp;
            VALUE(TRIM(RIGHT(SUBSTITUTE(D41,"_",REPT(" ",LEN(D41))),LEN(D41)))),
            "")))</f>
        <v>7.1</v>
      </c>
      <c r="D41" s="26" t="s">
        <v>262</v>
      </c>
      <c r="E41" s="25">
        <v>16</v>
      </c>
      <c r="F41" s="25">
        <v>547</v>
      </c>
      <c r="G41" s="25">
        <v>778</v>
      </c>
      <c r="H41" s="25">
        <v>1</v>
      </c>
      <c r="I41" s="33" t="s">
        <v>231</v>
      </c>
      <c r="J41" s="25" t="s">
        <v>232</v>
      </c>
      <c r="K41" s="25" t="s">
        <v>233</v>
      </c>
      <c r="L41" s="191"/>
      <c r="M41" s="25"/>
      <c r="N41" s="33"/>
      <c r="O41" s="195"/>
      <c r="P41" s="192" t="str">
        <f t="shared" si="7"/>
        <v/>
      </c>
      <c r="Q41" s="79" t="str">
        <f t="shared" si="15"/>
        <v>Tấm</v>
      </c>
      <c r="R41" s="171">
        <f t="shared" si="16"/>
        <v>0.14296089760816985</v>
      </c>
      <c r="S41" s="84">
        <f t="shared" si="9"/>
        <v>1.8720000000000001</v>
      </c>
      <c r="T41" s="193">
        <f t="shared" si="10"/>
        <v>0</v>
      </c>
      <c r="U41" s="194">
        <f t="shared" si="11"/>
        <v>0</v>
      </c>
      <c r="V41" s="69">
        <f t="shared" si="17"/>
        <v>1</v>
      </c>
      <c r="W41" s="69" t="str">
        <f t="shared" si="18"/>
        <v>IN</v>
      </c>
      <c r="X41" s="271" t="str">
        <f t="shared" si="19"/>
        <v/>
      </c>
      <c r="Y41" s="214">
        <f t="shared" si="6"/>
        <v>5.1067920000000004</v>
      </c>
      <c r="Z41" s="32"/>
    </row>
    <row r="42" spans="1:26" ht="30" customHeight="1">
      <c r="A42" s="70" t="str">
        <f t="shared" si="13"/>
        <v>L01</v>
      </c>
      <c r="B42" s="70" t="str">
        <f t="shared" si="14"/>
        <v>Muc 1.1</v>
      </c>
      <c r="C42" s="190" t="str">
        <f>IF(D42="","",
    IF(ISERR(SEARCH("_",D42)),
        IFERROR(_xlfn.AGGREGATE(14,6,$C$12:C41,1),0)+1,
        IFERROR(
            VALUE(TRIM(MID(SUBSTITUTE(D42,"_",REPT(" ",LEN(D42))), (LEN(D42)-LEN(SUBSTITUTE(D42,"_",""))-1)*LEN(D42)+1, LEN(D42))))
            &amp; "." &amp;
            VALUE(TRIM(RIGHT(SUBSTITUTE(D42,"_",REPT(" ",LEN(D42))),LEN(D42)))),
            "")))</f>
        <v>7.2</v>
      </c>
      <c r="D42" s="26" t="s">
        <v>263</v>
      </c>
      <c r="E42" s="25">
        <v>16</v>
      </c>
      <c r="F42" s="25">
        <v>547</v>
      </c>
      <c r="G42" s="25">
        <v>778</v>
      </c>
      <c r="H42" s="25">
        <v>1</v>
      </c>
      <c r="I42" s="33" t="s">
        <v>231</v>
      </c>
      <c r="J42" s="25" t="s">
        <v>232</v>
      </c>
      <c r="K42" s="25" t="s">
        <v>233</v>
      </c>
      <c r="L42" s="191"/>
      <c r="M42" s="25"/>
      <c r="N42" s="33"/>
      <c r="O42" s="195"/>
      <c r="P42" s="192" t="str">
        <f t="shared" si="7"/>
        <v/>
      </c>
      <c r="Q42" s="79" t="str">
        <f t="shared" si="15"/>
        <v>Tấm</v>
      </c>
      <c r="R42" s="171">
        <f t="shared" si="16"/>
        <v>0.14296089760816985</v>
      </c>
      <c r="S42" s="84">
        <f t="shared" si="9"/>
        <v>1.8720000000000001</v>
      </c>
      <c r="T42" s="193">
        <f t="shared" si="10"/>
        <v>0</v>
      </c>
      <c r="U42" s="194">
        <f t="shared" si="11"/>
        <v>0</v>
      </c>
      <c r="V42" s="69">
        <f t="shared" si="17"/>
        <v>1</v>
      </c>
      <c r="W42" s="69" t="str">
        <f t="shared" si="18"/>
        <v>IN</v>
      </c>
      <c r="X42" s="271" t="str">
        <f t="shared" si="19"/>
        <v/>
      </c>
      <c r="Y42" s="214">
        <f t="shared" si="6"/>
        <v>5.1067920000000004</v>
      </c>
      <c r="Z42" s="32"/>
    </row>
    <row r="43" spans="1:26" ht="30" customHeight="1">
      <c r="A43" s="70" t="str">
        <f t="shared" si="13"/>
        <v>L01</v>
      </c>
      <c r="B43" s="70" t="str">
        <f t="shared" si="14"/>
        <v>Muc 1.1</v>
      </c>
      <c r="C43" s="190" t="str">
        <f>IF(D43="","",
    IF(ISERR(SEARCH("_",D43)),
        IFERROR(_xlfn.AGGREGATE(14,6,$C$12:C42,1),0)+1,
        IFERROR(
            VALUE(TRIM(MID(SUBSTITUTE(D43,"_",REPT(" ",LEN(D43))), (LEN(D43)-LEN(SUBSTITUTE(D43,"_",""))-1)*LEN(D43)+1, LEN(D43))))
            &amp; "." &amp;
            VALUE(TRIM(RIGHT(SUBSTITUTE(D43,"_",REPT(" ",LEN(D43))),LEN(D43)))),
            "")))</f>
        <v>7.3</v>
      </c>
      <c r="D43" s="26" t="s">
        <v>264</v>
      </c>
      <c r="E43" s="25">
        <v>16</v>
      </c>
      <c r="F43" s="25">
        <v>531</v>
      </c>
      <c r="G43" s="25">
        <v>864</v>
      </c>
      <c r="H43" s="25">
        <v>1</v>
      </c>
      <c r="I43" s="33" t="s">
        <v>231</v>
      </c>
      <c r="J43" s="25" t="s">
        <v>185</v>
      </c>
      <c r="K43" s="25" t="s">
        <v>185</v>
      </c>
      <c r="L43" s="191"/>
      <c r="M43" s="25"/>
      <c r="N43" s="33"/>
      <c r="O43" s="195"/>
      <c r="P43" s="192" t="str">
        <f t="shared" si="7"/>
        <v/>
      </c>
      <c r="Q43" s="79" t="str">
        <f t="shared" si="15"/>
        <v>Tấm</v>
      </c>
      <c r="R43" s="171">
        <f t="shared" si="16"/>
        <v>0.15411986025262026</v>
      </c>
      <c r="S43" s="84">
        <f t="shared" si="9"/>
        <v>0</v>
      </c>
      <c r="T43" s="193">
        <f t="shared" si="10"/>
        <v>0</v>
      </c>
      <c r="U43" s="194">
        <f t="shared" si="11"/>
        <v>0</v>
      </c>
      <c r="V43" s="69">
        <f t="shared" si="17"/>
        <v>1</v>
      </c>
      <c r="W43" s="69" t="str">
        <f t="shared" si="18"/>
        <v>IN</v>
      </c>
      <c r="X43" s="271" t="str">
        <f t="shared" si="19"/>
        <v/>
      </c>
      <c r="Y43" s="214">
        <f t="shared" si="6"/>
        <v>5.5054080000000001</v>
      </c>
      <c r="Z43" s="32"/>
    </row>
    <row r="44" spans="1:26" ht="30" customHeight="1">
      <c r="A44" s="70" t="str">
        <f t="shared" si="13"/>
        <v>L01</v>
      </c>
      <c r="B44" s="70" t="str">
        <f t="shared" si="14"/>
        <v>Muc 1.1</v>
      </c>
      <c r="C44" s="190" t="str">
        <f>IF(D44="","",
    IF(ISERR(SEARCH("_",D44)),
        IFERROR(_xlfn.AGGREGATE(14,6,$C$12:C43,1),0)+1,
        IFERROR(
            VALUE(TRIM(MID(SUBSTITUTE(D44,"_",REPT(" ",LEN(D44))), (LEN(D44)-LEN(SUBSTITUTE(D44,"_",""))-1)*LEN(D44)+1, LEN(D44))))
            &amp; "." &amp;
            VALUE(TRIM(RIGHT(SUBSTITUTE(D44,"_",REPT(" ",LEN(D44))),LEN(D44)))),
            "")))</f>
        <v>7.4</v>
      </c>
      <c r="D44" s="26" t="s">
        <v>265</v>
      </c>
      <c r="E44" s="25">
        <v>16</v>
      </c>
      <c r="F44" s="25">
        <v>546</v>
      </c>
      <c r="G44" s="25">
        <v>864</v>
      </c>
      <c r="H44" s="25">
        <v>1</v>
      </c>
      <c r="I44" s="33" t="s">
        <v>231</v>
      </c>
      <c r="J44" s="25" t="s">
        <v>232</v>
      </c>
      <c r="K44" s="25" t="s">
        <v>239</v>
      </c>
      <c r="L44" s="191"/>
      <c r="M44" s="25"/>
      <c r="N44" s="33"/>
      <c r="O44" s="195"/>
      <c r="P44" s="192" t="str">
        <f t="shared" si="7"/>
        <v/>
      </c>
      <c r="Q44" s="79" t="str">
        <f t="shared" si="15"/>
        <v>Tấm</v>
      </c>
      <c r="R44" s="171">
        <f t="shared" si="16"/>
        <v>0.15847352862133834</v>
      </c>
      <c r="S44" s="84">
        <f t="shared" si="9"/>
        <v>0.86399999999999999</v>
      </c>
      <c r="T44" s="193">
        <f t="shared" si="10"/>
        <v>0</v>
      </c>
      <c r="U44" s="194">
        <f t="shared" si="11"/>
        <v>0</v>
      </c>
      <c r="V44" s="69">
        <f t="shared" si="17"/>
        <v>1</v>
      </c>
      <c r="W44" s="69" t="str">
        <f t="shared" si="18"/>
        <v>IN</v>
      </c>
      <c r="X44" s="271" t="str">
        <f t="shared" si="19"/>
        <v/>
      </c>
      <c r="Y44" s="214">
        <f t="shared" si="6"/>
        <v>5.6609280000000002</v>
      </c>
      <c r="Z44" s="32"/>
    </row>
    <row r="45" spans="1:26" ht="30" customHeight="1">
      <c r="A45" s="70" t="str">
        <f t="shared" si="13"/>
        <v>L01</v>
      </c>
      <c r="B45" s="70" t="str">
        <f t="shared" si="14"/>
        <v>Muc 1.1</v>
      </c>
      <c r="C45" s="190" t="str">
        <f>IF(D45="","",
    IF(ISERR(SEARCH("_",D45)),
        IFERROR(_xlfn.AGGREGATE(14,6,$C$12:C44,1),0)+1,
        IFERROR(
            VALUE(TRIM(MID(SUBSTITUTE(D45,"_",REPT(" ",LEN(D45))), (LEN(D45)-LEN(SUBSTITUTE(D45,"_",""))-1)*LEN(D45)+1, LEN(D45))))
            &amp; "." &amp;
            VALUE(TRIM(RIGHT(SUBSTITUTE(D45,"_",REPT(" ",LEN(D45))),LEN(D45)))),
            "")))</f>
        <v>7.5</v>
      </c>
      <c r="D45" s="26" t="s">
        <v>266</v>
      </c>
      <c r="E45" s="25">
        <v>16</v>
      </c>
      <c r="F45" s="25">
        <v>894</v>
      </c>
      <c r="G45" s="25">
        <v>778</v>
      </c>
      <c r="H45" s="25">
        <v>1</v>
      </c>
      <c r="I45" s="33" t="s">
        <v>231</v>
      </c>
      <c r="J45" s="25" t="s">
        <v>232</v>
      </c>
      <c r="K45" s="25" t="s">
        <v>237</v>
      </c>
      <c r="L45" s="191"/>
      <c r="M45" s="25"/>
      <c r="N45" s="33"/>
      <c r="O45" s="195"/>
      <c r="P45" s="192" t="str">
        <f t="shared" si="7"/>
        <v/>
      </c>
      <c r="Q45" s="79" t="str">
        <f t="shared" si="15"/>
        <v>Tấm</v>
      </c>
      <c r="R45" s="171">
        <f t="shared" si="16"/>
        <v>0.23365090029561947</v>
      </c>
      <c r="S45" s="84">
        <f t="shared" si="9"/>
        <v>3.3440000000000003</v>
      </c>
      <c r="T45" s="193">
        <f t="shared" si="10"/>
        <v>0</v>
      </c>
      <c r="U45" s="194">
        <f t="shared" si="11"/>
        <v>0</v>
      </c>
      <c r="V45" s="69">
        <f t="shared" si="17"/>
        <v>1</v>
      </c>
      <c r="W45" s="69" t="str">
        <f t="shared" si="18"/>
        <v>IN</v>
      </c>
      <c r="X45" s="271" t="str">
        <f t="shared" si="19"/>
        <v/>
      </c>
      <c r="Y45" s="214">
        <f t="shared" si="6"/>
        <v>8.3463840000000005</v>
      </c>
      <c r="Z45" s="32"/>
    </row>
    <row r="46" spans="1:26" ht="30" customHeight="1">
      <c r="A46" s="70" t="str">
        <f t="shared" si="13"/>
        <v>L01</v>
      </c>
      <c r="B46" s="70" t="str">
        <f t="shared" si="14"/>
        <v>Muc 1.1</v>
      </c>
      <c r="C46" s="190" t="str">
        <f>IF(D46="","",
    IF(ISERR(SEARCH("_",D46)),
        IFERROR(_xlfn.AGGREGATE(14,6,$C$12:C45,1),0)+1,
        IFERROR(
            VALUE(TRIM(MID(SUBSTITUTE(D46,"_",REPT(" ",LEN(D46))), (LEN(D46)-LEN(SUBSTITUTE(D46,"_",""))-1)*LEN(D46)+1, LEN(D46))))
            &amp; "." &amp;
            VALUE(TRIM(RIGHT(SUBSTITUTE(D46,"_",REPT(" ",LEN(D46))),LEN(D46)))),
            "")))</f>
        <v>7.6</v>
      </c>
      <c r="D46" s="26" t="s">
        <v>267</v>
      </c>
      <c r="E46" s="25">
        <v>17</v>
      </c>
      <c r="F46" s="25">
        <v>60</v>
      </c>
      <c r="G46" s="25">
        <v>896</v>
      </c>
      <c r="H46" s="25">
        <v>1</v>
      </c>
      <c r="I46" s="33" t="s">
        <v>249</v>
      </c>
      <c r="J46" s="25" t="s">
        <v>232</v>
      </c>
      <c r="K46" s="25" t="s">
        <v>237</v>
      </c>
      <c r="L46" s="191"/>
      <c r="M46" s="25"/>
      <c r="N46" s="33"/>
      <c r="O46" s="195"/>
      <c r="P46" s="192" t="str">
        <f t="shared" si="7"/>
        <v/>
      </c>
      <c r="Q46" s="79" t="str">
        <f t="shared" si="15"/>
        <v>Tấm</v>
      </c>
      <c r="R46" s="171">
        <f t="shared" si="16"/>
        <v>1.8059661381349099E-2</v>
      </c>
      <c r="S46" s="84">
        <f t="shared" si="9"/>
        <v>1.9119999999999999</v>
      </c>
      <c r="T46" s="193">
        <f t="shared" si="10"/>
        <v>0</v>
      </c>
      <c r="U46" s="194">
        <f t="shared" si="11"/>
        <v>0</v>
      </c>
      <c r="V46" s="69">
        <f t="shared" si="17"/>
        <v>1</v>
      </c>
      <c r="W46" s="69" t="str">
        <f t="shared" si="18"/>
        <v>IN</v>
      </c>
      <c r="X46" s="271" t="str">
        <f t="shared" si="19"/>
        <v/>
      </c>
      <c r="Y46" s="214">
        <f t="shared" si="6"/>
        <v>0.68544000000000005</v>
      </c>
      <c r="Z46" s="32"/>
    </row>
    <row r="47" spans="1:26" ht="30" customHeight="1">
      <c r="A47" s="70" t="str">
        <f t="shared" si="13"/>
        <v>L01</v>
      </c>
      <c r="B47" s="70" t="str">
        <f t="shared" si="14"/>
        <v>Muc 1.1</v>
      </c>
      <c r="C47" s="190" t="str">
        <f>IF(D47="","",
    IF(ISERR(SEARCH("_",D47)),
        IFERROR(_xlfn.AGGREGATE(14,6,$C$12:C46,1),0)+1,
        IFERROR(
            VALUE(TRIM(MID(SUBSTITUTE(D47,"_",REPT(" ",LEN(D47))), (LEN(D47)-LEN(SUBSTITUTE(D47,"_",""))-1)*LEN(D47)+1, LEN(D47))))
            &amp; "." &amp;
            VALUE(TRIM(RIGHT(SUBSTITUTE(D47,"_",REPT(" ",LEN(D47))),LEN(D47)))),
            "")))</f>
        <v>7.7</v>
      </c>
      <c r="D47" s="26" t="s">
        <v>268</v>
      </c>
      <c r="E47" s="25">
        <v>16</v>
      </c>
      <c r="F47" s="25">
        <v>78</v>
      </c>
      <c r="G47" s="25">
        <v>894</v>
      </c>
      <c r="H47" s="25">
        <v>2</v>
      </c>
      <c r="I47" s="33" t="s">
        <v>231</v>
      </c>
      <c r="J47" s="25" t="s">
        <v>232</v>
      </c>
      <c r="K47" s="25" t="s">
        <v>237</v>
      </c>
      <c r="L47" s="191"/>
      <c r="M47" s="25"/>
      <c r="N47" s="33"/>
      <c r="O47" s="195"/>
      <c r="P47" s="192" t="str">
        <f t="shared" si="7"/>
        <v/>
      </c>
      <c r="Q47" s="79" t="str">
        <f t="shared" si="15"/>
        <v>Tấm</v>
      </c>
      <c r="R47" s="171">
        <f t="shared" si="16"/>
        <v>4.6850309056705189E-2</v>
      </c>
      <c r="S47" s="84">
        <f t="shared" si="9"/>
        <v>3.8879999999999999</v>
      </c>
      <c r="T47" s="193">
        <f t="shared" si="10"/>
        <v>0</v>
      </c>
      <c r="U47" s="194">
        <f t="shared" si="11"/>
        <v>0</v>
      </c>
      <c r="V47" s="69">
        <f t="shared" si="17"/>
        <v>1</v>
      </c>
      <c r="W47" s="69" t="str">
        <f t="shared" si="18"/>
        <v>IN</v>
      </c>
      <c r="X47" s="271" t="str">
        <f t="shared" si="19"/>
        <v/>
      </c>
      <c r="Y47" s="214">
        <f t="shared" si="6"/>
        <v>1.6735680000000002</v>
      </c>
      <c r="Z47" s="32"/>
    </row>
    <row r="48" spans="1:26" ht="30" customHeight="1">
      <c r="A48" s="70" t="str">
        <f t="shared" si="13"/>
        <v>L01</v>
      </c>
      <c r="B48" s="70" t="str">
        <f t="shared" si="14"/>
        <v>Muc 1.1</v>
      </c>
      <c r="C48" s="190" t="str">
        <f>IF(D48="","",
    IF(ISERR(SEARCH("_",D48)),
        IFERROR(_xlfn.AGGREGATE(14,6,$C$12:C47,1),0)+1,
        IFERROR(
            VALUE(TRIM(MID(SUBSTITUTE(D48,"_",REPT(" ",LEN(D48))), (LEN(D48)-LEN(SUBSTITUTE(D48,"_",""))-1)*LEN(D48)+1, LEN(D48))))
            &amp; "." &amp;
            VALUE(TRIM(RIGHT(SUBSTITUTE(D48,"_",REPT(" ",LEN(D48))),LEN(D48)))),
            "")))</f>
        <v>7.8</v>
      </c>
      <c r="D48" s="26" t="s">
        <v>269</v>
      </c>
      <c r="E48" s="25">
        <v>16</v>
      </c>
      <c r="F48" s="25">
        <v>498</v>
      </c>
      <c r="G48" s="25">
        <v>860</v>
      </c>
      <c r="H48" s="25">
        <v>1</v>
      </c>
      <c r="I48" s="33" t="s">
        <v>231</v>
      </c>
      <c r="J48" s="25" t="s">
        <v>232</v>
      </c>
      <c r="K48" s="25" t="s">
        <v>237</v>
      </c>
      <c r="L48" s="191"/>
      <c r="M48" s="25"/>
      <c r="N48" s="33"/>
      <c r="O48" s="195"/>
      <c r="P48" s="192" t="str">
        <f t="shared" si="7"/>
        <v/>
      </c>
      <c r="Q48" s="79" t="str">
        <f t="shared" si="15"/>
        <v>Tấm</v>
      </c>
      <c r="R48" s="171">
        <f t="shared" si="16"/>
        <v>0.14387261488847083</v>
      </c>
      <c r="S48" s="84">
        <f t="shared" si="9"/>
        <v>2.7160000000000002</v>
      </c>
      <c r="T48" s="193">
        <f t="shared" si="10"/>
        <v>0</v>
      </c>
      <c r="U48" s="194">
        <f t="shared" si="11"/>
        <v>0</v>
      </c>
      <c r="V48" s="69">
        <f t="shared" si="17"/>
        <v>1</v>
      </c>
      <c r="W48" s="69" t="str">
        <f t="shared" si="18"/>
        <v>IN</v>
      </c>
      <c r="X48" s="271" t="str">
        <f t="shared" si="19"/>
        <v/>
      </c>
      <c r="Y48" s="214">
        <f t="shared" si="6"/>
        <v>5.1393599999999999</v>
      </c>
      <c r="Z48" s="32"/>
    </row>
    <row r="49" spans="1:26" ht="30" customHeight="1">
      <c r="A49" s="70" t="str">
        <f t="shared" si="13"/>
        <v>L01</v>
      </c>
      <c r="B49" s="70" t="str">
        <f t="shared" si="14"/>
        <v>Muc 1.1</v>
      </c>
      <c r="C49" s="190">
        <f>IF(D49="","",
    IF(ISERR(SEARCH("_",D49)),
        IFERROR(_xlfn.AGGREGATE(14,6,$C$12:C48,1),0)+1,
        IFERROR(
            VALUE(TRIM(MID(SUBSTITUTE(D49,"_",REPT(" ",LEN(D49))), (LEN(D49)-LEN(SUBSTITUTE(D49,"_",""))-1)*LEN(D49)+1, LEN(D49))))
            &amp; "." &amp;
            VALUE(TRIM(RIGHT(SUBSTITUTE(D49,"_",REPT(" ",LEN(D49))),LEN(D49)))),
            "")))</f>
        <v>8</v>
      </c>
      <c r="D49" s="26" t="s">
        <v>270</v>
      </c>
      <c r="E49" s="25">
        <v>300</v>
      </c>
      <c r="F49" s="25">
        <v>516</v>
      </c>
      <c r="G49" s="25">
        <v>892</v>
      </c>
      <c r="H49" s="25">
        <v>1</v>
      </c>
      <c r="I49" s="33" t="s">
        <v>185</v>
      </c>
      <c r="J49" s="25" t="s">
        <v>185</v>
      </c>
      <c r="K49" s="25" t="s">
        <v>185</v>
      </c>
      <c r="L49" s="191"/>
      <c r="M49" s="25"/>
      <c r="N49" s="33"/>
      <c r="O49" s="195" t="s">
        <v>253</v>
      </c>
      <c r="P49" s="192" t="str">
        <f t="shared" si="7"/>
        <v/>
      </c>
      <c r="Q49" s="79" t="str">
        <f t="shared" si="15"/>
        <v/>
      </c>
      <c r="R49" s="171">
        <f t="shared" si="16"/>
        <v>0</v>
      </c>
      <c r="S49" s="84">
        <f t="shared" si="9"/>
        <v>0</v>
      </c>
      <c r="T49" s="193">
        <f t="shared" si="10"/>
        <v>0</v>
      </c>
      <c r="U49" s="194">
        <f t="shared" si="11"/>
        <v>0</v>
      </c>
      <c r="V49" s="69">
        <f t="shared" si="17"/>
        <v>1</v>
      </c>
      <c r="W49" s="69" t="str">
        <f t="shared" si="18"/>
        <v>IN</v>
      </c>
      <c r="X49" s="271">
        <f t="shared" si="19"/>
        <v>1</v>
      </c>
      <c r="Y49" s="214">
        <f t="shared" si="6"/>
        <v>103.5612</v>
      </c>
      <c r="Z49" s="32"/>
    </row>
    <row r="50" spans="1:26" ht="30" customHeight="1">
      <c r="A50" s="70" t="str">
        <f t="shared" si="13"/>
        <v>L01</v>
      </c>
      <c r="B50" s="70" t="str">
        <f t="shared" si="14"/>
        <v>Muc 1.1</v>
      </c>
      <c r="C50" s="190" t="str">
        <f>IF(D50="","",
    IF(ISERR(SEARCH("_",D50)),
        IFERROR(_xlfn.AGGREGATE(14,6,$C$12:C49,1),0)+1,
        IFERROR(
            VALUE(TRIM(MID(SUBSTITUTE(D50,"_",REPT(" ",LEN(D50))), (LEN(D50)-LEN(SUBSTITUTE(D50,"_",""))-1)*LEN(D50)+1, LEN(D50))))
            &amp; "." &amp;
            VALUE(TRIM(RIGHT(SUBSTITUTE(D50,"_",REPT(" ",LEN(D50))),LEN(D50)))),
            "")))</f>
        <v>8.1</v>
      </c>
      <c r="D50" s="26" t="s">
        <v>271</v>
      </c>
      <c r="E50" s="25">
        <v>17</v>
      </c>
      <c r="F50" s="25">
        <v>80</v>
      </c>
      <c r="G50" s="25">
        <v>482</v>
      </c>
      <c r="H50" s="25">
        <v>2</v>
      </c>
      <c r="I50" s="33" t="s">
        <v>272</v>
      </c>
      <c r="J50" s="25" t="s">
        <v>185</v>
      </c>
      <c r="K50" s="25" t="s">
        <v>185</v>
      </c>
      <c r="L50" s="191"/>
      <c r="M50" s="25"/>
      <c r="N50" s="33" t="s">
        <v>273</v>
      </c>
      <c r="O50" s="195"/>
      <c r="P50" s="192" t="str">
        <f t="shared" si="7"/>
        <v/>
      </c>
      <c r="Q50" s="79" t="str">
        <f t="shared" si="15"/>
        <v>Tấm</v>
      </c>
      <c r="R50" s="171">
        <f t="shared" si="16"/>
        <v>2.5907014243482934E-2</v>
      </c>
      <c r="S50" s="84">
        <f t="shared" si="9"/>
        <v>0</v>
      </c>
      <c r="T50" s="193">
        <f t="shared" si="10"/>
        <v>0</v>
      </c>
      <c r="U50" s="194">
        <f t="shared" si="11"/>
        <v>0.19245599999999999</v>
      </c>
      <c r="V50" s="69">
        <f t="shared" si="17"/>
        <v>1</v>
      </c>
      <c r="W50" s="69" t="str">
        <f t="shared" si="18"/>
        <v>IN</v>
      </c>
      <c r="X50" s="271" t="str">
        <f t="shared" si="19"/>
        <v/>
      </c>
      <c r="Y50" s="214">
        <f t="shared" si="6"/>
        <v>0.98328000000000004</v>
      </c>
      <c r="Z50" s="32"/>
    </row>
    <row r="51" spans="1:26" ht="30" customHeight="1">
      <c r="A51" s="70" t="str">
        <f t="shared" si="13"/>
        <v>L01</v>
      </c>
      <c r="B51" s="70" t="str">
        <f t="shared" si="14"/>
        <v>Muc 1.1</v>
      </c>
      <c r="C51" s="190" t="str">
        <f>IF(D51="","",
    IF(ISERR(SEARCH("_",D51)),
        IFERROR(_xlfn.AGGREGATE(14,6,$C$12:C50,1),0)+1,
        IFERROR(
            VALUE(TRIM(MID(SUBSTITUTE(D51,"_",REPT(" ",LEN(D51))), (LEN(D51)-LEN(SUBSTITUTE(D51,"_",""))-1)*LEN(D51)+1, LEN(D51))))
            &amp; "." &amp;
            VALUE(TRIM(RIGHT(SUBSTITUTE(D51,"_",REPT(" ",LEN(D51))),LEN(D51)))),
            "")))</f>
        <v>8.2</v>
      </c>
      <c r="D51" s="26" t="s">
        <v>274</v>
      </c>
      <c r="E51" s="25">
        <v>17</v>
      </c>
      <c r="F51" s="25">
        <v>95</v>
      </c>
      <c r="G51" s="25">
        <v>596</v>
      </c>
      <c r="H51" s="25">
        <v>2</v>
      </c>
      <c r="I51" s="33" t="s">
        <v>272</v>
      </c>
      <c r="J51" s="25" t="s">
        <v>185</v>
      </c>
      <c r="K51" s="25" t="s">
        <v>185</v>
      </c>
      <c r="L51" s="191"/>
      <c r="M51" s="25"/>
      <c r="N51" s="33" t="s">
        <v>273</v>
      </c>
      <c r="O51" s="195"/>
      <c r="P51" s="192" t="str">
        <f t="shared" si="7"/>
        <v/>
      </c>
      <c r="Q51" s="79" t="str">
        <f t="shared" si="15"/>
        <v>Tấm</v>
      </c>
      <c r="R51" s="171">
        <f t="shared" si="16"/>
        <v>3.8040849234076864E-2</v>
      </c>
      <c r="S51" s="84">
        <f t="shared" si="9"/>
        <v>0</v>
      </c>
      <c r="T51" s="193">
        <f t="shared" si="10"/>
        <v>0</v>
      </c>
      <c r="U51" s="194">
        <f t="shared" si="11"/>
        <v>0.27346799999999999</v>
      </c>
      <c r="V51" s="69">
        <f t="shared" si="17"/>
        <v>1</v>
      </c>
      <c r="W51" s="69" t="str">
        <f t="shared" si="18"/>
        <v>IN</v>
      </c>
      <c r="X51" s="271" t="str">
        <f t="shared" si="19"/>
        <v/>
      </c>
      <c r="Y51" s="214">
        <f t="shared" si="6"/>
        <v>1.44381</v>
      </c>
      <c r="Z51" s="32"/>
    </row>
    <row r="52" spans="1:26" ht="30" customHeight="1">
      <c r="A52" s="70" t="str">
        <f t="shared" si="13"/>
        <v>L01</v>
      </c>
      <c r="B52" s="70" t="str">
        <f t="shared" si="14"/>
        <v>Muc 1.1</v>
      </c>
      <c r="C52" s="190" t="str">
        <f>IF(D52="","",
    IF(ISERR(SEARCH("_",D52)),
        IFERROR(_xlfn.AGGREGATE(14,6,$C$12:C51,1),0)+1,
        IFERROR(
            VALUE(TRIM(MID(SUBSTITUTE(D52,"_",REPT(" ",LEN(D52))), (LEN(D52)-LEN(SUBSTITUTE(D52,"_",""))-1)*LEN(D52)+1, LEN(D52))))
            &amp; "." &amp;
            VALUE(TRIM(RIGHT(SUBSTITUTE(D52,"_",REPT(" ",LEN(D52))),LEN(D52)))),
            "")))</f>
        <v>8.3</v>
      </c>
      <c r="D52" s="26" t="s">
        <v>275</v>
      </c>
      <c r="E52" s="25">
        <v>17</v>
      </c>
      <c r="F52" s="25">
        <v>50</v>
      </c>
      <c r="G52" s="25">
        <v>482</v>
      </c>
      <c r="H52" s="25">
        <v>2</v>
      </c>
      <c r="I52" s="33" t="s">
        <v>272</v>
      </c>
      <c r="J52" s="25" t="s">
        <v>185</v>
      </c>
      <c r="K52" s="25" t="s">
        <v>185</v>
      </c>
      <c r="L52" s="191"/>
      <c r="M52" s="25"/>
      <c r="N52" s="25" t="s">
        <v>273</v>
      </c>
      <c r="P52" s="192" t="str">
        <f t="shared" si="7"/>
        <v/>
      </c>
      <c r="Q52" s="79" t="str">
        <f t="shared" si="15"/>
        <v>Tấm</v>
      </c>
      <c r="R52" s="171">
        <f t="shared" si="16"/>
        <v>1.6191883902176834E-2</v>
      </c>
      <c r="S52" s="84">
        <f t="shared" si="9"/>
        <v>0</v>
      </c>
      <c r="T52" s="193">
        <f t="shared" si="10"/>
        <v>0</v>
      </c>
      <c r="U52" s="194">
        <f t="shared" si="11"/>
        <v>0.132576</v>
      </c>
      <c r="V52" s="69">
        <f t="shared" si="17"/>
        <v>1</v>
      </c>
      <c r="W52" s="69" t="str">
        <f t="shared" si="18"/>
        <v>IN</v>
      </c>
      <c r="X52" s="271" t="str">
        <f t="shared" si="19"/>
        <v/>
      </c>
      <c r="Y52" s="214">
        <f t="shared" si="6"/>
        <v>0.61455000000000004</v>
      </c>
      <c r="Z52" s="32"/>
    </row>
    <row r="53" spans="1:26" ht="30" customHeight="1">
      <c r="A53" s="70" t="str">
        <f t="shared" si="13"/>
        <v>L01</v>
      </c>
      <c r="B53" s="70" t="str">
        <f t="shared" si="14"/>
        <v>Muc 1.1</v>
      </c>
      <c r="C53" s="190" t="str">
        <f>IF(D53="","",
    IF(ISERR(SEARCH("_",D53)),
        IFERROR(_xlfn.AGGREGATE(14,6,$C$12:C52,1),0)+1,
        IFERROR(
            VALUE(TRIM(MID(SUBSTITUTE(D53,"_",REPT(" ",LEN(D53))), (LEN(D53)-LEN(SUBSTITUTE(D53,"_",""))-1)*LEN(D53)+1, LEN(D53))))
            &amp; "." &amp;
            VALUE(TRIM(RIGHT(SUBSTITUTE(D53,"_",REPT(" ",LEN(D53))),LEN(D53)))),
            "")))</f>
        <v>8.4</v>
      </c>
      <c r="D53" s="26" t="s">
        <v>276</v>
      </c>
      <c r="E53" s="25">
        <v>30</v>
      </c>
      <c r="F53" s="25">
        <v>30</v>
      </c>
      <c r="G53" s="25">
        <v>78</v>
      </c>
      <c r="H53" s="25">
        <v>4</v>
      </c>
      <c r="I53" s="33" t="s">
        <v>277</v>
      </c>
      <c r="J53" s="25" t="s">
        <v>185</v>
      </c>
      <c r="K53" s="25" t="s">
        <v>185</v>
      </c>
      <c r="L53" s="191"/>
      <c r="M53" s="25"/>
      <c r="N53" s="25" t="s">
        <v>273</v>
      </c>
      <c r="O53" s="195"/>
      <c r="P53" s="192" t="str">
        <f t="shared" si="7"/>
        <v/>
      </c>
      <c r="Q53" s="79" t="str">
        <f t="shared" si="15"/>
        <v>M3</v>
      </c>
      <c r="R53" s="171">
        <f t="shared" si="16"/>
        <v>2.8079999999999999E-4</v>
      </c>
      <c r="S53" s="84">
        <f t="shared" si="9"/>
        <v>0</v>
      </c>
      <c r="T53" s="193">
        <f t="shared" si="10"/>
        <v>0</v>
      </c>
      <c r="U53" s="194">
        <f t="shared" si="11"/>
        <v>4.4639999999999999E-2</v>
      </c>
      <c r="V53" s="69">
        <f t="shared" si="17"/>
        <v>1</v>
      </c>
      <c r="W53" s="69" t="str">
        <f t="shared" si="18"/>
        <v>IN</v>
      </c>
      <c r="X53" s="271" t="str">
        <f t="shared" si="19"/>
        <v/>
      </c>
      <c r="Y53" s="214">
        <f t="shared" si="6"/>
        <v>0.21060000000000001</v>
      </c>
      <c r="Z53" s="32"/>
    </row>
    <row r="54" spans="1:26" ht="30" customHeight="1">
      <c r="A54" s="70" t="str">
        <f t="shared" si="13"/>
        <v>L01</v>
      </c>
      <c r="B54" s="70" t="str">
        <f t="shared" si="14"/>
        <v>Muc 1.1</v>
      </c>
      <c r="C54" s="190" t="str">
        <f>IF(D54="","",
    IF(ISERR(SEARCH("_",D54)),
        IFERROR(_xlfn.AGGREGATE(14,6,$C$12:C53,1),0)+1,
        IFERROR(
            VALUE(TRIM(MID(SUBSTITUTE(D54,"_",REPT(" ",LEN(D54))), (LEN(D54)-LEN(SUBSTITUTE(D54,"_",""))-1)*LEN(D54)+1, LEN(D54))))
            &amp; "." &amp;
            VALUE(TRIM(RIGHT(SUBSTITUTE(D54,"_",REPT(" ",LEN(D54))),LEN(D54)))),
            "")))</f>
        <v>8.5</v>
      </c>
      <c r="D54" s="26" t="s">
        <v>278</v>
      </c>
      <c r="E54" s="25">
        <v>17</v>
      </c>
      <c r="F54" s="25">
        <v>95</v>
      </c>
      <c r="G54" s="25">
        <v>892</v>
      </c>
      <c r="H54" s="25">
        <v>1</v>
      </c>
      <c r="I54" s="33" t="s">
        <v>272</v>
      </c>
      <c r="J54" s="25" t="s">
        <v>185</v>
      </c>
      <c r="K54" s="25" t="s">
        <v>185</v>
      </c>
      <c r="L54" s="191"/>
      <c r="M54" s="25"/>
      <c r="N54" s="33" t="s">
        <v>273</v>
      </c>
      <c r="O54" s="195"/>
      <c r="P54" s="192" t="str">
        <f t="shared" si="7"/>
        <v/>
      </c>
      <c r="Q54" s="79" t="str">
        <f t="shared" si="15"/>
        <v>Tấm</v>
      </c>
      <c r="R54" s="171">
        <f t="shared" si="16"/>
        <v>2.8466809997312551E-2</v>
      </c>
      <c r="S54" s="84">
        <f t="shared" si="9"/>
        <v>0</v>
      </c>
      <c r="T54" s="193">
        <f t="shared" si="10"/>
        <v>0</v>
      </c>
      <c r="U54" s="194">
        <f t="shared" si="11"/>
        <v>0.203038</v>
      </c>
      <c r="V54" s="69">
        <f t="shared" si="17"/>
        <v>1</v>
      </c>
      <c r="W54" s="69" t="str">
        <f t="shared" si="18"/>
        <v>IN</v>
      </c>
      <c r="X54" s="271" t="str">
        <f t="shared" si="19"/>
        <v/>
      </c>
      <c r="Y54" s="214">
        <f t="shared" si="6"/>
        <v>1.080435</v>
      </c>
      <c r="Z54" s="32"/>
    </row>
    <row r="55" spans="1:26" ht="30" customHeight="1">
      <c r="A55" s="70" t="str">
        <f t="shared" si="13"/>
        <v>L01</v>
      </c>
      <c r="B55" s="70" t="str">
        <f t="shared" si="14"/>
        <v>Muc 1.1</v>
      </c>
      <c r="C55" s="190" t="str">
        <f>IF(D55="","",
    IF(ISERR(SEARCH("_",D55)),
        IFERROR(_xlfn.AGGREGATE(14,6,$C$12:C54,1),0)+1,
        IFERROR(
            VALUE(TRIM(MID(SUBSTITUTE(D55,"_",REPT(" ",LEN(D55))), (LEN(D55)-LEN(SUBSTITUTE(D55,"_",""))-1)*LEN(D55)+1, LEN(D55))))
            &amp; "." &amp;
            VALUE(TRIM(RIGHT(SUBSTITUTE(D55,"_",REPT(" ",LEN(D55))),LEN(D55)))),
            "")))</f>
        <v>8.6</v>
      </c>
      <c r="D55" s="26" t="s">
        <v>279</v>
      </c>
      <c r="E55" s="25">
        <v>17</v>
      </c>
      <c r="F55" s="25">
        <v>95</v>
      </c>
      <c r="G55" s="25">
        <v>892</v>
      </c>
      <c r="H55" s="25">
        <v>1</v>
      </c>
      <c r="I55" s="33" t="s">
        <v>272</v>
      </c>
      <c r="J55" s="25" t="s">
        <v>185</v>
      </c>
      <c r="K55" s="25" t="s">
        <v>185</v>
      </c>
      <c r="L55" s="191"/>
      <c r="M55" s="25"/>
      <c r="N55" s="33" t="s">
        <v>273</v>
      </c>
      <c r="O55" s="195"/>
      <c r="P55" s="192" t="str">
        <f t="shared" si="7"/>
        <v/>
      </c>
      <c r="Q55" s="79" t="str">
        <f t="shared" si="15"/>
        <v>Tấm</v>
      </c>
      <c r="R55" s="171">
        <f t="shared" si="16"/>
        <v>2.8466809997312551E-2</v>
      </c>
      <c r="S55" s="84">
        <f t="shared" si="9"/>
        <v>0</v>
      </c>
      <c r="T55" s="193">
        <f t="shared" si="10"/>
        <v>0</v>
      </c>
      <c r="U55" s="194">
        <f t="shared" si="11"/>
        <v>0.203038</v>
      </c>
      <c r="V55" s="69">
        <f t="shared" si="17"/>
        <v>1</v>
      </c>
      <c r="W55" s="69" t="str">
        <f t="shared" si="18"/>
        <v>IN</v>
      </c>
      <c r="X55" s="271" t="str">
        <f t="shared" si="19"/>
        <v/>
      </c>
      <c r="Y55" s="214">
        <f t="shared" si="6"/>
        <v>1.080435</v>
      </c>
      <c r="Z55" s="32"/>
    </row>
    <row r="56" spans="1:26" ht="30" customHeight="1">
      <c r="A56" s="70" t="str">
        <f t="shared" si="13"/>
        <v>L01</v>
      </c>
      <c r="B56" s="70" t="str">
        <f t="shared" si="14"/>
        <v>Muc 1.1</v>
      </c>
      <c r="C56" s="190" t="str">
        <f>IF(D56="","",
    IF(ISERR(SEARCH("_",D56)),
        IFERROR(_xlfn.AGGREGATE(14,6,$C$12:C55,1),0)+1,
        IFERROR(
            VALUE(TRIM(MID(SUBSTITUTE(D56,"_",REPT(" ",LEN(D56))), (LEN(D56)-LEN(SUBSTITUTE(D56,"_",""))-1)*LEN(D56)+1, LEN(D56))))
            &amp; "." &amp;
            VALUE(TRIM(RIGHT(SUBSTITUTE(D56,"_",REPT(" ",LEN(D56))),LEN(D56)))),
            "")))</f>
        <v>8.7</v>
      </c>
      <c r="D56" s="26" t="s">
        <v>280</v>
      </c>
      <c r="E56" s="25">
        <v>17</v>
      </c>
      <c r="F56" s="25">
        <v>80</v>
      </c>
      <c r="G56" s="25">
        <v>482</v>
      </c>
      <c r="H56" s="25">
        <v>3</v>
      </c>
      <c r="I56" s="33" t="s">
        <v>272</v>
      </c>
      <c r="J56" s="25" t="s">
        <v>185</v>
      </c>
      <c r="K56" s="25" t="s">
        <v>185</v>
      </c>
      <c r="L56" s="191"/>
      <c r="M56" s="25"/>
      <c r="N56" s="33" t="s">
        <v>273</v>
      </c>
      <c r="O56" s="195"/>
      <c r="P56" s="192" t="str">
        <f t="shared" si="7"/>
        <v/>
      </c>
      <c r="Q56" s="79" t="str">
        <f t="shared" si="15"/>
        <v>Tấm</v>
      </c>
      <c r="R56" s="171">
        <f t="shared" si="16"/>
        <v>3.8860521365224401E-2</v>
      </c>
      <c r="S56" s="84">
        <f t="shared" si="9"/>
        <v>0</v>
      </c>
      <c r="T56" s="193">
        <f t="shared" si="10"/>
        <v>0</v>
      </c>
      <c r="U56" s="194">
        <f t="shared" si="11"/>
        <v>0.288684</v>
      </c>
      <c r="V56" s="69">
        <f t="shared" si="17"/>
        <v>1</v>
      </c>
      <c r="W56" s="69" t="str">
        <f t="shared" si="18"/>
        <v>IN</v>
      </c>
      <c r="X56" s="271" t="str">
        <f t="shared" si="19"/>
        <v/>
      </c>
      <c r="Y56" s="214">
        <f t="shared" si="6"/>
        <v>1.47492</v>
      </c>
      <c r="Z56" s="32"/>
    </row>
    <row r="57" spans="1:26" ht="30" customHeight="1">
      <c r="A57" s="70" t="str">
        <f t="shared" si="13"/>
        <v>L01</v>
      </c>
      <c r="B57" s="70" t="str">
        <f t="shared" si="14"/>
        <v>Muc 1.1</v>
      </c>
      <c r="C57" s="190" t="str">
        <f>IF(D57="","",
    IF(ISERR(SEARCH("_",D57)),
        IFERROR(_xlfn.AGGREGATE(14,6,$C$12:C56,1),0)+1,
        IFERROR(
            VALUE(TRIM(MID(SUBSTITUTE(D57,"_",REPT(" ",LEN(D57))), (LEN(D57)-LEN(SUBSTITUTE(D57,"_",""))-1)*LEN(D57)+1, LEN(D57))))
            &amp; "." &amp;
            VALUE(TRIM(RIGHT(SUBSTITUTE(D57,"_",REPT(" ",LEN(D57))),LEN(D57)))),
            "")))</f>
        <v>8.8</v>
      </c>
      <c r="D57" s="26" t="s">
        <v>281</v>
      </c>
      <c r="E57" s="25">
        <v>17</v>
      </c>
      <c r="F57" s="25">
        <v>50</v>
      </c>
      <c r="G57" s="25">
        <v>482</v>
      </c>
      <c r="H57" s="25">
        <v>3</v>
      </c>
      <c r="I57" s="33" t="s">
        <v>272</v>
      </c>
      <c r="J57" s="25" t="s">
        <v>185</v>
      </c>
      <c r="K57" s="25" t="s">
        <v>185</v>
      </c>
      <c r="L57" s="191"/>
      <c r="M57" s="25"/>
      <c r="N57" s="33" t="s">
        <v>273</v>
      </c>
      <c r="O57" s="195"/>
      <c r="P57" s="192" t="str">
        <f t="shared" si="7"/>
        <v/>
      </c>
      <c r="Q57" s="79" t="str">
        <f t="shared" si="15"/>
        <v>Tấm</v>
      </c>
      <c r="R57" s="171">
        <f t="shared" si="16"/>
        <v>2.4287825853265253E-2</v>
      </c>
      <c r="S57" s="84">
        <f t="shared" si="9"/>
        <v>0</v>
      </c>
      <c r="T57" s="193">
        <f t="shared" si="10"/>
        <v>0</v>
      </c>
      <c r="U57" s="194">
        <f t="shared" si="11"/>
        <v>0.19886399999999999</v>
      </c>
      <c r="V57" s="69">
        <f t="shared" si="17"/>
        <v>1</v>
      </c>
      <c r="W57" s="69" t="str">
        <f t="shared" si="18"/>
        <v>IN</v>
      </c>
      <c r="X57" s="271" t="str">
        <f t="shared" si="19"/>
        <v/>
      </c>
      <c r="Y57" s="214">
        <f t="shared" si="6"/>
        <v>0.92182500000000012</v>
      </c>
      <c r="Z57" s="32"/>
    </row>
    <row r="58" spans="1:26" ht="30" customHeight="1">
      <c r="A58" s="70" t="str">
        <f t="shared" si="13"/>
        <v>L01</v>
      </c>
      <c r="B58" s="70" t="str">
        <f t="shared" si="14"/>
        <v>Muc 1.1</v>
      </c>
      <c r="C58" s="190" t="str">
        <f>IF(D58="","",
    IF(ISERR(SEARCH("_",D58)),
        IFERROR(_xlfn.AGGREGATE(14,6,$C$12:C57,1),0)+1,
        IFERROR(
            VALUE(TRIM(MID(SUBSTITUTE(D58,"_",REPT(" ",LEN(D58))), (LEN(D58)-LEN(SUBSTITUTE(D58,"_",""))-1)*LEN(D58)+1, LEN(D58))))
            &amp; "." &amp;
            VALUE(TRIM(RIGHT(SUBSTITUTE(D58,"_",REPT(" ",LEN(D58))),LEN(D58)))),
            "")))</f>
        <v>8.9</v>
      </c>
      <c r="D58" s="26" t="s">
        <v>282</v>
      </c>
      <c r="E58" s="25">
        <v>30</v>
      </c>
      <c r="F58" s="25">
        <v>30</v>
      </c>
      <c r="G58" s="25">
        <v>78</v>
      </c>
      <c r="H58" s="25">
        <v>6</v>
      </c>
      <c r="I58" s="33" t="s">
        <v>277</v>
      </c>
      <c r="J58" s="25" t="s">
        <v>185</v>
      </c>
      <c r="K58" s="25" t="s">
        <v>185</v>
      </c>
      <c r="L58" s="191"/>
      <c r="M58" s="25"/>
      <c r="N58" s="33" t="s">
        <v>273</v>
      </c>
      <c r="O58" s="195"/>
      <c r="P58" s="192" t="str">
        <f t="shared" si="7"/>
        <v/>
      </c>
      <c r="Q58" s="79" t="str">
        <f t="shared" si="15"/>
        <v>M3</v>
      </c>
      <c r="R58" s="171">
        <f t="shared" si="16"/>
        <v>4.2119999999999999E-4</v>
      </c>
      <c r="S58" s="84">
        <f t="shared" si="9"/>
        <v>0</v>
      </c>
      <c r="T58" s="193">
        <f t="shared" si="10"/>
        <v>0</v>
      </c>
      <c r="U58" s="194">
        <f t="shared" si="11"/>
        <v>6.6960000000000006E-2</v>
      </c>
      <c r="V58" s="69">
        <f t="shared" si="17"/>
        <v>1</v>
      </c>
      <c r="W58" s="69" t="str">
        <f t="shared" si="18"/>
        <v>IN</v>
      </c>
      <c r="X58" s="271" t="str">
        <f t="shared" si="19"/>
        <v/>
      </c>
      <c r="Y58" s="214">
        <f t="shared" si="6"/>
        <v>0.31590000000000001</v>
      </c>
      <c r="Z58" s="32"/>
    </row>
    <row r="59" spans="1:26" ht="30" customHeight="1">
      <c r="A59" s="70" t="str">
        <f t="shared" si="13"/>
        <v>L01</v>
      </c>
      <c r="B59" s="70" t="str">
        <f t="shared" si="14"/>
        <v>Muc 1.1</v>
      </c>
      <c r="C59" s="190" t="str">
        <f>IF(D59="","",
    IF(ISERR(SEARCH("_",D59)),
        IFERROR(_xlfn.AGGREGATE(14,6,$C$12:C58,1),0)+1,
        IFERROR(
            VALUE(TRIM(MID(SUBSTITUTE(D59,"_",REPT(" ",LEN(D59))), (LEN(D59)-LEN(SUBSTITUTE(D59,"_",""))-1)*LEN(D59)+1, LEN(D59))))
            &amp; "." &amp;
            VALUE(TRIM(RIGHT(SUBSTITUTE(D59,"_",REPT(" ",LEN(D59))),LEN(D59)))),
            "")))</f>
        <v>8.10</v>
      </c>
      <c r="D59" s="26" t="s">
        <v>283</v>
      </c>
      <c r="E59" s="25">
        <v>17</v>
      </c>
      <c r="F59" s="25">
        <v>95</v>
      </c>
      <c r="G59" s="25">
        <v>892</v>
      </c>
      <c r="H59" s="25">
        <v>1</v>
      </c>
      <c r="I59" s="33" t="s">
        <v>272</v>
      </c>
      <c r="J59" s="25" t="s">
        <v>185</v>
      </c>
      <c r="K59" s="25" t="s">
        <v>185</v>
      </c>
      <c r="L59" s="191"/>
      <c r="M59" s="25"/>
      <c r="N59" s="33" t="s">
        <v>273</v>
      </c>
      <c r="O59" s="195"/>
      <c r="P59" s="192" t="str">
        <f t="shared" si="7"/>
        <v/>
      </c>
      <c r="Q59" s="79" t="str">
        <f t="shared" si="15"/>
        <v>Tấm</v>
      </c>
      <c r="R59" s="171">
        <f t="shared" si="16"/>
        <v>2.8466809997312551E-2</v>
      </c>
      <c r="S59" s="84">
        <f t="shared" si="9"/>
        <v>0</v>
      </c>
      <c r="T59" s="193">
        <f t="shared" si="10"/>
        <v>0</v>
      </c>
      <c r="U59" s="194">
        <f t="shared" si="11"/>
        <v>0.203038</v>
      </c>
      <c r="V59" s="69">
        <f t="shared" si="17"/>
        <v>1</v>
      </c>
      <c r="W59" s="69" t="str">
        <f t="shared" si="18"/>
        <v>IN</v>
      </c>
      <c r="X59" s="271" t="str">
        <f t="shared" si="19"/>
        <v/>
      </c>
      <c r="Y59" s="214">
        <f t="shared" si="6"/>
        <v>1.080435</v>
      </c>
      <c r="Z59" s="32"/>
    </row>
    <row r="60" spans="1:26" ht="30" customHeight="1">
      <c r="A60" s="70" t="str">
        <f t="shared" si="13"/>
        <v>L01</v>
      </c>
      <c r="B60" s="70" t="str">
        <f t="shared" si="14"/>
        <v>Muc 1.1</v>
      </c>
      <c r="C60" s="190" t="str">
        <f>IF(D60="","",
    IF(ISERR(SEARCH("_",D60)),
        IFERROR(_xlfn.AGGREGATE(14,6,$C$12:C59,1),0)+1,
        IFERROR(
            VALUE(TRIM(MID(SUBSTITUTE(D60,"_",REPT(" ",LEN(D60))), (LEN(D60)-LEN(SUBSTITUTE(D60,"_",""))-1)*LEN(D60)+1, LEN(D60))))
            &amp; "." &amp;
            VALUE(TRIM(RIGHT(SUBSTITUTE(D60,"_",REPT(" ",LEN(D60))),LEN(D60)))),
            "")))</f>
        <v>8.11</v>
      </c>
      <c r="D60" s="26" t="s">
        <v>284</v>
      </c>
      <c r="E60" s="25">
        <v>17</v>
      </c>
      <c r="F60" s="25">
        <v>95</v>
      </c>
      <c r="G60" s="25">
        <v>892</v>
      </c>
      <c r="H60" s="25">
        <v>1</v>
      </c>
      <c r="I60" s="33" t="s">
        <v>272</v>
      </c>
      <c r="J60" s="25" t="s">
        <v>185</v>
      </c>
      <c r="K60" s="25" t="s">
        <v>185</v>
      </c>
      <c r="L60" s="191"/>
      <c r="M60" s="25"/>
      <c r="N60" s="33" t="s">
        <v>273</v>
      </c>
      <c r="O60" s="195"/>
      <c r="P60" s="192" t="str">
        <f t="shared" si="7"/>
        <v/>
      </c>
      <c r="Q60" s="79" t="str">
        <f t="shared" si="15"/>
        <v>Tấm</v>
      </c>
      <c r="R60" s="171">
        <f t="shared" si="16"/>
        <v>2.8466809997312551E-2</v>
      </c>
      <c r="S60" s="84">
        <f t="shared" si="9"/>
        <v>0</v>
      </c>
      <c r="T60" s="193">
        <f t="shared" si="10"/>
        <v>0</v>
      </c>
      <c r="U60" s="194">
        <f t="shared" si="11"/>
        <v>0.203038</v>
      </c>
      <c r="V60" s="69">
        <f t="shared" si="17"/>
        <v>1</v>
      </c>
      <c r="W60" s="69" t="str">
        <f t="shared" si="18"/>
        <v>IN</v>
      </c>
      <c r="X60" s="271" t="str">
        <f t="shared" si="19"/>
        <v/>
      </c>
      <c r="Y60" s="214">
        <f t="shared" si="6"/>
        <v>1.080435</v>
      </c>
      <c r="Z60" s="32"/>
    </row>
    <row r="61" spans="1:26" ht="30" customHeight="1">
      <c r="A61" s="70" t="str">
        <f t="shared" si="13"/>
        <v>L01</v>
      </c>
      <c r="B61" s="70" t="str">
        <f t="shared" si="14"/>
        <v>Muc 1.1</v>
      </c>
      <c r="C61" s="190" t="str">
        <f>IF(D61="","",
    IF(ISERR(SEARCH("_",D61)),
        IFERROR(_xlfn.AGGREGATE(14,6,$C$12:C60,1),0)+1,
        IFERROR(
            VALUE(TRIM(MID(SUBSTITUTE(D61,"_",REPT(" ",LEN(D61))), (LEN(D61)-LEN(SUBSTITUTE(D61,"_",""))-1)*LEN(D61)+1, LEN(D61))))
            &amp; "." &amp;
            VALUE(TRIM(RIGHT(SUBSTITUTE(D61,"_",REPT(" ",LEN(D61))),LEN(D61)))),
            "")))</f>
        <v>8.12</v>
      </c>
      <c r="D61" s="26" t="s">
        <v>285</v>
      </c>
      <c r="E61" s="25">
        <v>17</v>
      </c>
      <c r="F61" s="25">
        <v>80</v>
      </c>
      <c r="G61" s="25">
        <v>482</v>
      </c>
      <c r="H61" s="25">
        <v>3</v>
      </c>
      <c r="I61" s="33" t="s">
        <v>272</v>
      </c>
      <c r="J61" s="25" t="s">
        <v>185</v>
      </c>
      <c r="K61" s="25" t="s">
        <v>185</v>
      </c>
      <c r="L61" s="191"/>
      <c r="M61" s="25"/>
      <c r="N61" s="33" t="s">
        <v>273</v>
      </c>
      <c r="O61" s="195"/>
      <c r="P61" s="192" t="str">
        <f t="shared" si="7"/>
        <v/>
      </c>
      <c r="Q61" s="79" t="str">
        <f t="shared" si="15"/>
        <v>Tấm</v>
      </c>
      <c r="R61" s="171">
        <f t="shared" si="16"/>
        <v>3.8860521365224401E-2</v>
      </c>
      <c r="S61" s="84">
        <f t="shared" si="9"/>
        <v>0</v>
      </c>
      <c r="T61" s="193">
        <f t="shared" si="10"/>
        <v>0</v>
      </c>
      <c r="U61" s="194">
        <f t="shared" si="11"/>
        <v>0.288684</v>
      </c>
      <c r="V61" s="69">
        <f t="shared" si="17"/>
        <v>1</v>
      </c>
      <c r="W61" s="69" t="str">
        <f t="shared" si="18"/>
        <v>IN</v>
      </c>
      <c r="X61" s="271" t="str">
        <f t="shared" si="19"/>
        <v/>
      </c>
      <c r="Y61" s="214">
        <f t="shared" si="6"/>
        <v>1.47492</v>
      </c>
      <c r="Z61" s="32"/>
    </row>
    <row r="62" spans="1:26" ht="30" customHeight="1">
      <c r="A62" s="70" t="str">
        <f t="shared" si="13"/>
        <v>L01</v>
      </c>
      <c r="B62" s="70" t="str">
        <f t="shared" si="14"/>
        <v>Muc 1.1</v>
      </c>
      <c r="C62" s="190" t="str">
        <f>IF(D62="","",
    IF(ISERR(SEARCH("_",D62)),
        IFERROR(_xlfn.AGGREGATE(14,6,$C$12:C61,1),0)+1,
        IFERROR(
            VALUE(TRIM(MID(SUBSTITUTE(D62,"_",REPT(" ",LEN(D62))), (LEN(D62)-LEN(SUBSTITUTE(D62,"_",""))-1)*LEN(D62)+1, LEN(D62))))
            &amp; "." &amp;
            VALUE(TRIM(RIGHT(SUBSTITUTE(D62,"_",REPT(" ",LEN(D62))),LEN(D62)))),
            "")))</f>
        <v>8.13</v>
      </c>
      <c r="D62" s="26" t="s">
        <v>286</v>
      </c>
      <c r="E62" s="25">
        <v>17</v>
      </c>
      <c r="F62" s="25">
        <v>50</v>
      </c>
      <c r="G62" s="25">
        <v>482</v>
      </c>
      <c r="H62" s="25">
        <v>3</v>
      </c>
      <c r="I62" s="33" t="s">
        <v>272</v>
      </c>
      <c r="J62" s="25" t="s">
        <v>185</v>
      </c>
      <c r="K62" s="25" t="s">
        <v>185</v>
      </c>
      <c r="L62" s="191"/>
      <c r="M62" s="25"/>
      <c r="N62" s="33" t="s">
        <v>273</v>
      </c>
      <c r="O62" s="195"/>
      <c r="P62" s="192" t="str">
        <f t="shared" si="7"/>
        <v/>
      </c>
      <c r="Q62" s="79" t="str">
        <f t="shared" si="15"/>
        <v>Tấm</v>
      </c>
      <c r="R62" s="171">
        <f t="shared" si="16"/>
        <v>2.4287825853265253E-2</v>
      </c>
      <c r="S62" s="84">
        <f t="shared" si="9"/>
        <v>0</v>
      </c>
      <c r="T62" s="193">
        <f t="shared" si="10"/>
        <v>0</v>
      </c>
      <c r="U62" s="194">
        <f t="shared" si="11"/>
        <v>0.19886399999999999</v>
      </c>
      <c r="V62" s="69">
        <f t="shared" si="17"/>
        <v>1</v>
      </c>
      <c r="W62" s="69" t="str">
        <f t="shared" si="18"/>
        <v>IN</v>
      </c>
      <c r="X62" s="271" t="str">
        <f t="shared" si="19"/>
        <v/>
      </c>
      <c r="Y62" s="214">
        <f t="shared" si="6"/>
        <v>0.92182500000000012</v>
      </c>
      <c r="Z62" s="32"/>
    </row>
    <row r="63" spans="1:26" ht="30" customHeight="1">
      <c r="A63" s="70" t="str">
        <f t="shared" si="13"/>
        <v>L01</v>
      </c>
      <c r="B63" s="70" t="str">
        <f t="shared" si="14"/>
        <v>Muc 1.1</v>
      </c>
      <c r="C63" s="190" t="str">
        <f>IF(D63="","",
    IF(ISERR(SEARCH("_",D63)),
        IFERROR(_xlfn.AGGREGATE(14,6,$C$12:C62,1),0)+1,
        IFERROR(
            VALUE(TRIM(MID(SUBSTITUTE(D63,"_",REPT(" ",LEN(D63))), (LEN(D63)-LEN(SUBSTITUTE(D63,"_",""))-1)*LEN(D63)+1, LEN(D63))))
            &amp; "." &amp;
            VALUE(TRIM(RIGHT(SUBSTITUTE(D63,"_",REPT(" ",LEN(D63))),LEN(D63)))),
            "")))</f>
        <v>8.14</v>
      </c>
      <c r="D63" s="26" t="s">
        <v>287</v>
      </c>
      <c r="E63" s="25">
        <v>30</v>
      </c>
      <c r="F63" s="25">
        <v>30</v>
      </c>
      <c r="G63" s="25">
        <v>78</v>
      </c>
      <c r="H63" s="25">
        <v>6</v>
      </c>
      <c r="I63" s="33" t="s">
        <v>277</v>
      </c>
      <c r="J63" s="25" t="s">
        <v>185</v>
      </c>
      <c r="K63" s="25" t="s">
        <v>185</v>
      </c>
      <c r="L63" s="191"/>
      <c r="M63" s="25"/>
      <c r="N63" s="33" t="s">
        <v>273</v>
      </c>
      <c r="O63" s="195"/>
      <c r="P63" s="192" t="str">
        <f t="shared" si="7"/>
        <v/>
      </c>
      <c r="Q63" s="79" t="str">
        <f t="shared" si="15"/>
        <v>M3</v>
      </c>
      <c r="R63" s="171">
        <f t="shared" si="16"/>
        <v>4.2119999999999999E-4</v>
      </c>
      <c r="S63" s="84">
        <f t="shared" si="9"/>
        <v>0</v>
      </c>
      <c r="T63" s="193">
        <f t="shared" si="10"/>
        <v>0</v>
      </c>
      <c r="U63" s="194">
        <f t="shared" si="11"/>
        <v>6.6960000000000006E-2</v>
      </c>
      <c r="V63" s="69">
        <f t="shared" si="17"/>
        <v>1</v>
      </c>
      <c r="W63" s="69" t="str">
        <f t="shared" si="18"/>
        <v>IN</v>
      </c>
      <c r="X63" s="271" t="str">
        <f t="shared" si="19"/>
        <v/>
      </c>
      <c r="Y63" s="214">
        <f t="shared" si="6"/>
        <v>0.31590000000000001</v>
      </c>
      <c r="Z63" s="32"/>
    </row>
    <row r="64" spans="1:26" ht="30" customHeight="1">
      <c r="A64" s="70" t="str">
        <f t="shared" si="13"/>
        <v>L01</v>
      </c>
      <c r="B64" s="70" t="str">
        <f t="shared" si="14"/>
        <v>Muc 1.1</v>
      </c>
      <c r="C64" s="190">
        <f>IF(D64="","",
    IF(ISERR(SEARCH("_",D64)),
        IFERROR(_xlfn.AGGREGATE(14,6,$C$12:C63,1),0)+1,
        IFERROR(
            VALUE(TRIM(MID(SUBSTITUTE(D64,"_",REPT(" ",LEN(D64))), (LEN(D64)-LEN(SUBSTITUTE(D64,"_",""))-1)*LEN(D64)+1, LEN(D64))))
            &amp; "." &amp;
            VALUE(TRIM(RIGHT(SUBSTITUTE(D64,"_",REPT(" ",LEN(D64))),LEN(D64)))),
            "")))</f>
        <v>9</v>
      </c>
      <c r="D64" s="26" t="s">
        <v>288</v>
      </c>
      <c r="E64" s="25" t="s">
        <v>185</v>
      </c>
      <c r="F64" s="25" t="s">
        <v>185</v>
      </c>
      <c r="G64" s="25" t="s">
        <v>185</v>
      </c>
      <c r="H64" s="25">
        <v>1</v>
      </c>
      <c r="I64" s="33" t="s">
        <v>185</v>
      </c>
      <c r="J64" s="25" t="s">
        <v>185</v>
      </c>
      <c r="K64" s="25" t="s">
        <v>185</v>
      </c>
      <c r="L64" s="191"/>
      <c r="M64" s="25"/>
      <c r="N64" s="33"/>
      <c r="O64" s="195" t="s">
        <v>229</v>
      </c>
      <c r="P64" s="192" t="str">
        <f t="shared" si="7"/>
        <v/>
      </c>
      <c r="Q64" s="79" t="str">
        <f t="shared" si="15"/>
        <v/>
      </c>
      <c r="R64" s="171">
        <f t="shared" si="16"/>
        <v>0</v>
      </c>
      <c r="S64" s="84" t="str">
        <f t="shared" si="9"/>
        <v>-</v>
      </c>
      <c r="T64" s="193" t="str">
        <f t="shared" si="10"/>
        <v>-</v>
      </c>
      <c r="U64" s="194" t="str">
        <f t="shared" si="11"/>
        <v>-</v>
      </c>
      <c r="V64" s="69">
        <f t="shared" si="17"/>
        <v>1</v>
      </c>
      <c r="W64" s="69" t="str">
        <f t="shared" si="18"/>
        <v>IN</v>
      </c>
      <c r="X64" s="271">
        <f t="shared" si="19"/>
        <v>2</v>
      </c>
      <c r="Y64" s="214" t="str">
        <f t="shared" si="6"/>
        <v/>
      </c>
      <c r="Z64" s="32"/>
    </row>
    <row r="65" spans="1:26" ht="30" customHeight="1">
      <c r="A65" s="70" t="str">
        <f t="shared" si="13"/>
        <v>L01</v>
      </c>
      <c r="B65" s="70" t="str">
        <f t="shared" si="14"/>
        <v>Muc 1.1</v>
      </c>
      <c r="C65" s="190" t="str">
        <f>IF(D65="","",
    IF(ISERR(SEARCH("_",D65)),
        IFERROR(_xlfn.AGGREGATE(14,6,$C$12:C64,1),0)+1,
        IFERROR(
            VALUE(TRIM(MID(SUBSTITUTE(D65,"_",REPT(" ",LEN(D65))), (LEN(D65)-LEN(SUBSTITUTE(D65,"_",""))-1)*LEN(D65)+1, LEN(D65))))
            &amp; "." &amp;
            VALUE(TRIM(RIGHT(SUBSTITUTE(D65,"_",REPT(" ",LEN(D65))),LEN(D65)))),
            "")))</f>
        <v>9.1</v>
      </c>
      <c r="D65" s="26" t="s">
        <v>289</v>
      </c>
      <c r="E65" s="25">
        <v>17</v>
      </c>
      <c r="F65" s="25">
        <v>600</v>
      </c>
      <c r="G65" s="25">
        <v>2400</v>
      </c>
      <c r="H65" s="25">
        <v>1</v>
      </c>
      <c r="I65" s="33" t="s">
        <v>249</v>
      </c>
      <c r="J65" s="25" t="s">
        <v>232</v>
      </c>
      <c r="K65" s="25" t="s">
        <v>237</v>
      </c>
      <c r="L65" s="191"/>
      <c r="M65" s="25"/>
      <c r="N65" s="33"/>
      <c r="O65" s="195"/>
      <c r="P65" s="192" t="str">
        <f t="shared" si="7"/>
        <v/>
      </c>
      <c r="Q65" s="79" t="str">
        <f t="shared" si="15"/>
        <v>Tấm</v>
      </c>
      <c r="R65" s="171">
        <f t="shared" si="16"/>
        <v>0.48374092985756517</v>
      </c>
      <c r="S65" s="84">
        <f t="shared" si="9"/>
        <v>6</v>
      </c>
      <c r="T65" s="193">
        <f t="shared" si="10"/>
        <v>0</v>
      </c>
      <c r="U65" s="194">
        <f t="shared" si="11"/>
        <v>0</v>
      </c>
      <c r="V65" s="69">
        <f t="shared" si="17"/>
        <v>1</v>
      </c>
      <c r="W65" s="69" t="str">
        <f t="shared" si="18"/>
        <v>IN</v>
      </c>
      <c r="X65" s="271">
        <v>2</v>
      </c>
      <c r="Y65" s="214">
        <f t="shared" si="6"/>
        <v>18.360000000000003</v>
      </c>
      <c r="Z65" s="32"/>
    </row>
    <row r="66" spans="1:26" ht="30" customHeight="1">
      <c r="A66" s="70" t="str">
        <f t="shared" si="13"/>
        <v>L01</v>
      </c>
      <c r="B66" s="70" t="str">
        <f t="shared" si="14"/>
        <v>Muc 1.1</v>
      </c>
      <c r="C66" s="190">
        <f>IF(D66="","",
    IF(ISERR(SEARCH("_",D66)),
        IFERROR(_xlfn.AGGREGATE(14,6,$C$12:C65,1),0)+1,
        IFERROR(
            VALUE(TRIM(MID(SUBSTITUTE(D66,"_",REPT(" ",LEN(D66))), (LEN(D66)-LEN(SUBSTITUTE(D66,"_",""))-1)*LEN(D66)+1, LEN(D66))))
            &amp; "." &amp;
            VALUE(TRIM(RIGHT(SUBSTITUTE(D66,"_",REPT(" ",LEN(D66))),LEN(D66)))),
            "")))</f>
        <v>10</v>
      </c>
      <c r="D66" s="26" t="s">
        <v>290</v>
      </c>
      <c r="E66" s="25" t="s">
        <v>185</v>
      </c>
      <c r="F66" s="25" t="s">
        <v>185</v>
      </c>
      <c r="G66" s="25" t="s">
        <v>185</v>
      </c>
      <c r="H66" s="25">
        <v>1</v>
      </c>
      <c r="I66" s="33" t="s">
        <v>185</v>
      </c>
      <c r="J66" s="25" t="s">
        <v>185</v>
      </c>
      <c r="K66" s="25" t="s">
        <v>185</v>
      </c>
      <c r="L66" s="191"/>
      <c r="M66" s="25"/>
      <c r="N66" s="25"/>
      <c r="O66" s="195" t="s">
        <v>229</v>
      </c>
      <c r="P66" s="192" t="str">
        <f t="shared" si="7"/>
        <v/>
      </c>
      <c r="Q66" s="79" t="str">
        <f t="shared" si="15"/>
        <v/>
      </c>
      <c r="R66" s="171">
        <f t="shared" si="16"/>
        <v>0</v>
      </c>
      <c r="S66" s="84" t="str">
        <f t="shared" si="9"/>
        <v>-</v>
      </c>
      <c r="T66" s="193" t="str">
        <f t="shared" si="10"/>
        <v>-</v>
      </c>
      <c r="U66" s="194" t="str">
        <f t="shared" si="11"/>
        <v>-</v>
      </c>
      <c r="V66" s="69">
        <f t="shared" si="17"/>
        <v>1</v>
      </c>
      <c r="W66" s="69" t="str">
        <f t="shared" si="18"/>
        <v>IN</v>
      </c>
      <c r="X66" s="271">
        <f t="shared" si="19"/>
        <v>2</v>
      </c>
      <c r="Y66" s="214" t="str">
        <f t="shared" si="6"/>
        <v/>
      </c>
      <c r="Z66" s="32"/>
    </row>
    <row r="67" spans="1:26" ht="30" customHeight="1">
      <c r="A67" s="70" t="str">
        <f t="shared" si="13"/>
        <v>L01</v>
      </c>
      <c r="B67" s="70" t="str">
        <f t="shared" si="14"/>
        <v>Muc 1.1</v>
      </c>
      <c r="C67" s="190" t="str">
        <f>IF(D67="","",
    IF(ISERR(SEARCH("_",D67)),
        IFERROR(_xlfn.AGGREGATE(14,6,$C$12:C66,1),0)+1,
        IFERROR(
            VALUE(TRIM(MID(SUBSTITUTE(D67,"_",REPT(" ",LEN(D67))), (LEN(D67)-LEN(SUBSTITUTE(D67,"_",""))-1)*LEN(D67)+1, LEN(D67))))
            &amp; "." &amp;
            VALUE(TRIM(RIGHT(SUBSTITUTE(D67,"_",REPT(" ",LEN(D67))),LEN(D67)))),
            "")))</f>
        <v>10.1</v>
      </c>
      <c r="D67" s="26" t="s">
        <v>291</v>
      </c>
      <c r="E67" s="25">
        <v>17</v>
      </c>
      <c r="F67" s="25">
        <v>40</v>
      </c>
      <c r="G67" s="25">
        <v>910</v>
      </c>
      <c r="H67" s="25">
        <v>1</v>
      </c>
      <c r="I67" s="33" t="s">
        <v>249</v>
      </c>
      <c r="J67" s="25" t="s">
        <v>232</v>
      </c>
      <c r="K67" s="25" t="s">
        <v>237</v>
      </c>
      <c r="L67" s="191"/>
      <c r="M67" s="25"/>
      <c r="N67" s="25"/>
      <c r="O67" s="195" t="s">
        <v>395</v>
      </c>
      <c r="P67" s="192" t="str">
        <f t="shared" si="7"/>
        <v/>
      </c>
      <c r="Q67" s="79" t="str">
        <f t="shared" si="15"/>
        <v>Tấm</v>
      </c>
      <c r="R67" s="171">
        <f t="shared" si="16"/>
        <v>1.222789572695512E-2</v>
      </c>
      <c r="S67" s="84">
        <f t="shared" si="9"/>
        <v>1.9000000000000001</v>
      </c>
      <c r="T67" s="193">
        <f t="shared" si="10"/>
        <v>0</v>
      </c>
      <c r="U67" s="194">
        <f t="shared" si="11"/>
        <v>0</v>
      </c>
      <c r="V67" s="69">
        <f t="shared" si="17"/>
        <v>1</v>
      </c>
      <c r="W67" s="69" t="str">
        <f t="shared" si="18"/>
        <v>IN</v>
      </c>
      <c r="X67" s="271">
        <v>2</v>
      </c>
      <c r="Y67" s="214">
        <f t="shared" si="6"/>
        <v>0.46410000000000007</v>
      </c>
      <c r="Z67" s="32"/>
    </row>
    <row r="68" spans="1:26" ht="30" customHeight="1">
      <c r="A68" s="70" t="str">
        <f t="shared" si="13"/>
        <v>L01</v>
      </c>
      <c r="B68" s="70" t="str">
        <f t="shared" si="14"/>
        <v>Muc 1.1</v>
      </c>
      <c r="C68" s="190" t="str">
        <f>IF(D68="","",
    IF(ISERR(SEARCH("_",D68)),
        IFERROR(_xlfn.AGGREGATE(14,6,$C$12:C67,1),0)+1,
        IFERROR(
            VALUE(TRIM(MID(SUBSTITUTE(D68,"_",REPT(" ",LEN(D68))), (LEN(D68)-LEN(SUBSTITUTE(D68,"_",""))-1)*LEN(D68)+1, LEN(D68))))
            &amp; "." &amp;
            VALUE(TRIM(RIGHT(SUBSTITUTE(D68,"_",REPT(" ",LEN(D68))),LEN(D68)))),
            "")))</f>
        <v>10.2</v>
      </c>
      <c r="D68" s="26" t="s">
        <v>292</v>
      </c>
      <c r="E68" s="25">
        <v>17</v>
      </c>
      <c r="F68" s="25">
        <v>40</v>
      </c>
      <c r="G68" s="25">
        <v>2400</v>
      </c>
      <c r="H68" s="25">
        <v>1</v>
      </c>
      <c r="I68" s="33" t="s">
        <v>249</v>
      </c>
      <c r="J68" s="25" t="s">
        <v>232</v>
      </c>
      <c r="K68" s="25" t="s">
        <v>237</v>
      </c>
      <c r="L68" s="191"/>
      <c r="M68" s="25"/>
      <c r="N68" s="33"/>
      <c r="O68" s="195"/>
      <c r="P68" s="192" t="str">
        <f t="shared" si="7"/>
        <v/>
      </c>
      <c r="Q68" s="79" t="str">
        <f t="shared" si="15"/>
        <v>Tấm</v>
      </c>
      <c r="R68" s="171">
        <f t="shared" si="16"/>
        <v>3.2249395323837679E-2</v>
      </c>
      <c r="S68" s="84">
        <f t="shared" si="9"/>
        <v>4.88</v>
      </c>
      <c r="T68" s="193">
        <f t="shared" si="10"/>
        <v>0</v>
      </c>
      <c r="U68" s="194">
        <f t="shared" si="11"/>
        <v>0</v>
      </c>
      <c r="V68" s="69">
        <f t="shared" si="17"/>
        <v>1</v>
      </c>
      <c r="W68" s="69" t="str">
        <f t="shared" si="18"/>
        <v>IN</v>
      </c>
      <c r="X68" s="271">
        <v>2</v>
      </c>
      <c r="Y68" s="214">
        <f t="shared" si="6"/>
        <v>1.2240000000000002</v>
      </c>
      <c r="Z68" s="32"/>
    </row>
    <row r="69" spans="1:26" ht="30" customHeight="1">
      <c r="A69" s="70" t="str">
        <f t="shared" si="13"/>
        <v>L01</v>
      </c>
      <c r="B69" s="70" t="str">
        <f t="shared" si="14"/>
        <v>Muc 1.1</v>
      </c>
      <c r="C69" s="190" t="str">
        <f>IF(D69="","",
    IF(ISERR(SEARCH("_",D69)),
        IFERROR(_xlfn.AGGREGATE(14,6,$C$12:C68,1),0)+1,
        IFERROR(
            VALUE(TRIM(MID(SUBSTITUTE(D69,"_",REPT(" ",LEN(D69))), (LEN(D69)-LEN(SUBSTITUTE(D69,"_",""))-1)*LEN(D69)+1, LEN(D69))))
            &amp; "." &amp;
            VALUE(TRIM(RIGHT(SUBSTITUTE(D69,"_",REPT(" ",LEN(D69))),LEN(D69)))),
            "")))</f>
        <v>10.3</v>
      </c>
      <c r="D69" s="26" t="s">
        <v>293</v>
      </c>
      <c r="E69" s="25">
        <v>17</v>
      </c>
      <c r="F69" s="25">
        <v>20</v>
      </c>
      <c r="G69" s="25">
        <v>631</v>
      </c>
      <c r="H69" s="25">
        <v>1</v>
      </c>
      <c r="I69" s="33" t="s">
        <v>249</v>
      </c>
      <c r="J69" s="25" t="s">
        <v>185</v>
      </c>
      <c r="K69" s="25" t="s">
        <v>185</v>
      </c>
      <c r="L69" s="191"/>
      <c r="M69" s="25"/>
      <c r="N69" s="33"/>
      <c r="O69" s="195" t="s">
        <v>395</v>
      </c>
      <c r="P69" s="192" t="str">
        <f t="shared" si="7"/>
        <v/>
      </c>
      <c r="Q69" s="79" t="str">
        <f t="shared" si="15"/>
        <v>Tấm</v>
      </c>
      <c r="R69" s="171">
        <f t="shared" si="16"/>
        <v>4.2394517602794947E-3</v>
      </c>
      <c r="S69" s="84">
        <f t="shared" si="9"/>
        <v>0</v>
      </c>
      <c r="T69" s="193">
        <f t="shared" si="10"/>
        <v>0</v>
      </c>
      <c r="U69" s="194">
        <f t="shared" si="11"/>
        <v>0</v>
      </c>
      <c r="V69" s="69">
        <f t="shared" si="17"/>
        <v>1</v>
      </c>
      <c r="W69" s="69" t="str">
        <f t="shared" si="18"/>
        <v>IN</v>
      </c>
      <c r="X69" s="271">
        <v>2</v>
      </c>
      <c r="Y69" s="214">
        <f t="shared" si="6"/>
        <v>0.16090500000000002</v>
      </c>
      <c r="Z69" s="32"/>
    </row>
    <row r="70" spans="1:26" ht="30" customHeight="1">
      <c r="A70" s="70" t="str">
        <f t="shared" si="13"/>
        <v>L01</v>
      </c>
      <c r="B70" s="70" t="str">
        <f t="shared" si="14"/>
        <v>Muc 1.1</v>
      </c>
      <c r="C70" s="190" t="str">
        <f>IF(D70="","",
    IF(ISERR(SEARCH("_",D70)),
        IFERROR(_xlfn.AGGREGATE(14,6,$C$12:C69,1),0)+1,
        IFERROR(
            VALUE(TRIM(MID(SUBSTITUTE(D70,"_",REPT(" ",LEN(D70))), (LEN(D70)-LEN(SUBSTITUTE(D70,"_",""))-1)*LEN(D70)+1, LEN(D70))))
            &amp; "." &amp;
            VALUE(TRIM(RIGHT(SUBSTITUTE(D70,"_",REPT(" ",LEN(D70))),LEN(D70)))),
            "")))</f>
        <v>10.4</v>
      </c>
      <c r="D70" s="26" t="s">
        <v>294</v>
      </c>
      <c r="E70" s="25">
        <v>17</v>
      </c>
      <c r="F70" s="25">
        <v>40</v>
      </c>
      <c r="G70" s="25">
        <v>631</v>
      </c>
      <c r="H70" s="25">
        <v>1</v>
      </c>
      <c r="I70" s="33" t="s">
        <v>272</v>
      </c>
      <c r="J70" s="25" t="s">
        <v>185</v>
      </c>
      <c r="K70" s="25" t="s">
        <v>185</v>
      </c>
      <c r="L70" s="191"/>
      <c r="M70" s="25"/>
      <c r="N70" s="33" t="s">
        <v>273</v>
      </c>
      <c r="O70" s="195" t="s">
        <v>395</v>
      </c>
      <c r="P70" s="192" t="str">
        <f t="shared" si="7"/>
        <v/>
      </c>
      <c r="Q70" s="79" t="str">
        <f t="shared" si="15"/>
        <v>Tấm</v>
      </c>
      <c r="R70" s="171">
        <f t="shared" si="16"/>
        <v>8.4789035205589895E-3</v>
      </c>
      <c r="S70" s="84">
        <f t="shared" si="9"/>
        <v>0</v>
      </c>
      <c r="T70" s="193">
        <f t="shared" si="10"/>
        <v>0</v>
      </c>
      <c r="U70" s="194">
        <f t="shared" si="11"/>
        <v>7.3293999999999998E-2</v>
      </c>
      <c r="V70" s="69">
        <f t="shared" si="17"/>
        <v>1</v>
      </c>
      <c r="W70" s="69" t="str">
        <f t="shared" si="18"/>
        <v>IN</v>
      </c>
      <c r="X70" s="271">
        <v>2</v>
      </c>
      <c r="Y70" s="214">
        <f t="shared" si="6"/>
        <v>0.32181000000000004</v>
      </c>
      <c r="Z70" s="32"/>
    </row>
    <row r="71" spans="1:26" ht="30" customHeight="1">
      <c r="A71" s="70" t="str">
        <f t="shared" si="13"/>
        <v>L01</v>
      </c>
      <c r="B71" s="70" t="str">
        <f t="shared" si="14"/>
        <v>Muc 1.1</v>
      </c>
      <c r="C71" s="190">
        <f>IF(D71="","",
    IF(ISERR(SEARCH("_",D71)),
        IFERROR(_xlfn.AGGREGATE(14,6,$C$12:C70,1),0)+1,
        IFERROR(
            VALUE(TRIM(MID(SUBSTITUTE(D71,"_",REPT(" ",LEN(D71))), (LEN(D71)-LEN(SUBSTITUTE(D71,"_",""))-1)*LEN(D71)+1, LEN(D71))))
            &amp; "." &amp;
            VALUE(TRIM(RIGHT(SUBSTITUTE(D71,"_",REPT(" ",LEN(D71))),LEN(D71)))),
            "")))</f>
        <v>11</v>
      </c>
      <c r="D71" s="26" t="s">
        <v>295</v>
      </c>
      <c r="E71" s="25" t="s">
        <v>185</v>
      </c>
      <c r="F71" s="25" t="s">
        <v>185</v>
      </c>
      <c r="G71" s="25" t="s">
        <v>185</v>
      </c>
      <c r="H71" s="25">
        <v>1</v>
      </c>
      <c r="I71" s="33" t="s">
        <v>185</v>
      </c>
      <c r="J71" s="25" t="s">
        <v>185</v>
      </c>
      <c r="K71" s="25" t="s">
        <v>185</v>
      </c>
      <c r="L71" s="191"/>
      <c r="M71" s="25"/>
      <c r="N71" s="33"/>
      <c r="O71" s="195" t="s">
        <v>229</v>
      </c>
      <c r="P71" s="192" t="str">
        <f t="shared" si="7"/>
        <v/>
      </c>
      <c r="Q71" s="79" t="str">
        <f t="shared" si="15"/>
        <v/>
      </c>
      <c r="R71" s="171">
        <f t="shared" si="16"/>
        <v>0</v>
      </c>
      <c r="S71" s="84" t="str">
        <f t="shared" si="9"/>
        <v>-</v>
      </c>
      <c r="T71" s="193" t="str">
        <f t="shared" si="10"/>
        <v>-</v>
      </c>
      <c r="U71" s="194" t="str">
        <f t="shared" si="11"/>
        <v>-</v>
      </c>
      <c r="V71" s="69">
        <f t="shared" si="17"/>
        <v>1</v>
      </c>
      <c r="W71" s="69" t="str">
        <f t="shared" si="18"/>
        <v>IN</v>
      </c>
      <c r="X71" s="271">
        <f t="shared" si="19"/>
        <v>2</v>
      </c>
      <c r="Y71" s="214" t="str">
        <f t="shared" si="6"/>
        <v/>
      </c>
      <c r="Z71" s="32"/>
    </row>
    <row r="72" spans="1:26" ht="30" customHeight="1">
      <c r="A72" s="70" t="str">
        <f t="shared" si="13"/>
        <v>L01</v>
      </c>
      <c r="B72" s="70" t="str">
        <f t="shared" si="14"/>
        <v>Muc 1.1</v>
      </c>
      <c r="C72" s="190" t="str">
        <f>IF(D72="","",
    IF(ISERR(SEARCH("_",D72)),
        IFERROR(_xlfn.AGGREGATE(14,6,$C$12:C71,1),0)+1,
        IFERROR(
            VALUE(TRIM(MID(SUBSTITUTE(D72,"_",REPT(" ",LEN(D72))), (LEN(D72)-LEN(SUBSTITUTE(D72,"_",""))-1)*LEN(D72)+1, LEN(D72))))
            &amp; "." &amp;
            VALUE(TRIM(RIGHT(SUBSTITUTE(D72,"_",REPT(" ",LEN(D72))),LEN(D72)))),
            "")))</f>
        <v>11.1</v>
      </c>
      <c r="D72" s="26" t="s">
        <v>296</v>
      </c>
      <c r="E72" s="25">
        <v>16</v>
      </c>
      <c r="F72" s="25">
        <v>78</v>
      </c>
      <c r="G72" s="25">
        <v>598</v>
      </c>
      <c r="H72" s="25">
        <v>2</v>
      </c>
      <c r="I72" s="33" t="s">
        <v>231</v>
      </c>
      <c r="J72" s="25" t="s">
        <v>232</v>
      </c>
      <c r="K72" s="25" t="s">
        <v>237</v>
      </c>
      <c r="L72" s="191"/>
      <c r="M72" s="25"/>
      <c r="N72" s="33"/>
      <c r="O72" s="195"/>
      <c r="P72" s="192" t="str">
        <f t="shared" si="7"/>
        <v/>
      </c>
      <c r="Q72" s="79" t="str">
        <f t="shared" si="15"/>
        <v>Tấm</v>
      </c>
      <c r="R72" s="171">
        <f t="shared" si="16"/>
        <v>3.1338349905939263E-2</v>
      </c>
      <c r="S72" s="84">
        <f t="shared" si="9"/>
        <v>2.7039999999999997</v>
      </c>
      <c r="T72" s="193">
        <f t="shared" si="10"/>
        <v>0</v>
      </c>
      <c r="U72" s="194">
        <f t="shared" si="11"/>
        <v>0</v>
      </c>
      <c r="V72" s="69">
        <f t="shared" si="17"/>
        <v>1</v>
      </c>
      <c r="W72" s="69" t="str">
        <f t="shared" si="18"/>
        <v>IN</v>
      </c>
      <c r="X72" s="271">
        <v>2</v>
      </c>
      <c r="Y72" s="214">
        <f t="shared" si="6"/>
        <v>1.119456</v>
      </c>
      <c r="Z72" s="32"/>
    </row>
    <row r="73" spans="1:26" ht="30" customHeight="1">
      <c r="A73" s="70" t="str">
        <f t="shared" si="13"/>
        <v>L01</v>
      </c>
      <c r="B73" s="70" t="str">
        <f t="shared" si="14"/>
        <v>Muc 1.1</v>
      </c>
      <c r="C73" s="190">
        <f>IF(D73="","",
    IF(ISERR(SEARCH("_",D73)),
        IFERROR(_xlfn.AGGREGATE(14,6,$C$12:C72,1),0)+1,
        IFERROR(
            VALUE(TRIM(MID(SUBSTITUTE(D73,"_",REPT(" ",LEN(D73))), (LEN(D73)-LEN(SUBSTITUTE(D73,"_",""))-1)*LEN(D73)+1, LEN(D73))))
            &amp; "." &amp;
            VALUE(TRIM(RIGHT(SUBSTITUTE(D73,"_",REPT(" ",LEN(D73))),LEN(D73)))),
            "")))</f>
        <v>12</v>
      </c>
      <c r="D73" s="26" t="s">
        <v>297</v>
      </c>
      <c r="E73" s="25" t="s">
        <v>185</v>
      </c>
      <c r="F73" s="25" t="s">
        <v>185</v>
      </c>
      <c r="G73" s="25" t="s">
        <v>185</v>
      </c>
      <c r="H73" s="25">
        <v>1</v>
      </c>
      <c r="I73" s="33" t="s">
        <v>185</v>
      </c>
      <c r="J73" s="25" t="s">
        <v>185</v>
      </c>
      <c r="K73" s="25" t="s">
        <v>185</v>
      </c>
      <c r="L73" s="191"/>
      <c r="M73" s="25"/>
      <c r="N73" s="33"/>
      <c r="O73" s="195" t="s">
        <v>229</v>
      </c>
      <c r="P73" s="192" t="str">
        <f t="shared" si="7"/>
        <v/>
      </c>
      <c r="Q73" s="79" t="str">
        <f t="shared" si="15"/>
        <v/>
      </c>
      <c r="R73" s="171">
        <f t="shared" si="16"/>
        <v>0</v>
      </c>
      <c r="S73" s="84" t="str">
        <f t="shared" si="9"/>
        <v>-</v>
      </c>
      <c r="T73" s="193" t="str">
        <f t="shared" si="10"/>
        <v>-</v>
      </c>
      <c r="U73" s="194" t="str">
        <f t="shared" si="11"/>
        <v>-</v>
      </c>
      <c r="V73" s="69">
        <f t="shared" si="17"/>
        <v>1</v>
      </c>
      <c r="W73" s="69" t="str">
        <f t="shared" si="18"/>
        <v>IN</v>
      </c>
      <c r="X73" s="271">
        <f t="shared" si="19"/>
        <v>2</v>
      </c>
      <c r="Y73" s="214" t="str">
        <f t="shared" si="6"/>
        <v/>
      </c>
      <c r="Z73" s="32"/>
    </row>
    <row r="74" spans="1:26" ht="30" customHeight="1">
      <c r="A74" s="70" t="str">
        <f t="shared" si="13"/>
        <v>L01</v>
      </c>
      <c r="B74" s="70" t="str">
        <f t="shared" si="14"/>
        <v>Muc 1.1</v>
      </c>
      <c r="C74" s="190" t="str">
        <f>IF(D74="","",
    IF(ISERR(SEARCH("_",D74)),
        IFERROR(_xlfn.AGGREGATE(14,6,$C$12:C73,1),0)+1,
        IFERROR(
            VALUE(TRIM(MID(SUBSTITUTE(D74,"_",REPT(" ",LEN(D74))), (LEN(D74)-LEN(SUBSTITUTE(D74,"_",""))-1)*LEN(D74)+1, LEN(D74))))
            &amp; "." &amp;
            VALUE(TRIM(RIGHT(SUBSTITUTE(D74,"_",REPT(" ",LEN(D74))),LEN(D74)))),
            "")))</f>
        <v>12.1</v>
      </c>
      <c r="D74" s="26" t="s">
        <v>298</v>
      </c>
      <c r="E74" s="25">
        <v>17</v>
      </c>
      <c r="F74" s="25">
        <v>597</v>
      </c>
      <c r="G74" s="25">
        <v>2280</v>
      </c>
      <c r="H74" s="25">
        <v>1</v>
      </c>
      <c r="I74" s="33" t="s">
        <v>249</v>
      </c>
      <c r="J74" s="25" t="s">
        <v>232</v>
      </c>
      <c r="K74" s="25" t="s">
        <v>237</v>
      </c>
      <c r="L74" s="191"/>
      <c r="M74" s="25"/>
      <c r="N74" s="25"/>
      <c r="O74" s="195"/>
      <c r="P74" s="192" t="str">
        <f t="shared" si="7"/>
        <v/>
      </c>
      <c r="Q74" s="79" t="str">
        <f t="shared" si="15"/>
        <v>Tấm</v>
      </c>
      <c r="R74" s="171">
        <f t="shared" si="16"/>
        <v>0.45725611394786347</v>
      </c>
      <c r="S74" s="84">
        <f t="shared" si="9"/>
        <v>5.7539999999999996</v>
      </c>
      <c r="T74" s="193">
        <f t="shared" si="10"/>
        <v>0</v>
      </c>
      <c r="U74" s="194">
        <f t="shared" si="11"/>
        <v>0</v>
      </c>
      <c r="V74" s="69">
        <f t="shared" si="17"/>
        <v>1</v>
      </c>
      <c r="W74" s="69" t="str">
        <f t="shared" si="18"/>
        <v>IN</v>
      </c>
      <c r="X74" s="271">
        <v>2</v>
      </c>
      <c r="Y74" s="214">
        <f t="shared" si="6"/>
        <v>17.354790000000001</v>
      </c>
      <c r="Z74" s="32"/>
    </row>
    <row r="75" spans="1:26" ht="30" customHeight="1">
      <c r="A75" s="70" t="str">
        <f t="shared" si="13"/>
        <v>L01</v>
      </c>
      <c r="B75" s="70" t="str">
        <f t="shared" si="14"/>
        <v>Muc 1.1</v>
      </c>
      <c r="C75" s="190">
        <f>IF(D75="","",
    IF(ISERR(SEARCH("_",D75)),
        IFERROR(_xlfn.AGGREGATE(14,6,$C$12:C74,1),0)+1,
        IFERROR(
            VALUE(TRIM(MID(SUBSTITUTE(D75,"_",REPT(" ",LEN(D75))), (LEN(D75)-LEN(SUBSTITUTE(D75,"_",""))-1)*LEN(D75)+1, LEN(D75))))
            &amp; "." &amp;
            VALUE(TRIM(RIGHT(SUBSTITUTE(D75,"_",REPT(" ",LEN(D75))),LEN(D75)))),
            "")))</f>
        <v>13</v>
      </c>
      <c r="D75" s="26" t="s">
        <v>299</v>
      </c>
      <c r="E75" s="25" t="s">
        <v>185</v>
      </c>
      <c r="F75" s="25" t="s">
        <v>185</v>
      </c>
      <c r="G75" s="25" t="s">
        <v>185</v>
      </c>
      <c r="H75" s="25">
        <v>1</v>
      </c>
      <c r="I75" s="33" t="s">
        <v>185</v>
      </c>
      <c r="J75" s="25" t="s">
        <v>185</v>
      </c>
      <c r="K75" s="25" t="s">
        <v>185</v>
      </c>
      <c r="L75" s="191"/>
      <c r="M75" s="25"/>
      <c r="N75" s="33"/>
      <c r="O75" s="195" t="s">
        <v>229</v>
      </c>
      <c r="P75" s="192" t="str">
        <f t="shared" si="7"/>
        <v/>
      </c>
      <c r="Q75" s="79" t="str">
        <f t="shared" si="15"/>
        <v/>
      </c>
      <c r="R75" s="171">
        <f t="shared" si="16"/>
        <v>0</v>
      </c>
      <c r="S75" s="84" t="str">
        <f t="shared" si="9"/>
        <v>-</v>
      </c>
      <c r="T75" s="193" t="str">
        <f t="shared" si="10"/>
        <v>-</v>
      </c>
      <c r="U75" s="194" t="str">
        <f t="shared" si="11"/>
        <v>-</v>
      </c>
      <c r="V75" s="69">
        <f t="shared" si="17"/>
        <v>1</v>
      </c>
      <c r="W75" s="69" t="str">
        <f t="shared" si="18"/>
        <v>IN</v>
      </c>
      <c r="X75" s="271">
        <f t="shared" si="19"/>
        <v>2</v>
      </c>
      <c r="Y75" s="214" t="str">
        <f t="shared" si="6"/>
        <v/>
      </c>
      <c r="Z75" s="32"/>
    </row>
    <row r="76" spans="1:26" ht="30" customHeight="1">
      <c r="A76" s="70" t="str">
        <f t="shared" si="13"/>
        <v>L01</v>
      </c>
      <c r="B76" s="70" t="str">
        <f t="shared" si="14"/>
        <v>Muc 1.1</v>
      </c>
      <c r="C76" s="190" t="str">
        <f>IF(D76="","",
    IF(ISERR(SEARCH("_",D76)),
        IFERROR(_xlfn.AGGREGATE(14,6,$C$12:C75,1),0)+1,
        IFERROR(
            VALUE(TRIM(MID(SUBSTITUTE(D76,"_",REPT(" ",LEN(D76))), (LEN(D76)-LEN(SUBSTITUTE(D76,"_",""))-1)*LEN(D76)+1, LEN(D76))))
            &amp; "." &amp;
            VALUE(TRIM(RIGHT(SUBSTITUTE(D76,"_",REPT(" ",LEN(D76))),LEN(D76)))),
            "")))</f>
        <v>13.1</v>
      </c>
      <c r="D76" s="26" t="s">
        <v>300</v>
      </c>
      <c r="E76" s="25">
        <v>17</v>
      </c>
      <c r="F76" s="25">
        <v>445</v>
      </c>
      <c r="G76" s="25">
        <v>750</v>
      </c>
      <c r="H76" s="25">
        <v>1</v>
      </c>
      <c r="I76" s="33" t="s">
        <v>249</v>
      </c>
      <c r="J76" s="25" t="s">
        <v>232</v>
      </c>
      <c r="K76" s="25" t="s">
        <v>237</v>
      </c>
      <c r="L76" s="191"/>
      <c r="M76" s="25"/>
      <c r="N76" s="33"/>
      <c r="O76" s="195"/>
      <c r="P76" s="192" t="str">
        <f t="shared" si="7"/>
        <v/>
      </c>
      <c r="Q76" s="79" t="str">
        <f t="shared" si="15"/>
        <v>Tấm</v>
      </c>
      <c r="R76" s="171">
        <f t="shared" si="16"/>
        <v>0.11211703843052943</v>
      </c>
      <c r="S76" s="84">
        <f t="shared" si="9"/>
        <v>2.39</v>
      </c>
      <c r="T76" s="193">
        <f t="shared" si="10"/>
        <v>0</v>
      </c>
      <c r="U76" s="194">
        <f t="shared" si="11"/>
        <v>0</v>
      </c>
      <c r="V76" s="69">
        <f t="shared" si="17"/>
        <v>1</v>
      </c>
      <c r="W76" s="69" t="str">
        <f t="shared" si="18"/>
        <v>IN</v>
      </c>
      <c r="X76" s="271">
        <v>2</v>
      </c>
      <c r="Y76" s="214">
        <f t="shared" si="6"/>
        <v>4.2553124999999996</v>
      </c>
      <c r="Z76" s="32"/>
    </row>
    <row r="77" spans="1:26" ht="30" customHeight="1">
      <c r="A77" s="70" t="str">
        <f t="shared" si="13"/>
        <v>L01</v>
      </c>
      <c r="B77" s="70" t="str">
        <f t="shared" si="14"/>
        <v>Muc 1.1</v>
      </c>
      <c r="C77" s="190" t="str">
        <f>IF(D77="","",
    IF(ISERR(SEARCH("_",D77)),
        IFERROR(_xlfn.AGGREGATE(14,6,$C$12:C76,1),0)+1,
        IFERROR(
            VALUE(TRIM(MID(SUBSTITUTE(D77,"_",REPT(" ",LEN(D77))), (LEN(D77)-LEN(SUBSTITUTE(D77,"_",""))-1)*LEN(D77)+1, LEN(D77))))
            &amp; "." &amp;
            VALUE(TRIM(RIGHT(SUBSTITUTE(D77,"_",REPT(" ",LEN(D77))),LEN(D77)))),
            "")))</f>
        <v>13.2</v>
      </c>
      <c r="D77" s="26" t="s">
        <v>301</v>
      </c>
      <c r="E77" s="25">
        <v>17</v>
      </c>
      <c r="F77" s="25">
        <v>445</v>
      </c>
      <c r="G77" s="25">
        <v>750</v>
      </c>
      <c r="H77" s="25">
        <v>1</v>
      </c>
      <c r="I77" s="33" t="s">
        <v>249</v>
      </c>
      <c r="J77" s="25" t="s">
        <v>232</v>
      </c>
      <c r="K77" s="25" t="s">
        <v>237</v>
      </c>
      <c r="L77" s="191"/>
      <c r="M77" s="25"/>
      <c r="N77" s="33"/>
      <c r="O77" s="195"/>
      <c r="P77" s="192" t="str">
        <f t="shared" si="7"/>
        <v/>
      </c>
      <c r="Q77" s="79" t="str">
        <f t="shared" si="15"/>
        <v>Tấm</v>
      </c>
      <c r="R77" s="171">
        <f t="shared" si="16"/>
        <v>0.11211703843052943</v>
      </c>
      <c r="S77" s="84">
        <f t="shared" si="9"/>
        <v>2.39</v>
      </c>
      <c r="T77" s="193">
        <f t="shared" si="10"/>
        <v>0</v>
      </c>
      <c r="U77" s="194">
        <f t="shared" si="11"/>
        <v>0</v>
      </c>
      <c r="V77" s="69">
        <f t="shared" si="17"/>
        <v>1</v>
      </c>
      <c r="W77" s="69" t="str">
        <f t="shared" si="18"/>
        <v>IN</v>
      </c>
      <c r="X77" s="271">
        <v>2</v>
      </c>
      <c r="Y77" s="214">
        <f t="shared" ref="Y77:Y140" si="27">IFERROR((E77*F77*G77*H77*10^-9)*750,"")</f>
        <v>4.2553124999999996</v>
      </c>
      <c r="Z77" s="32"/>
    </row>
    <row r="78" spans="1:26" ht="30" customHeight="1">
      <c r="A78" s="70" t="str">
        <f t="shared" si="13"/>
        <v>L01</v>
      </c>
      <c r="B78" s="70" t="str">
        <f t="shared" si="14"/>
        <v>Muc 1.1</v>
      </c>
      <c r="C78" s="190" t="str">
        <f>IF(D78="","",
    IF(ISERR(SEARCH("_",D78)),
        IFERROR(_xlfn.AGGREGATE(14,6,$C$12:C77,1),0)+1,
        IFERROR(
            VALUE(TRIM(MID(SUBSTITUTE(D78,"_",REPT(" ",LEN(D78))), (LEN(D78)-LEN(SUBSTITUTE(D78,"_",""))-1)*LEN(D78)+1, LEN(D78))))
            &amp; "." &amp;
            VALUE(TRIM(RIGHT(SUBSTITUTE(D78,"_",REPT(" ",LEN(D78))),LEN(D78)))),
            "")))</f>
        <v>13.3</v>
      </c>
      <c r="D78" s="26" t="s">
        <v>302</v>
      </c>
      <c r="E78" s="25">
        <v>17</v>
      </c>
      <c r="F78" s="25">
        <v>444</v>
      </c>
      <c r="G78" s="25">
        <v>750</v>
      </c>
      <c r="H78" s="25">
        <v>1</v>
      </c>
      <c r="I78" s="33" t="s">
        <v>249</v>
      </c>
      <c r="J78" s="25" t="s">
        <v>232</v>
      </c>
      <c r="K78" s="25" t="s">
        <v>237</v>
      </c>
      <c r="L78" s="191"/>
      <c r="M78" s="25"/>
      <c r="N78" s="25"/>
      <c r="O78" s="195"/>
      <c r="P78" s="192" t="str">
        <f t="shared" si="7"/>
        <v/>
      </c>
      <c r="Q78" s="79" t="str">
        <f t="shared" si="15"/>
        <v>Tấm</v>
      </c>
      <c r="R78" s="171">
        <f t="shared" si="16"/>
        <v>0.11186509002956195</v>
      </c>
      <c r="S78" s="84">
        <f t="shared" ref="S78:S141" si="28">IFERROR(IF(ISERR(SEARCH("2d",K78)),IF(ISERR(SEARCH("1d",K78)),0,1),2)*($G78)*$H78/10^3+IF(ISERR(SEARCH("2r",K78)),IF(ISERR(SEARCH("1r",K78)),0,1),2)*($F78)*$H78/10^3,"-")</f>
        <v>2.3879999999999999</v>
      </c>
      <c r="T78" s="193">
        <f t="shared" si="10"/>
        <v>0</v>
      </c>
      <c r="U78" s="194">
        <f t="shared" si="11"/>
        <v>0</v>
      </c>
      <c r="V78" s="69">
        <f t="shared" si="17"/>
        <v>1</v>
      </c>
      <c r="W78" s="69" t="str">
        <f t="shared" si="18"/>
        <v>IN</v>
      </c>
      <c r="X78" s="271">
        <v>2</v>
      </c>
      <c r="Y78" s="214">
        <f t="shared" si="27"/>
        <v>4.2457500000000001</v>
      </c>
      <c r="Z78" s="32"/>
    </row>
    <row r="79" spans="1:26" ht="30" customHeight="1">
      <c r="A79" s="70" t="str">
        <f t="shared" si="13"/>
        <v>L01</v>
      </c>
      <c r="B79" s="70" t="str">
        <f t="shared" si="14"/>
        <v>Muc 1.1</v>
      </c>
      <c r="C79" s="190" t="str">
        <f>IF(D79="","",
    IF(ISERR(SEARCH("_",D79)),
        IFERROR(_xlfn.AGGREGATE(14,6,$C$12:C78,1),0)+1,
        IFERROR(
            VALUE(TRIM(MID(SUBSTITUTE(D79,"_",REPT(" ",LEN(D79))), (LEN(D79)-LEN(SUBSTITUTE(D79,"_",""))-1)*LEN(D79)+1, LEN(D79))))
            &amp; "." &amp;
            VALUE(TRIM(RIGHT(SUBSTITUTE(D79,"_",REPT(" ",LEN(D79))),LEN(D79)))),
            "")))</f>
        <v>13.4</v>
      </c>
      <c r="D79" s="26" t="s">
        <v>303</v>
      </c>
      <c r="E79" s="25">
        <v>17</v>
      </c>
      <c r="F79" s="25">
        <v>444</v>
      </c>
      <c r="G79" s="25">
        <v>750</v>
      </c>
      <c r="H79" s="25">
        <v>1</v>
      </c>
      <c r="I79" s="33" t="s">
        <v>249</v>
      </c>
      <c r="J79" s="25" t="s">
        <v>232</v>
      </c>
      <c r="K79" s="25" t="s">
        <v>237</v>
      </c>
      <c r="L79" s="191"/>
      <c r="M79" s="25"/>
      <c r="N79" s="25"/>
      <c r="O79" s="195"/>
      <c r="P79" s="192" t="str">
        <f t="shared" si="7"/>
        <v/>
      </c>
      <c r="Q79" s="79" t="str">
        <f t="shared" si="15"/>
        <v>Tấm</v>
      </c>
      <c r="R79" s="171">
        <f t="shared" si="16"/>
        <v>0.11186509002956195</v>
      </c>
      <c r="S79" s="84">
        <f t="shared" si="28"/>
        <v>2.3879999999999999</v>
      </c>
      <c r="T79" s="193">
        <f t="shared" si="10"/>
        <v>0</v>
      </c>
      <c r="U79" s="194">
        <f t="shared" si="11"/>
        <v>0</v>
      </c>
      <c r="V79" s="69">
        <f t="shared" si="17"/>
        <v>1</v>
      </c>
      <c r="W79" s="69" t="str">
        <f t="shared" si="18"/>
        <v>IN</v>
      </c>
      <c r="X79" s="271">
        <v>2</v>
      </c>
      <c r="Y79" s="214">
        <f t="shared" si="27"/>
        <v>4.2457500000000001</v>
      </c>
      <c r="Z79" s="32"/>
    </row>
    <row r="80" spans="1:26" ht="30" customHeight="1">
      <c r="A80" s="70" t="str">
        <f t="shared" si="13"/>
        <v>L01</v>
      </c>
      <c r="B80" s="70" t="str">
        <f t="shared" si="14"/>
        <v>Muc 1.1</v>
      </c>
      <c r="C80" s="190">
        <f>IF(D80="","",
    IF(ISERR(SEARCH("_",D80)),
        IFERROR(_xlfn.AGGREGATE(14,6,$C$12:C79,1),0)+1,
        IFERROR(
            VALUE(TRIM(MID(SUBSTITUTE(D80,"_",REPT(" ",LEN(D80))), (LEN(D80)-LEN(SUBSTITUTE(D80,"_",""))-1)*LEN(D80)+1, LEN(D80))))
            &amp; "." &amp;
            VALUE(TRIM(RIGHT(SUBSTITUTE(D80,"_",REPT(" ",LEN(D80))),LEN(D80)))),
            "")))</f>
        <v>14</v>
      </c>
      <c r="D80" s="26" t="s">
        <v>304</v>
      </c>
      <c r="E80" s="25" t="s">
        <v>185</v>
      </c>
      <c r="F80" s="25" t="s">
        <v>185</v>
      </c>
      <c r="G80" s="25" t="s">
        <v>185</v>
      </c>
      <c r="H80" s="25">
        <v>1</v>
      </c>
      <c r="I80" s="33" t="s">
        <v>185</v>
      </c>
      <c r="J80" s="25" t="s">
        <v>185</v>
      </c>
      <c r="K80" s="25" t="s">
        <v>185</v>
      </c>
      <c r="L80" s="191"/>
      <c r="M80" s="25"/>
      <c r="N80" s="33"/>
      <c r="O80" s="195" t="s">
        <v>229</v>
      </c>
      <c r="P80" s="192" t="str">
        <f t="shared" si="7"/>
        <v/>
      </c>
      <c r="Q80" s="79" t="str">
        <f t="shared" si="15"/>
        <v/>
      </c>
      <c r="R80" s="171">
        <f t="shared" si="16"/>
        <v>0</v>
      </c>
      <c r="S80" s="84" t="str">
        <f t="shared" si="28"/>
        <v>-</v>
      </c>
      <c r="T80" s="193" t="str">
        <f t="shared" si="10"/>
        <v>-</v>
      </c>
      <c r="U80" s="194" t="str">
        <f t="shared" si="11"/>
        <v>-</v>
      </c>
      <c r="V80" s="69">
        <f t="shared" si="17"/>
        <v>1</v>
      </c>
      <c r="W80" s="69" t="str">
        <f t="shared" si="18"/>
        <v>IN</v>
      </c>
      <c r="X80" s="271">
        <f t="shared" ref="X80:X141" si="29">IF(O80="","",IF(O80="HOÀN THIỆN ĐI MODULE",1,IF(O80="GIAO RỜI",2,2)))</f>
        <v>2</v>
      </c>
      <c r="Y80" s="214" t="str">
        <f t="shared" si="27"/>
        <v/>
      </c>
      <c r="Z80" s="32"/>
    </row>
    <row r="81" spans="1:26" ht="30" customHeight="1">
      <c r="A81" s="70" t="str">
        <f t="shared" si="13"/>
        <v>L01</v>
      </c>
      <c r="B81" s="70" t="str">
        <f t="shared" si="14"/>
        <v>Muc 1.1</v>
      </c>
      <c r="C81" s="190" t="str">
        <f>IF(D81="","",
    IF(ISERR(SEARCH("_",D81)),
        IFERROR(_xlfn.AGGREGATE(14,6,$C$12:C80,1),0)+1,
        IFERROR(
            VALUE(TRIM(MID(SUBSTITUTE(D81,"_",REPT(" ",LEN(D81))), (LEN(D81)-LEN(SUBSTITUTE(D81,"_",""))-1)*LEN(D81)+1, LEN(D81))))
            &amp; "." &amp;
            VALUE(TRIM(RIGHT(SUBSTITUTE(D81,"_",REPT(" ",LEN(D81))),LEN(D81)))),
            "")))</f>
        <v>14.1</v>
      </c>
      <c r="D81" s="26" t="s">
        <v>305</v>
      </c>
      <c r="E81" s="25">
        <v>17</v>
      </c>
      <c r="F81" s="25">
        <v>120</v>
      </c>
      <c r="G81" s="25">
        <v>630</v>
      </c>
      <c r="H81" s="25">
        <v>1</v>
      </c>
      <c r="I81" s="33" t="s">
        <v>249</v>
      </c>
      <c r="J81" s="25" t="s">
        <v>232</v>
      </c>
      <c r="K81" s="25" t="s">
        <v>233</v>
      </c>
      <c r="L81" s="191"/>
      <c r="M81" s="25"/>
      <c r="N81" s="33"/>
      <c r="O81" s="195" t="s">
        <v>395</v>
      </c>
      <c r="P81" s="192" t="str">
        <f t="shared" si="7"/>
        <v/>
      </c>
      <c r="Q81" s="79" t="str">
        <f t="shared" si="15"/>
        <v>Tấm</v>
      </c>
      <c r="R81" s="171">
        <f t="shared" si="16"/>
        <v>2.5396398817522172E-2</v>
      </c>
      <c r="S81" s="84">
        <f t="shared" si="28"/>
        <v>0.87</v>
      </c>
      <c r="T81" s="193">
        <f t="shared" si="10"/>
        <v>0</v>
      </c>
      <c r="U81" s="194">
        <f t="shared" si="11"/>
        <v>0</v>
      </c>
      <c r="V81" s="69">
        <f t="shared" si="17"/>
        <v>1</v>
      </c>
      <c r="W81" s="69" t="str">
        <f t="shared" si="18"/>
        <v>IN</v>
      </c>
      <c r="X81" s="271">
        <v>2</v>
      </c>
      <c r="Y81" s="214">
        <f t="shared" si="27"/>
        <v>0.96389999999999998</v>
      </c>
      <c r="Z81" s="32"/>
    </row>
    <row r="82" spans="1:26" ht="30" customHeight="1">
      <c r="A82" s="70" t="str">
        <f t="shared" si="13"/>
        <v>L01</v>
      </c>
      <c r="B82" s="70" t="str">
        <f t="shared" si="14"/>
        <v>Muc 1.1</v>
      </c>
      <c r="C82" s="190" t="str">
        <f>IF(D82="","",
    IF(ISERR(SEARCH("_",D82)),
        IFERROR(_xlfn.AGGREGATE(14,6,$C$12:C81,1),0)+1,
        IFERROR(
            VALUE(TRIM(MID(SUBSTITUTE(D82,"_",REPT(" ",LEN(D82))), (LEN(D82)-LEN(SUBSTITUTE(D82,"_",""))-1)*LEN(D82)+1, LEN(D82))))
            &amp; "." &amp;
            VALUE(TRIM(RIGHT(SUBSTITUTE(D82,"_",REPT(" ",LEN(D82))),LEN(D82)))),
            "")))</f>
        <v>14.2</v>
      </c>
      <c r="D82" s="26" t="s">
        <v>306</v>
      </c>
      <c r="E82" s="25">
        <v>17</v>
      </c>
      <c r="F82" s="25">
        <v>120</v>
      </c>
      <c r="G82" s="25">
        <v>1822</v>
      </c>
      <c r="H82" s="25">
        <v>1</v>
      </c>
      <c r="I82" s="33" t="s">
        <v>249</v>
      </c>
      <c r="J82" s="25" t="s">
        <v>232</v>
      </c>
      <c r="K82" s="25" t="s">
        <v>233</v>
      </c>
      <c r="L82" s="191"/>
      <c r="M82" s="25"/>
      <c r="N82" s="33"/>
      <c r="O82" s="195" t="s">
        <v>395</v>
      </c>
      <c r="P82" s="192" t="str">
        <f t="shared" si="7"/>
        <v/>
      </c>
      <c r="Q82" s="79" t="str">
        <f t="shared" si="15"/>
        <v>Tấm</v>
      </c>
      <c r="R82" s="171">
        <f t="shared" si="16"/>
        <v>7.3447997850040317E-2</v>
      </c>
      <c r="S82" s="84">
        <f t="shared" si="28"/>
        <v>2.0620000000000003</v>
      </c>
      <c r="T82" s="193">
        <f t="shared" si="10"/>
        <v>0</v>
      </c>
      <c r="U82" s="194">
        <f t="shared" si="11"/>
        <v>0</v>
      </c>
      <c r="V82" s="69">
        <f t="shared" si="17"/>
        <v>1</v>
      </c>
      <c r="W82" s="69" t="str">
        <f t="shared" si="18"/>
        <v>IN</v>
      </c>
      <c r="X82" s="271">
        <v>2</v>
      </c>
      <c r="Y82" s="214">
        <f t="shared" si="27"/>
        <v>2.7876600000000002</v>
      </c>
      <c r="Z82" s="32"/>
    </row>
    <row r="83" spans="1:26" ht="30" hidden="1" customHeight="1">
      <c r="A83" s="70" t="str">
        <f t="shared" si="13"/>
        <v/>
      </c>
      <c r="B83" s="70" t="str">
        <f t="shared" si="14"/>
        <v/>
      </c>
      <c r="C83" s="190" t="str">
        <f>IF(D83="","",
    IF(ISERR(SEARCH("_",D83)),
        IFERROR(_xlfn.AGGREGATE(14,6,$C$12:C82,1),0)+1,
        IFERROR(
            VALUE(TRIM(MID(SUBSTITUTE(D83,"_",REPT(" ",LEN(D83))), (LEN(D83)-LEN(SUBSTITUTE(D83,"_",""))-1)*LEN(D83)+1, LEN(D83))))
            &amp; "." &amp;
            VALUE(TRIM(RIGHT(SUBSTITUTE(D83,"_",REPT(" ",LEN(D83))),LEN(D83)))),
            "")))</f>
        <v/>
      </c>
      <c r="D83" s="26"/>
      <c r="E83" s="25"/>
      <c r="F83" s="25"/>
      <c r="G83" s="25"/>
      <c r="H83" s="25"/>
      <c r="I83" s="33"/>
      <c r="J83" s="25"/>
      <c r="K83" s="25"/>
      <c r="L83" s="191"/>
      <c r="M83" s="25"/>
      <c r="N83" s="33"/>
      <c r="O83" s="195"/>
      <c r="P83" s="192" t="str">
        <f t="shared" si="7"/>
        <v/>
      </c>
      <c r="Q83" s="79" t="str">
        <f t="shared" si="15"/>
        <v/>
      </c>
      <c r="R83" s="171">
        <f t="shared" si="16"/>
        <v>0</v>
      </c>
      <c r="S83" s="84">
        <f t="shared" si="28"/>
        <v>0</v>
      </c>
      <c r="T83" s="193">
        <f t="shared" si="10"/>
        <v>0</v>
      </c>
      <c r="U83" s="194">
        <f t="shared" si="11"/>
        <v>0</v>
      </c>
      <c r="V83" s="69" t="str">
        <f t="shared" si="17"/>
        <v/>
      </c>
      <c r="W83" s="69" t="str">
        <f t="shared" si="18"/>
        <v/>
      </c>
      <c r="X83" s="271" t="str">
        <f t="shared" si="29"/>
        <v/>
      </c>
      <c r="Y83" s="214">
        <f t="shared" si="27"/>
        <v>0</v>
      </c>
      <c r="Z83" s="32"/>
    </row>
    <row r="84" spans="1:26" ht="60.75" hidden="1" customHeight="1">
      <c r="A84" s="70" t="str">
        <f t="shared" si="13"/>
        <v/>
      </c>
      <c r="B84" s="70" t="str">
        <f t="shared" si="14"/>
        <v/>
      </c>
      <c r="C84" s="190" t="str">
        <f>IF(D84="","",
    IF(ISERR(SEARCH("_",D84)),
        IFERROR(_xlfn.AGGREGATE(14,6,$C$12:C83,1),0)+1,
        IFERROR(
            VALUE(TRIM(MID(SUBSTITUTE(D84,"_",REPT(" ",LEN(D84))), (LEN(D84)-LEN(SUBSTITUTE(D84,"_",""))-1)*LEN(D84)+1, LEN(D84))))
            &amp; "." &amp;
            VALUE(TRIM(RIGHT(SUBSTITUTE(D84,"_",REPT(" ",LEN(D84))),LEN(D84)))),
            "")))</f>
        <v/>
      </c>
      <c r="D84" s="26"/>
      <c r="E84" s="25"/>
      <c r="F84" s="25"/>
      <c r="G84" s="25"/>
      <c r="H84" s="25"/>
      <c r="I84" s="33"/>
      <c r="J84" s="25"/>
      <c r="K84" s="25"/>
      <c r="L84" s="191"/>
      <c r="M84" s="25"/>
      <c r="N84" s="33"/>
      <c r="O84" s="195"/>
      <c r="P84" s="192" t="str">
        <f t="shared" si="7"/>
        <v/>
      </c>
      <c r="Q84" s="79" t="str">
        <f t="shared" si="15"/>
        <v/>
      </c>
      <c r="R84" s="171">
        <f t="shared" si="16"/>
        <v>0</v>
      </c>
      <c r="S84" s="84">
        <f t="shared" si="28"/>
        <v>0</v>
      </c>
      <c r="T84" s="193">
        <f t="shared" si="10"/>
        <v>0</v>
      </c>
      <c r="U84" s="194">
        <f t="shared" si="11"/>
        <v>0</v>
      </c>
      <c r="V84" s="69" t="str">
        <f t="shared" si="17"/>
        <v/>
      </c>
      <c r="W84" s="69" t="str">
        <f t="shared" si="18"/>
        <v/>
      </c>
      <c r="X84" s="271" t="str">
        <f t="shared" si="29"/>
        <v/>
      </c>
      <c r="Y84" s="214">
        <f t="shared" si="27"/>
        <v>0</v>
      </c>
      <c r="Z84" s="32"/>
    </row>
    <row r="85" spans="1:26" ht="30" hidden="1" customHeight="1">
      <c r="A85" s="70" t="str">
        <f t="shared" si="13"/>
        <v/>
      </c>
      <c r="B85" s="70" t="str">
        <f t="shared" si="14"/>
        <v/>
      </c>
      <c r="C85" s="190" t="str">
        <f>IF(D85="","",
    IF(ISERR(SEARCH("_",D85)),
        IFERROR(_xlfn.AGGREGATE(14,6,$C$12:C84,1),0)+1,
        IFERROR(
            VALUE(TRIM(MID(SUBSTITUTE(D85,"_",REPT(" ",LEN(D85))), (LEN(D85)-LEN(SUBSTITUTE(D85,"_",""))-1)*LEN(D85)+1, LEN(D85))))
            &amp; "." &amp;
            VALUE(TRIM(RIGHT(SUBSTITUTE(D85,"_",REPT(" ",LEN(D85))),LEN(D85)))),
            "")))</f>
        <v/>
      </c>
      <c r="D85" s="26"/>
      <c r="E85" s="25"/>
      <c r="F85" s="25"/>
      <c r="G85" s="25"/>
      <c r="H85" s="25"/>
      <c r="I85" s="33"/>
      <c r="J85" s="25"/>
      <c r="K85" s="25"/>
      <c r="L85" s="191"/>
      <c r="M85" s="25"/>
      <c r="N85" s="25"/>
      <c r="O85" s="195"/>
      <c r="P85" s="192" t="str">
        <f t="shared" si="7"/>
        <v/>
      </c>
      <c r="Q85" s="79" t="str">
        <f t="shared" si="15"/>
        <v/>
      </c>
      <c r="R85" s="171">
        <f t="shared" si="16"/>
        <v>0</v>
      </c>
      <c r="S85" s="84">
        <f t="shared" si="28"/>
        <v>0</v>
      </c>
      <c r="T85" s="193">
        <f t="shared" si="10"/>
        <v>0</v>
      </c>
      <c r="U85" s="194">
        <f t="shared" si="11"/>
        <v>0</v>
      </c>
      <c r="V85" s="69" t="str">
        <f t="shared" si="17"/>
        <v/>
      </c>
      <c r="W85" s="69" t="str">
        <f t="shared" si="18"/>
        <v/>
      </c>
      <c r="X85" s="271" t="str">
        <f t="shared" si="29"/>
        <v/>
      </c>
      <c r="Y85" s="214">
        <f t="shared" si="27"/>
        <v>0</v>
      </c>
      <c r="Z85" s="32"/>
    </row>
    <row r="86" spans="1:26" ht="30" hidden="1" customHeight="1">
      <c r="A86" s="70" t="str">
        <f t="shared" si="13"/>
        <v/>
      </c>
      <c r="B86" s="70" t="str">
        <f t="shared" si="14"/>
        <v/>
      </c>
      <c r="C86" s="190" t="str">
        <f>IF(D86="","",
    IF(ISERR(SEARCH("_",D86)),
        IFERROR(_xlfn.AGGREGATE(14,6,$C$12:C85,1),0)+1,
        IFERROR(
            VALUE(TRIM(MID(SUBSTITUTE(D86,"_",REPT(" ",LEN(D86))), (LEN(D86)-LEN(SUBSTITUTE(D86,"_",""))-1)*LEN(D86)+1, LEN(D86))))
            &amp; "." &amp;
            VALUE(TRIM(RIGHT(SUBSTITUTE(D86,"_",REPT(" ",LEN(D86))),LEN(D86)))),
            "")))</f>
        <v/>
      </c>
      <c r="D86" s="26"/>
      <c r="E86" s="25"/>
      <c r="F86" s="25"/>
      <c r="G86" s="25"/>
      <c r="H86" s="25"/>
      <c r="I86" s="33"/>
      <c r="J86" s="25"/>
      <c r="K86" s="25"/>
      <c r="L86" s="191"/>
      <c r="M86" s="25"/>
      <c r="N86" s="33"/>
      <c r="O86" s="195"/>
      <c r="P86" s="192" t="str">
        <f t="shared" si="7"/>
        <v/>
      </c>
      <c r="Q86" s="79" t="str">
        <f t="shared" si="15"/>
        <v/>
      </c>
      <c r="R86" s="171">
        <f t="shared" si="16"/>
        <v>0</v>
      </c>
      <c r="S86" s="84">
        <f t="shared" si="28"/>
        <v>0</v>
      </c>
      <c r="T86" s="193">
        <f t="shared" si="10"/>
        <v>0</v>
      </c>
      <c r="U86" s="194">
        <f t="shared" si="11"/>
        <v>0</v>
      </c>
      <c r="V86" s="69" t="str">
        <f t="shared" si="17"/>
        <v/>
      </c>
      <c r="W86" s="69" t="str">
        <f t="shared" si="18"/>
        <v/>
      </c>
      <c r="X86" s="271" t="str">
        <f t="shared" si="29"/>
        <v/>
      </c>
      <c r="Y86" s="214">
        <f t="shared" si="27"/>
        <v>0</v>
      </c>
      <c r="Z86" s="32"/>
    </row>
    <row r="87" spans="1:26" ht="30" hidden="1" customHeight="1">
      <c r="A87" s="70" t="str">
        <f t="shared" si="13"/>
        <v/>
      </c>
      <c r="B87" s="70" t="str">
        <f t="shared" si="14"/>
        <v/>
      </c>
      <c r="C87" s="190" t="str">
        <f>IF(D87="","",
    IF(ISERR(SEARCH("_",D87)),
        IFERROR(_xlfn.AGGREGATE(14,6,$C$12:C86,1),0)+1,
        IFERROR(
            VALUE(TRIM(MID(SUBSTITUTE(D87,"_",REPT(" ",LEN(D87))), (LEN(D87)-LEN(SUBSTITUTE(D87,"_",""))-1)*LEN(D87)+1, LEN(D87))))
            &amp; "." &amp;
            VALUE(TRIM(RIGHT(SUBSTITUTE(D87,"_",REPT(" ",LEN(D87))),LEN(D87)))),
            "")))</f>
        <v/>
      </c>
      <c r="D87" s="26"/>
      <c r="E87" s="25"/>
      <c r="F87" s="25"/>
      <c r="G87" s="25"/>
      <c r="H87" s="25"/>
      <c r="I87" s="33"/>
      <c r="J87" s="25"/>
      <c r="K87" s="25"/>
      <c r="L87" s="191"/>
      <c r="M87" s="25"/>
      <c r="N87" s="33"/>
      <c r="O87" s="195"/>
      <c r="P87" s="192" t="str">
        <f t="shared" si="7"/>
        <v/>
      </c>
      <c r="Q87" s="79" t="str">
        <f t="shared" si="15"/>
        <v/>
      </c>
      <c r="R87" s="171">
        <f t="shared" si="16"/>
        <v>0</v>
      </c>
      <c r="S87" s="84">
        <f t="shared" si="28"/>
        <v>0</v>
      </c>
      <c r="T87" s="193">
        <f t="shared" si="10"/>
        <v>0</v>
      </c>
      <c r="U87" s="194">
        <f t="shared" si="11"/>
        <v>0</v>
      </c>
      <c r="V87" s="69" t="str">
        <f t="shared" si="17"/>
        <v/>
      </c>
      <c r="W87" s="69" t="str">
        <f t="shared" si="18"/>
        <v/>
      </c>
      <c r="X87" s="271" t="str">
        <f t="shared" si="29"/>
        <v/>
      </c>
      <c r="Y87" s="214">
        <f t="shared" si="27"/>
        <v>0</v>
      </c>
      <c r="Z87" s="32"/>
    </row>
    <row r="88" spans="1:26" ht="30" hidden="1" customHeight="1">
      <c r="A88" s="70" t="str">
        <f t="shared" si="13"/>
        <v/>
      </c>
      <c r="B88" s="70" t="str">
        <f t="shared" si="14"/>
        <v/>
      </c>
      <c r="C88" s="190" t="str">
        <f>IF(D88="","",
    IF(ISERR(SEARCH("_",D88)),
        IFERROR(_xlfn.AGGREGATE(14,6,$C$12:C87,1),0)+1,
        IFERROR(
            VALUE(TRIM(MID(SUBSTITUTE(D88,"_",REPT(" ",LEN(D88))), (LEN(D88)-LEN(SUBSTITUTE(D88,"_",""))-1)*LEN(D88)+1, LEN(D88))))
            &amp; "." &amp;
            VALUE(TRIM(RIGHT(SUBSTITUTE(D88,"_",REPT(" ",LEN(D88))),LEN(D88)))),
            "")))</f>
        <v/>
      </c>
      <c r="D88" s="26"/>
      <c r="E88" s="25"/>
      <c r="F88" s="25"/>
      <c r="G88" s="25"/>
      <c r="H88" s="25"/>
      <c r="I88" s="33"/>
      <c r="J88" s="25"/>
      <c r="K88" s="25"/>
      <c r="L88" s="191"/>
      <c r="M88" s="25"/>
      <c r="N88" s="33"/>
      <c r="O88" s="195"/>
      <c r="P88" s="192" t="str">
        <f t="shared" si="7"/>
        <v/>
      </c>
      <c r="Q88" s="79" t="str">
        <f t="shared" si="15"/>
        <v/>
      </c>
      <c r="R88" s="171">
        <f t="shared" si="16"/>
        <v>0</v>
      </c>
      <c r="S88" s="84">
        <f t="shared" si="28"/>
        <v>0</v>
      </c>
      <c r="T88" s="193">
        <f t="shared" si="10"/>
        <v>0</v>
      </c>
      <c r="U88" s="194">
        <f t="shared" si="11"/>
        <v>0</v>
      </c>
      <c r="V88" s="69" t="str">
        <f t="shared" si="17"/>
        <v/>
      </c>
      <c r="W88" s="69" t="str">
        <f t="shared" si="18"/>
        <v/>
      </c>
      <c r="X88" s="271" t="str">
        <f t="shared" si="29"/>
        <v/>
      </c>
      <c r="Y88" s="214">
        <f t="shared" si="27"/>
        <v>0</v>
      </c>
      <c r="Z88" s="32"/>
    </row>
    <row r="89" spans="1:26" ht="30" hidden="1" customHeight="1">
      <c r="A89" s="70" t="str">
        <f t="shared" si="13"/>
        <v/>
      </c>
      <c r="B89" s="70" t="str">
        <f t="shared" si="14"/>
        <v/>
      </c>
      <c r="C89" s="190" t="str">
        <f>IF(D89="","",
    IF(ISERR(SEARCH("_",D89)),
        IFERROR(_xlfn.AGGREGATE(14,6,$C$12:C88,1),0)+1,
        IFERROR(
            VALUE(TRIM(MID(SUBSTITUTE(D89,"_",REPT(" ",LEN(D89))), (LEN(D89)-LEN(SUBSTITUTE(D89,"_",""))-1)*LEN(D89)+1, LEN(D89))))
            &amp; "." &amp;
            VALUE(TRIM(RIGHT(SUBSTITUTE(D89,"_",REPT(" ",LEN(D89))),LEN(D89)))),
            "")))</f>
        <v/>
      </c>
      <c r="D89" s="33"/>
      <c r="E89" s="25"/>
      <c r="F89" s="25"/>
      <c r="G89" s="25"/>
      <c r="H89" s="25"/>
      <c r="I89" s="33"/>
      <c r="J89" s="25"/>
      <c r="K89" s="25"/>
      <c r="L89" s="191"/>
      <c r="M89" s="25"/>
      <c r="N89" s="33"/>
      <c r="O89" s="195"/>
      <c r="P89" s="192" t="str">
        <f t="shared" si="7"/>
        <v/>
      </c>
      <c r="Q89" s="79" t="str">
        <f t="shared" si="15"/>
        <v/>
      </c>
      <c r="R89" s="171">
        <f t="shared" si="16"/>
        <v>0</v>
      </c>
      <c r="S89" s="84">
        <f t="shared" si="28"/>
        <v>0</v>
      </c>
      <c r="T89" s="193">
        <f t="shared" si="10"/>
        <v>0</v>
      </c>
      <c r="U89" s="194">
        <f t="shared" si="11"/>
        <v>0</v>
      </c>
      <c r="V89" s="69" t="str">
        <f t="shared" si="17"/>
        <v/>
      </c>
      <c r="W89" s="69" t="str">
        <f t="shared" si="18"/>
        <v/>
      </c>
      <c r="X89" s="271" t="str">
        <f t="shared" si="29"/>
        <v/>
      </c>
      <c r="Y89" s="214">
        <f t="shared" si="27"/>
        <v>0</v>
      </c>
      <c r="Z89" s="32"/>
    </row>
    <row r="90" spans="1:26" ht="30" hidden="1" customHeight="1">
      <c r="A90" s="70" t="str">
        <f t="shared" si="13"/>
        <v/>
      </c>
      <c r="B90" s="70" t="str">
        <f t="shared" si="14"/>
        <v/>
      </c>
      <c r="C90" s="190" t="str">
        <f>IF(D90="","",
    IF(ISERR(SEARCH("_",D90)),
        IFERROR(_xlfn.AGGREGATE(14,6,$C$12:C89,1),0)+1,
        IFERROR(
            VALUE(TRIM(MID(SUBSTITUTE(D90,"_",REPT(" ",LEN(D90))), (LEN(D90)-LEN(SUBSTITUTE(D90,"_",""))-1)*LEN(D90)+1, LEN(D90))))
            &amp; "." &amp;
            VALUE(TRIM(RIGHT(SUBSTITUTE(D90,"_",REPT(" ",LEN(D90))),LEN(D90)))),
            "")))</f>
        <v/>
      </c>
      <c r="D90" s="26"/>
      <c r="E90" s="25"/>
      <c r="F90" s="25"/>
      <c r="G90" s="25"/>
      <c r="H90" s="25"/>
      <c r="I90" s="33"/>
      <c r="J90" s="25"/>
      <c r="K90" s="25"/>
      <c r="L90" s="191"/>
      <c r="M90" s="25"/>
      <c r="N90" s="33"/>
      <c r="O90" s="195"/>
      <c r="P90" s="192" t="str">
        <f t="shared" si="7"/>
        <v/>
      </c>
      <c r="Q90" s="79" t="str">
        <f t="shared" si="15"/>
        <v/>
      </c>
      <c r="R90" s="171">
        <f t="shared" si="16"/>
        <v>0</v>
      </c>
      <c r="S90" s="84">
        <f t="shared" si="28"/>
        <v>0</v>
      </c>
      <c r="T90" s="193">
        <f t="shared" si="10"/>
        <v>0</v>
      </c>
      <c r="U90" s="194">
        <f t="shared" si="11"/>
        <v>0</v>
      </c>
      <c r="V90" s="69" t="str">
        <f t="shared" si="17"/>
        <v/>
      </c>
      <c r="W90" s="69" t="str">
        <f t="shared" si="18"/>
        <v/>
      </c>
      <c r="X90" s="271" t="str">
        <f t="shared" si="29"/>
        <v/>
      </c>
      <c r="Y90" s="214">
        <f t="shared" si="27"/>
        <v>0</v>
      </c>
      <c r="Z90" s="32"/>
    </row>
    <row r="91" spans="1:26" ht="30" hidden="1" customHeight="1">
      <c r="A91" s="70" t="str">
        <f t="shared" ref="A91:A141" si="30">IF(W91="IN",$E$6,"")</f>
        <v/>
      </c>
      <c r="B91" s="70" t="str">
        <f t="shared" ref="B91:B141" si="31">IF(W91="IN","Muc "&amp;$E$7,"")</f>
        <v/>
      </c>
      <c r="C91" s="190" t="str">
        <f>IF(D91="","",
    IF(ISERR(SEARCH("_",D91)),
        IFERROR(_xlfn.AGGREGATE(14,6,$C$12:C90,1),0)+1,
        IFERROR(
            VALUE(TRIM(MID(SUBSTITUTE(D91,"_",REPT(" ",LEN(D91))), (LEN(D91)-LEN(SUBSTITUTE(D91,"_",""))-1)*LEN(D91)+1, LEN(D91))))
            &amp; "." &amp;
            VALUE(TRIM(RIGHT(SUBSTITUTE(D91,"_",REPT(" ",LEN(D91))),LEN(D91)))),
            "")))</f>
        <v/>
      </c>
      <c r="D91" s="26"/>
      <c r="E91" s="25"/>
      <c r="F91" s="25"/>
      <c r="G91" s="25"/>
      <c r="H91" s="25"/>
      <c r="I91" s="33"/>
      <c r="J91" s="25"/>
      <c r="K91" s="25"/>
      <c r="L91" s="191"/>
      <c r="M91" s="25"/>
      <c r="N91" s="33"/>
      <c r="O91" s="195"/>
      <c r="P91" s="192" t="str">
        <f t="shared" ref="P91:P141" si="32">IF(M91="","",IF(AND(LEFT(I91,2)="Gỗ",LEFT(RIGHT(I91,10),1)&lt;&gt;"C"),IF(LEFT(M91,4)="2M2D","1COM",IF(AND(G91&gt;1699,LEFT(M91,4)&lt;&gt;"2M2D"),"1COM","2COM")),""))</f>
        <v/>
      </c>
      <c r="Q91" s="79" t="str">
        <f t="shared" ref="Q91:Q141" si="33">IFERROR(IF(I91="","",IF(LEFT(I91,2)="Gỗ","M3","Tấm")),"")</f>
        <v/>
      </c>
      <c r="R91" s="171">
        <f t="shared" ref="R91:R141" si="34">IFERROR(IF(OR(Q91="Con",Q91="Cụm",Q91="Hệ",Q91="Thanh"),H91,IF(Q91="Tấm",(F91*G91*H91)/(1220*2440),IF(Q91="Md",G91*H91/1000,IF(Q91="M2",F91*G91*H91/10^6,IF(Q91="M3",E91*F91*G91*H91/10^9,0))))),"-")</f>
        <v>0</v>
      </c>
      <c r="S91" s="84">
        <f t="shared" si="28"/>
        <v>0</v>
      </c>
      <c r="T91" s="193">
        <f t="shared" ref="T91:T141" si="35">IFERROR(IF(ISERR(SEARCH("2m",M91)),IF(ISERR(SEARCH("1m",M91)),0,1),2)*$G91*$F91*$H91/10^6+IF(ISERR(SEARCH("2d",M91)),IF(ISERR(SEARCH("1d",M91)),0,1),2)*$G91*$E91*$H91/10^6+IF(ISERR(SEARCH("2r",M91)),IF(ISERR(SEARCH("1r",M91)),0,1),2)*$F91*$E91*$H91/10^6,"-")</f>
        <v>0</v>
      </c>
      <c r="U91" s="194">
        <f t="shared" ref="U91:U141" si="36">IFERROR(IF(ISERR(SEARCH("2m",N91)),IF(ISERR(SEARCH("1m",N91)),0,1),2)*$G91*$F91*$H91/10^6+IF(ISERR(SEARCH("2d",N91)),IF(ISERR(SEARCH("1d",N91)),0,1),2)*$G91*$E91*$H91/10^6+IF(ISERR(SEARCH("2r",N91)),IF(ISERR(SEARCH("1r",N91)),0,1),2)*$F91*$E91*$H91/10^6,"-")</f>
        <v>0</v>
      </c>
      <c r="V91" s="69" t="str">
        <f t="shared" ref="V91:V141" si="37">IF(W91="IN",$Y$3,"")</f>
        <v/>
      </c>
      <c r="W91" s="69" t="str">
        <f t="shared" ref="W91:W141" si="38">IF(OR(C91&lt;&gt;"",D91&lt;&gt;""),"IN","")</f>
        <v/>
      </c>
      <c r="X91" s="271" t="str">
        <f t="shared" si="29"/>
        <v/>
      </c>
      <c r="Y91" s="214">
        <f t="shared" si="27"/>
        <v>0</v>
      </c>
      <c r="Z91" s="32"/>
    </row>
    <row r="92" spans="1:26" ht="30" hidden="1" customHeight="1">
      <c r="A92" s="70" t="str">
        <f t="shared" si="30"/>
        <v/>
      </c>
      <c r="B92" s="70" t="str">
        <f t="shared" si="31"/>
        <v/>
      </c>
      <c r="C92" s="190" t="str">
        <f>IF(D92="","",
    IF(ISERR(SEARCH("_",D92)),
        IFERROR(_xlfn.AGGREGATE(14,6,$C$12:C91,1),0)+1,
        IFERROR(
            VALUE(TRIM(MID(SUBSTITUTE(D92,"_",REPT(" ",LEN(D92))), (LEN(D92)-LEN(SUBSTITUTE(D92,"_",""))-1)*LEN(D92)+1, LEN(D92))))
            &amp; "." &amp;
            VALUE(TRIM(RIGHT(SUBSTITUTE(D92,"_",REPT(" ",LEN(D92))),LEN(D92)))),
            "")))</f>
        <v/>
      </c>
      <c r="D92" s="26"/>
      <c r="E92" s="25"/>
      <c r="F92" s="25"/>
      <c r="G92" s="25"/>
      <c r="H92" s="25"/>
      <c r="I92" s="33"/>
      <c r="J92" s="25"/>
      <c r="K92" s="25"/>
      <c r="L92" s="191"/>
      <c r="M92" s="25"/>
      <c r="N92" s="33"/>
      <c r="O92" s="195"/>
      <c r="P92" s="192" t="str">
        <f t="shared" si="32"/>
        <v/>
      </c>
      <c r="Q92" s="79" t="str">
        <f t="shared" si="33"/>
        <v/>
      </c>
      <c r="R92" s="171">
        <f t="shared" si="34"/>
        <v>0</v>
      </c>
      <c r="S92" s="84">
        <f t="shared" si="28"/>
        <v>0</v>
      </c>
      <c r="T92" s="193">
        <f t="shared" si="35"/>
        <v>0</v>
      </c>
      <c r="U92" s="194">
        <f t="shared" si="36"/>
        <v>0</v>
      </c>
      <c r="V92" s="69" t="str">
        <f t="shared" si="37"/>
        <v/>
      </c>
      <c r="W92" s="69" t="str">
        <f t="shared" si="38"/>
        <v/>
      </c>
      <c r="X92" s="271" t="str">
        <f t="shared" si="29"/>
        <v/>
      </c>
      <c r="Y92" s="214">
        <f t="shared" si="27"/>
        <v>0</v>
      </c>
      <c r="Z92" s="32"/>
    </row>
    <row r="93" spans="1:26" ht="30" hidden="1" customHeight="1">
      <c r="A93" s="70" t="str">
        <f t="shared" si="30"/>
        <v/>
      </c>
      <c r="B93" s="70" t="str">
        <f t="shared" si="31"/>
        <v/>
      </c>
      <c r="C93" s="190" t="str">
        <f>IF(D93="","",
    IF(ISERR(SEARCH("_",D93)),
        IFERROR(_xlfn.AGGREGATE(14,6,$C$12:C92,1),0)+1,
        IFERROR(
            VALUE(TRIM(MID(SUBSTITUTE(D93,"_",REPT(" ",LEN(D93))), (LEN(D93)-LEN(SUBSTITUTE(D93,"_",""))-1)*LEN(D93)+1, LEN(D93))))
            &amp; "." &amp;
            VALUE(TRIM(RIGHT(SUBSTITUTE(D93,"_",REPT(" ",LEN(D93))),LEN(D93)))),
            "")))</f>
        <v/>
      </c>
      <c r="D93" s="26"/>
      <c r="E93" s="25"/>
      <c r="F93" s="25"/>
      <c r="G93" s="25"/>
      <c r="H93" s="25"/>
      <c r="I93" s="33"/>
      <c r="J93" s="25"/>
      <c r="K93" s="25"/>
      <c r="L93" s="191"/>
      <c r="M93" s="25"/>
      <c r="N93" s="33"/>
      <c r="O93" s="195"/>
      <c r="P93" s="192" t="str">
        <f t="shared" si="32"/>
        <v/>
      </c>
      <c r="Q93" s="79" t="str">
        <f t="shared" si="33"/>
        <v/>
      </c>
      <c r="R93" s="171">
        <f t="shared" si="34"/>
        <v>0</v>
      </c>
      <c r="S93" s="84">
        <f t="shared" si="28"/>
        <v>0</v>
      </c>
      <c r="T93" s="193">
        <f t="shared" si="35"/>
        <v>0</v>
      </c>
      <c r="U93" s="194">
        <f t="shared" si="36"/>
        <v>0</v>
      </c>
      <c r="V93" s="69" t="str">
        <f t="shared" si="37"/>
        <v/>
      </c>
      <c r="W93" s="69" t="str">
        <f t="shared" si="38"/>
        <v/>
      </c>
      <c r="X93" s="271" t="str">
        <f t="shared" si="29"/>
        <v/>
      </c>
      <c r="Y93" s="214">
        <f t="shared" si="27"/>
        <v>0</v>
      </c>
      <c r="Z93" s="32"/>
    </row>
    <row r="94" spans="1:26" ht="30" hidden="1" customHeight="1">
      <c r="A94" s="70" t="str">
        <f t="shared" si="30"/>
        <v/>
      </c>
      <c r="B94" s="70" t="str">
        <f t="shared" si="31"/>
        <v/>
      </c>
      <c r="C94" s="190" t="str">
        <f>IF(D94="","",
    IF(ISERR(SEARCH("_",D94)),
        IFERROR(_xlfn.AGGREGATE(14,6,$C$12:C93,1),0)+1,
        IFERROR(
            VALUE(TRIM(MID(SUBSTITUTE(D94,"_",REPT(" ",LEN(D94))), (LEN(D94)-LEN(SUBSTITUTE(D94,"_",""))-1)*LEN(D94)+1, LEN(D94))))
            &amp; "." &amp;
            VALUE(TRIM(RIGHT(SUBSTITUTE(D94,"_",REPT(" ",LEN(D94))),LEN(D94)))),
            "")))</f>
        <v/>
      </c>
      <c r="D94" s="26"/>
      <c r="E94" s="25"/>
      <c r="F94" s="25"/>
      <c r="G94" s="25"/>
      <c r="H94" s="25"/>
      <c r="I94" s="33"/>
      <c r="J94" s="25"/>
      <c r="K94" s="25"/>
      <c r="L94" s="191"/>
      <c r="M94" s="25"/>
      <c r="N94" s="33"/>
      <c r="O94" s="195"/>
      <c r="P94" s="192" t="str">
        <f t="shared" si="32"/>
        <v/>
      </c>
      <c r="Q94" s="79" t="str">
        <f t="shared" si="33"/>
        <v/>
      </c>
      <c r="R94" s="171">
        <f t="shared" si="34"/>
        <v>0</v>
      </c>
      <c r="S94" s="84">
        <f t="shared" si="28"/>
        <v>0</v>
      </c>
      <c r="T94" s="193">
        <f t="shared" si="35"/>
        <v>0</v>
      </c>
      <c r="U94" s="194">
        <f t="shared" si="36"/>
        <v>0</v>
      </c>
      <c r="V94" s="69" t="str">
        <f t="shared" si="37"/>
        <v/>
      </c>
      <c r="W94" s="69" t="str">
        <f t="shared" si="38"/>
        <v/>
      </c>
      <c r="X94" s="271" t="str">
        <f t="shared" si="29"/>
        <v/>
      </c>
      <c r="Y94" s="214">
        <f t="shared" si="27"/>
        <v>0</v>
      </c>
      <c r="Z94" s="32"/>
    </row>
    <row r="95" spans="1:26" ht="30" hidden="1" customHeight="1">
      <c r="A95" s="70" t="str">
        <f t="shared" si="30"/>
        <v/>
      </c>
      <c r="B95" s="70" t="str">
        <f t="shared" si="31"/>
        <v/>
      </c>
      <c r="C95" s="190" t="str">
        <f>IF(D95="","",
    IF(ISERR(SEARCH("_",D95)),
        IFERROR(_xlfn.AGGREGATE(14,6,$C$12:C94,1),0)+1,
        IFERROR(
            VALUE(TRIM(MID(SUBSTITUTE(D95,"_",REPT(" ",LEN(D95))), (LEN(D95)-LEN(SUBSTITUTE(D95,"_",""))-1)*LEN(D95)+1, LEN(D95))))
            &amp; "." &amp;
            VALUE(TRIM(RIGHT(SUBSTITUTE(D95,"_",REPT(" ",LEN(D95))),LEN(D95)))),
            "")))</f>
        <v/>
      </c>
      <c r="D95" s="26"/>
      <c r="E95" s="25"/>
      <c r="F95" s="25"/>
      <c r="G95" s="25"/>
      <c r="H95" s="25"/>
      <c r="I95" s="33"/>
      <c r="J95" s="25"/>
      <c r="K95" s="25"/>
      <c r="L95" s="191"/>
      <c r="M95" s="25"/>
      <c r="N95" s="33"/>
      <c r="O95" s="195"/>
      <c r="P95" s="192" t="str">
        <f t="shared" si="32"/>
        <v/>
      </c>
      <c r="Q95" s="79" t="str">
        <f t="shared" si="33"/>
        <v/>
      </c>
      <c r="R95" s="171">
        <f t="shared" si="34"/>
        <v>0</v>
      </c>
      <c r="S95" s="84">
        <f t="shared" si="28"/>
        <v>0</v>
      </c>
      <c r="T95" s="193">
        <f t="shared" si="35"/>
        <v>0</v>
      </c>
      <c r="U95" s="194">
        <f t="shared" si="36"/>
        <v>0</v>
      </c>
      <c r="V95" s="69" t="str">
        <f t="shared" si="37"/>
        <v/>
      </c>
      <c r="W95" s="69" t="str">
        <f t="shared" si="38"/>
        <v/>
      </c>
      <c r="X95" s="271" t="str">
        <f t="shared" si="29"/>
        <v/>
      </c>
      <c r="Y95" s="214">
        <f t="shared" si="27"/>
        <v>0</v>
      </c>
      <c r="Z95" s="32"/>
    </row>
    <row r="96" spans="1:26" ht="30" hidden="1" customHeight="1">
      <c r="A96" s="70" t="str">
        <f t="shared" si="30"/>
        <v/>
      </c>
      <c r="B96" s="70" t="str">
        <f t="shared" si="31"/>
        <v/>
      </c>
      <c r="C96" s="190" t="str">
        <f>IF(D96="","",
    IF(ISERR(SEARCH("_",D96)),
        IFERROR(_xlfn.AGGREGATE(14,6,$C$12:C95,1),0)+1,
        IFERROR(
            VALUE(TRIM(MID(SUBSTITUTE(D96,"_",REPT(" ",LEN(D96))), (LEN(D96)-LEN(SUBSTITUTE(D96,"_",""))-1)*LEN(D96)+1, LEN(D96))))
            &amp; "." &amp;
            VALUE(TRIM(RIGHT(SUBSTITUTE(D96,"_",REPT(" ",LEN(D96))),LEN(D96)))),
            "")))</f>
        <v/>
      </c>
      <c r="D96" s="26"/>
      <c r="E96" s="25"/>
      <c r="F96" s="25"/>
      <c r="G96" s="25"/>
      <c r="H96" s="25"/>
      <c r="I96" s="33"/>
      <c r="J96" s="25"/>
      <c r="K96" s="25"/>
      <c r="L96" s="191"/>
      <c r="M96" s="25"/>
      <c r="N96" s="25"/>
      <c r="O96" s="195"/>
      <c r="P96" s="192" t="str">
        <f t="shared" si="32"/>
        <v/>
      </c>
      <c r="Q96" s="79" t="str">
        <f t="shared" si="33"/>
        <v/>
      </c>
      <c r="R96" s="171">
        <f t="shared" si="34"/>
        <v>0</v>
      </c>
      <c r="S96" s="84">
        <f t="shared" si="28"/>
        <v>0</v>
      </c>
      <c r="T96" s="193">
        <f t="shared" si="35"/>
        <v>0</v>
      </c>
      <c r="U96" s="194">
        <f t="shared" si="36"/>
        <v>0</v>
      </c>
      <c r="V96" s="69" t="str">
        <f t="shared" si="37"/>
        <v/>
      </c>
      <c r="W96" s="69" t="str">
        <f t="shared" si="38"/>
        <v/>
      </c>
      <c r="X96" s="271" t="str">
        <f t="shared" si="29"/>
        <v/>
      </c>
      <c r="Y96" s="214">
        <f t="shared" si="27"/>
        <v>0</v>
      </c>
      <c r="Z96" s="32"/>
    </row>
    <row r="97" spans="1:26" ht="30" hidden="1" customHeight="1">
      <c r="A97" s="70" t="str">
        <f t="shared" si="30"/>
        <v/>
      </c>
      <c r="B97" s="70" t="str">
        <f t="shared" si="31"/>
        <v/>
      </c>
      <c r="C97" s="190" t="str">
        <f>IF(D97="","",
    IF(ISERR(SEARCH("_",D97)),
        IFERROR(_xlfn.AGGREGATE(14,6,$C$12:C96,1),0)+1,
        IFERROR(
            VALUE(TRIM(MID(SUBSTITUTE(D97,"_",REPT(" ",LEN(D97))), (LEN(D97)-LEN(SUBSTITUTE(D97,"_",""))-1)*LEN(D97)+1, LEN(D97))))
            &amp; "." &amp;
            VALUE(TRIM(RIGHT(SUBSTITUTE(D97,"_",REPT(" ",LEN(D97))),LEN(D97)))),
            "")))</f>
        <v/>
      </c>
      <c r="D97" s="26"/>
      <c r="E97" s="25"/>
      <c r="F97" s="25"/>
      <c r="G97" s="25"/>
      <c r="H97" s="25"/>
      <c r="I97" s="33"/>
      <c r="J97" s="25"/>
      <c r="K97" s="25"/>
      <c r="L97" s="191"/>
      <c r="M97" s="25"/>
      <c r="N97" s="25"/>
      <c r="O97" s="195"/>
      <c r="P97" s="192" t="str">
        <f t="shared" si="32"/>
        <v/>
      </c>
      <c r="Q97" s="79" t="str">
        <f t="shared" si="33"/>
        <v/>
      </c>
      <c r="R97" s="171">
        <f t="shared" si="34"/>
        <v>0</v>
      </c>
      <c r="S97" s="84">
        <f t="shared" si="28"/>
        <v>0</v>
      </c>
      <c r="T97" s="193">
        <f t="shared" si="35"/>
        <v>0</v>
      </c>
      <c r="U97" s="194">
        <f t="shared" si="36"/>
        <v>0</v>
      </c>
      <c r="V97" s="69" t="str">
        <f t="shared" si="37"/>
        <v/>
      </c>
      <c r="W97" s="69" t="str">
        <f t="shared" si="38"/>
        <v/>
      </c>
      <c r="X97" s="271" t="str">
        <f t="shared" si="29"/>
        <v/>
      </c>
      <c r="Y97" s="214">
        <f t="shared" si="27"/>
        <v>0</v>
      </c>
      <c r="Z97" s="32"/>
    </row>
    <row r="98" spans="1:26" ht="30" hidden="1" customHeight="1">
      <c r="A98" s="70" t="str">
        <f t="shared" si="30"/>
        <v/>
      </c>
      <c r="B98" s="70" t="str">
        <f t="shared" si="31"/>
        <v/>
      </c>
      <c r="C98" s="190" t="str">
        <f>IF(D98="","",
    IF(ISERR(SEARCH("_",D98)),
        IFERROR(_xlfn.AGGREGATE(14,6,$C$12:C97,1),0)+1,
        IFERROR(
            VALUE(TRIM(MID(SUBSTITUTE(D98,"_",REPT(" ",LEN(D98))), (LEN(D98)-LEN(SUBSTITUTE(D98,"_",""))-1)*LEN(D98)+1, LEN(D98))))
            &amp; "." &amp;
            VALUE(TRIM(RIGHT(SUBSTITUTE(D98,"_",REPT(" ",LEN(D98))),LEN(D98)))),
            "")))</f>
        <v/>
      </c>
      <c r="D98" s="26"/>
      <c r="E98" s="25"/>
      <c r="F98" s="25"/>
      <c r="G98" s="25"/>
      <c r="H98" s="25"/>
      <c r="I98" s="33"/>
      <c r="J98" s="25"/>
      <c r="K98" s="25"/>
      <c r="L98" s="191"/>
      <c r="M98" s="25"/>
      <c r="N98" s="33"/>
      <c r="O98" s="195"/>
      <c r="P98" s="192" t="str">
        <f t="shared" si="32"/>
        <v/>
      </c>
      <c r="Q98" s="79" t="str">
        <f t="shared" si="33"/>
        <v/>
      </c>
      <c r="R98" s="171">
        <f t="shared" si="34"/>
        <v>0</v>
      </c>
      <c r="S98" s="84">
        <f t="shared" si="28"/>
        <v>0</v>
      </c>
      <c r="T98" s="193">
        <f t="shared" si="35"/>
        <v>0</v>
      </c>
      <c r="U98" s="194">
        <f t="shared" si="36"/>
        <v>0</v>
      </c>
      <c r="V98" s="69" t="str">
        <f t="shared" si="37"/>
        <v/>
      </c>
      <c r="W98" s="69" t="str">
        <f t="shared" si="38"/>
        <v/>
      </c>
      <c r="X98" s="271" t="str">
        <f t="shared" si="29"/>
        <v/>
      </c>
      <c r="Y98" s="214">
        <f t="shared" si="27"/>
        <v>0</v>
      </c>
      <c r="Z98" s="32"/>
    </row>
    <row r="99" spans="1:26" ht="30" hidden="1" customHeight="1">
      <c r="A99" s="70" t="str">
        <f t="shared" si="30"/>
        <v/>
      </c>
      <c r="B99" s="70" t="str">
        <f t="shared" si="31"/>
        <v/>
      </c>
      <c r="C99" s="190" t="str">
        <f>IF(D99="","",
    IF(ISERR(SEARCH("_",D99)),
        IFERROR(_xlfn.AGGREGATE(14,6,$C$12:C98,1),0)+1,
        IFERROR(
            VALUE(TRIM(MID(SUBSTITUTE(D99,"_",REPT(" ",LEN(D99))), (LEN(D99)-LEN(SUBSTITUTE(D99,"_",""))-1)*LEN(D99)+1, LEN(D99))))
            &amp; "." &amp;
            VALUE(TRIM(RIGHT(SUBSTITUTE(D99,"_",REPT(" ",LEN(D99))),LEN(D99)))),
            "")))</f>
        <v/>
      </c>
      <c r="D99" s="26"/>
      <c r="E99" s="25"/>
      <c r="F99" s="25"/>
      <c r="G99" s="25"/>
      <c r="H99" s="25"/>
      <c r="I99" s="33"/>
      <c r="J99" s="25"/>
      <c r="K99" s="25"/>
      <c r="L99" s="191"/>
      <c r="M99" s="25"/>
      <c r="N99" s="33"/>
      <c r="O99" s="195"/>
      <c r="P99" s="192" t="str">
        <f t="shared" si="32"/>
        <v/>
      </c>
      <c r="Q99" s="79" t="str">
        <f t="shared" si="33"/>
        <v/>
      </c>
      <c r="R99" s="171">
        <f t="shared" si="34"/>
        <v>0</v>
      </c>
      <c r="S99" s="84">
        <f t="shared" si="28"/>
        <v>0</v>
      </c>
      <c r="T99" s="193">
        <f t="shared" si="35"/>
        <v>0</v>
      </c>
      <c r="U99" s="194">
        <f t="shared" si="36"/>
        <v>0</v>
      </c>
      <c r="V99" s="69" t="str">
        <f t="shared" si="37"/>
        <v/>
      </c>
      <c r="W99" s="69" t="str">
        <f t="shared" si="38"/>
        <v/>
      </c>
      <c r="X99" s="271" t="str">
        <f t="shared" si="29"/>
        <v/>
      </c>
      <c r="Y99" s="214">
        <f t="shared" si="27"/>
        <v>0</v>
      </c>
      <c r="Z99" s="32"/>
    </row>
    <row r="100" spans="1:26" ht="30" hidden="1" customHeight="1">
      <c r="A100" s="70" t="str">
        <f t="shared" si="30"/>
        <v/>
      </c>
      <c r="B100" s="70" t="str">
        <f t="shared" si="31"/>
        <v/>
      </c>
      <c r="C100" s="190" t="str">
        <f>IF(D100="","",
    IF(ISERR(SEARCH("_",D100)),
        IFERROR(_xlfn.AGGREGATE(14,6,$C$12:C99,1),0)+1,
        IFERROR(
            VALUE(TRIM(MID(SUBSTITUTE(D100,"_",REPT(" ",LEN(D100))), (LEN(D100)-LEN(SUBSTITUTE(D100,"_",""))-1)*LEN(D100)+1, LEN(D100))))
            &amp; "." &amp;
            VALUE(TRIM(RIGHT(SUBSTITUTE(D100,"_",REPT(" ",LEN(D100))),LEN(D100)))),
            "")))</f>
        <v/>
      </c>
      <c r="D100" s="26"/>
      <c r="E100" s="25"/>
      <c r="F100" s="25"/>
      <c r="G100" s="25"/>
      <c r="H100" s="25"/>
      <c r="I100" s="33"/>
      <c r="J100" s="25"/>
      <c r="K100" s="25"/>
      <c r="L100" s="191"/>
      <c r="M100" s="25"/>
      <c r="N100" s="33"/>
      <c r="O100" s="195"/>
      <c r="P100" s="192" t="str">
        <f t="shared" si="32"/>
        <v/>
      </c>
      <c r="Q100" s="79" t="str">
        <f t="shared" si="33"/>
        <v/>
      </c>
      <c r="R100" s="171">
        <f t="shared" si="34"/>
        <v>0</v>
      </c>
      <c r="S100" s="84">
        <f t="shared" si="28"/>
        <v>0</v>
      </c>
      <c r="T100" s="193">
        <f t="shared" si="35"/>
        <v>0</v>
      </c>
      <c r="U100" s="194">
        <f t="shared" si="36"/>
        <v>0</v>
      </c>
      <c r="V100" s="69" t="str">
        <f t="shared" si="37"/>
        <v/>
      </c>
      <c r="W100" s="69" t="str">
        <f t="shared" si="38"/>
        <v/>
      </c>
      <c r="X100" s="271" t="str">
        <f t="shared" si="29"/>
        <v/>
      </c>
      <c r="Y100" s="214">
        <f t="shared" si="27"/>
        <v>0</v>
      </c>
      <c r="Z100" s="32"/>
    </row>
    <row r="101" spans="1:26" ht="30" hidden="1" customHeight="1">
      <c r="A101" s="70" t="str">
        <f t="shared" si="30"/>
        <v/>
      </c>
      <c r="B101" s="70" t="str">
        <f t="shared" si="31"/>
        <v/>
      </c>
      <c r="C101" s="190" t="str">
        <f>IF(D101="","",
    IF(ISERR(SEARCH("_",D101)),
        IFERROR(_xlfn.AGGREGATE(14,6,$C$12:C100,1),0)+1,
        IFERROR(
            VALUE(TRIM(MID(SUBSTITUTE(D101,"_",REPT(" ",LEN(D101))), (LEN(D101)-LEN(SUBSTITUTE(D101,"_",""))-1)*LEN(D101)+1, LEN(D101))))
            &amp; "." &amp;
            VALUE(TRIM(RIGHT(SUBSTITUTE(D101,"_",REPT(" ",LEN(D101))),LEN(D101)))),
            "")))</f>
        <v/>
      </c>
      <c r="D101" s="26"/>
      <c r="E101" s="25"/>
      <c r="F101" s="25"/>
      <c r="G101" s="25"/>
      <c r="H101" s="25"/>
      <c r="I101" s="33"/>
      <c r="J101" s="25"/>
      <c r="K101" s="25"/>
      <c r="L101" s="191"/>
      <c r="M101" s="25"/>
      <c r="N101" s="33"/>
      <c r="O101" s="195"/>
      <c r="P101" s="192" t="str">
        <f t="shared" si="32"/>
        <v/>
      </c>
      <c r="Q101" s="79" t="str">
        <f t="shared" si="33"/>
        <v/>
      </c>
      <c r="R101" s="171">
        <f t="shared" si="34"/>
        <v>0</v>
      </c>
      <c r="S101" s="84">
        <f t="shared" si="28"/>
        <v>0</v>
      </c>
      <c r="T101" s="193">
        <f t="shared" si="35"/>
        <v>0</v>
      </c>
      <c r="U101" s="194">
        <f t="shared" si="36"/>
        <v>0</v>
      </c>
      <c r="V101" s="69" t="str">
        <f t="shared" si="37"/>
        <v/>
      </c>
      <c r="W101" s="69" t="str">
        <f t="shared" si="38"/>
        <v/>
      </c>
      <c r="X101" s="271" t="str">
        <f t="shared" si="29"/>
        <v/>
      </c>
      <c r="Y101" s="214">
        <f t="shared" si="27"/>
        <v>0</v>
      </c>
      <c r="Z101" s="32"/>
    </row>
    <row r="102" spans="1:26" ht="30" hidden="1" customHeight="1">
      <c r="A102" s="70" t="str">
        <f t="shared" si="30"/>
        <v/>
      </c>
      <c r="B102" s="70" t="str">
        <f t="shared" si="31"/>
        <v/>
      </c>
      <c r="C102" s="190" t="str">
        <f>IF(D102="","",
    IF(ISERR(SEARCH("_",D102)),
        IFERROR(_xlfn.AGGREGATE(14,6,$C$12:C101,1),0)+1,
        IFERROR(
            VALUE(TRIM(MID(SUBSTITUTE(D102,"_",REPT(" ",LEN(D102))), (LEN(D102)-LEN(SUBSTITUTE(D102,"_",""))-1)*LEN(D102)+1, LEN(D102))))
            &amp; "." &amp;
            VALUE(TRIM(RIGHT(SUBSTITUTE(D102,"_",REPT(" ",LEN(D102))),LEN(D102)))),
            "")))</f>
        <v/>
      </c>
      <c r="D102" s="26"/>
      <c r="E102" s="25"/>
      <c r="F102" s="25"/>
      <c r="G102" s="25"/>
      <c r="H102" s="25"/>
      <c r="I102" s="33"/>
      <c r="J102" s="25"/>
      <c r="K102" s="25"/>
      <c r="L102" s="191"/>
      <c r="M102" s="25"/>
      <c r="N102" s="33"/>
      <c r="O102" s="195"/>
      <c r="P102" s="192" t="str">
        <f t="shared" si="32"/>
        <v/>
      </c>
      <c r="Q102" s="79" t="str">
        <f t="shared" si="33"/>
        <v/>
      </c>
      <c r="R102" s="171">
        <f t="shared" si="34"/>
        <v>0</v>
      </c>
      <c r="S102" s="84">
        <f t="shared" si="28"/>
        <v>0</v>
      </c>
      <c r="T102" s="193">
        <f t="shared" si="35"/>
        <v>0</v>
      </c>
      <c r="U102" s="194">
        <f t="shared" si="36"/>
        <v>0</v>
      </c>
      <c r="V102" s="69" t="str">
        <f t="shared" si="37"/>
        <v/>
      </c>
      <c r="W102" s="69" t="str">
        <f t="shared" si="38"/>
        <v/>
      </c>
      <c r="X102" s="271" t="str">
        <f t="shared" si="29"/>
        <v/>
      </c>
      <c r="Y102" s="214">
        <f t="shared" si="27"/>
        <v>0</v>
      </c>
      <c r="Z102" s="32"/>
    </row>
    <row r="103" spans="1:26" ht="30" hidden="1" customHeight="1">
      <c r="A103" s="70" t="str">
        <f t="shared" si="30"/>
        <v/>
      </c>
      <c r="B103" s="70" t="str">
        <f t="shared" si="31"/>
        <v/>
      </c>
      <c r="C103" s="190" t="str">
        <f>IF(D103="","",
    IF(ISERR(SEARCH("_",D103)),
        IFERROR(_xlfn.AGGREGATE(14,6,$C$12:C102,1),0)+1,
        IFERROR(
            VALUE(TRIM(MID(SUBSTITUTE(D103,"_",REPT(" ",LEN(D103))), (LEN(D103)-LEN(SUBSTITUTE(D103,"_",""))-1)*LEN(D103)+1, LEN(D103))))
            &amp; "." &amp;
            VALUE(TRIM(RIGHT(SUBSTITUTE(D103,"_",REPT(" ",LEN(D103))),LEN(D103)))),
            "")))</f>
        <v/>
      </c>
      <c r="D103" s="26"/>
      <c r="E103" s="25"/>
      <c r="F103" s="25"/>
      <c r="G103" s="25"/>
      <c r="H103" s="25"/>
      <c r="I103" s="33"/>
      <c r="J103" s="25"/>
      <c r="K103" s="25"/>
      <c r="L103" s="191"/>
      <c r="M103" s="25"/>
      <c r="N103" s="33"/>
      <c r="O103" s="195"/>
      <c r="P103" s="192" t="str">
        <f t="shared" si="32"/>
        <v/>
      </c>
      <c r="Q103" s="79" t="str">
        <f t="shared" si="33"/>
        <v/>
      </c>
      <c r="R103" s="171">
        <f t="shared" si="34"/>
        <v>0</v>
      </c>
      <c r="S103" s="84">
        <f t="shared" si="28"/>
        <v>0</v>
      </c>
      <c r="T103" s="193">
        <f t="shared" si="35"/>
        <v>0</v>
      </c>
      <c r="U103" s="194">
        <f t="shared" si="36"/>
        <v>0</v>
      </c>
      <c r="V103" s="69" t="str">
        <f t="shared" si="37"/>
        <v/>
      </c>
      <c r="W103" s="69" t="str">
        <f t="shared" si="38"/>
        <v/>
      </c>
      <c r="X103" s="271" t="str">
        <f t="shared" si="29"/>
        <v/>
      </c>
      <c r="Y103" s="214">
        <f t="shared" si="27"/>
        <v>0</v>
      </c>
      <c r="Z103" s="32"/>
    </row>
    <row r="104" spans="1:26" ht="30" hidden="1" customHeight="1">
      <c r="A104" s="70" t="str">
        <f t="shared" si="30"/>
        <v/>
      </c>
      <c r="B104" s="70" t="str">
        <f t="shared" si="31"/>
        <v/>
      </c>
      <c r="C104" s="190" t="str">
        <f>IF(D104="","",
    IF(ISERR(SEARCH("_",D104)),
        IFERROR(_xlfn.AGGREGATE(14,6,$C$12:C103,1),0)+1,
        IFERROR(
            VALUE(TRIM(MID(SUBSTITUTE(D104,"_",REPT(" ",LEN(D104))), (LEN(D104)-LEN(SUBSTITUTE(D104,"_",""))-1)*LEN(D104)+1, LEN(D104))))
            &amp; "." &amp;
            VALUE(TRIM(RIGHT(SUBSTITUTE(D104,"_",REPT(" ",LEN(D104))),LEN(D104)))),
            "")))</f>
        <v/>
      </c>
      <c r="D104" s="26"/>
      <c r="E104" s="25"/>
      <c r="F104" s="25"/>
      <c r="G104" s="25"/>
      <c r="H104" s="25"/>
      <c r="I104" s="33"/>
      <c r="J104" s="25"/>
      <c r="K104" s="25"/>
      <c r="L104" s="191"/>
      <c r="M104" s="25"/>
      <c r="N104" s="33"/>
      <c r="O104" s="195"/>
      <c r="P104" s="192" t="str">
        <f t="shared" si="32"/>
        <v/>
      </c>
      <c r="Q104" s="79" t="str">
        <f t="shared" si="33"/>
        <v/>
      </c>
      <c r="R104" s="171">
        <f t="shared" si="34"/>
        <v>0</v>
      </c>
      <c r="S104" s="84">
        <f t="shared" si="28"/>
        <v>0</v>
      </c>
      <c r="T104" s="193">
        <f t="shared" si="35"/>
        <v>0</v>
      </c>
      <c r="U104" s="194">
        <f t="shared" si="36"/>
        <v>0</v>
      </c>
      <c r="V104" s="69" t="str">
        <f t="shared" si="37"/>
        <v/>
      </c>
      <c r="W104" s="69" t="str">
        <f t="shared" si="38"/>
        <v/>
      </c>
      <c r="X104" s="271" t="str">
        <f t="shared" si="29"/>
        <v/>
      </c>
      <c r="Y104" s="214">
        <f t="shared" si="27"/>
        <v>0</v>
      </c>
      <c r="Z104" s="32"/>
    </row>
    <row r="105" spans="1:26" ht="30" hidden="1" customHeight="1">
      <c r="A105" s="70" t="str">
        <f t="shared" si="30"/>
        <v/>
      </c>
      <c r="B105" s="70" t="str">
        <f t="shared" si="31"/>
        <v/>
      </c>
      <c r="C105" s="190" t="str">
        <f>IF(D105="","",
    IF(ISERR(SEARCH("_",D105)),
        IFERROR(_xlfn.AGGREGATE(14,6,$C$12:C104,1),0)+1,
        IFERROR(
            VALUE(TRIM(MID(SUBSTITUTE(D105,"_",REPT(" ",LEN(D105))), (LEN(D105)-LEN(SUBSTITUTE(D105,"_",""))-1)*LEN(D105)+1, LEN(D105))))
            &amp; "." &amp;
            VALUE(TRIM(RIGHT(SUBSTITUTE(D105,"_",REPT(" ",LEN(D105))),LEN(D105)))),
            "")))</f>
        <v/>
      </c>
      <c r="D105" s="26"/>
      <c r="E105" s="25"/>
      <c r="F105" s="25"/>
      <c r="G105" s="25"/>
      <c r="H105" s="25"/>
      <c r="I105" s="33"/>
      <c r="J105" s="25"/>
      <c r="K105" s="25"/>
      <c r="L105" s="191"/>
      <c r="M105" s="25"/>
      <c r="N105" s="33"/>
      <c r="O105" s="195"/>
      <c r="P105" s="192" t="str">
        <f t="shared" si="32"/>
        <v/>
      </c>
      <c r="Q105" s="79" t="str">
        <f t="shared" si="33"/>
        <v/>
      </c>
      <c r="R105" s="171">
        <f t="shared" si="34"/>
        <v>0</v>
      </c>
      <c r="S105" s="84">
        <f t="shared" si="28"/>
        <v>0</v>
      </c>
      <c r="T105" s="193">
        <f t="shared" si="35"/>
        <v>0</v>
      </c>
      <c r="U105" s="194">
        <f t="shared" si="36"/>
        <v>0</v>
      </c>
      <c r="V105" s="69" t="str">
        <f t="shared" si="37"/>
        <v/>
      </c>
      <c r="W105" s="69" t="str">
        <f t="shared" si="38"/>
        <v/>
      </c>
      <c r="X105" s="271" t="str">
        <f t="shared" si="29"/>
        <v/>
      </c>
      <c r="Y105" s="214">
        <f t="shared" si="27"/>
        <v>0</v>
      </c>
      <c r="Z105" s="32"/>
    </row>
    <row r="106" spans="1:26" ht="30" hidden="1" customHeight="1">
      <c r="A106" s="70" t="str">
        <f t="shared" si="30"/>
        <v/>
      </c>
      <c r="B106" s="70" t="str">
        <f t="shared" si="31"/>
        <v/>
      </c>
      <c r="C106" s="190" t="str">
        <f>IF(D106="","",
    IF(ISERR(SEARCH("_",D106)),
        IFERROR(_xlfn.AGGREGATE(14,6,$C$12:C105,1),0)+1,
        IFERROR(
            VALUE(TRIM(MID(SUBSTITUTE(D106,"_",REPT(" ",LEN(D106))), (LEN(D106)-LEN(SUBSTITUTE(D106,"_",""))-1)*LEN(D106)+1, LEN(D106))))
            &amp; "." &amp;
            VALUE(TRIM(RIGHT(SUBSTITUTE(D106,"_",REPT(" ",LEN(D106))),LEN(D106)))),
            "")))</f>
        <v/>
      </c>
      <c r="D106" s="26"/>
      <c r="E106" s="25"/>
      <c r="F106" s="25"/>
      <c r="G106" s="25"/>
      <c r="H106" s="25"/>
      <c r="I106" s="33"/>
      <c r="J106" s="25"/>
      <c r="K106" s="25"/>
      <c r="L106" s="191"/>
      <c r="M106" s="25"/>
      <c r="N106" s="33"/>
      <c r="O106" s="195"/>
      <c r="P106" s="192" t="str">
        <f t="shared" si="32"/>
        <v/>
      </c>
      <c r="Q106" s="79" t="str">
        <f t="shared" si="33"/>
        <v/>
      </c>
      <c r="R106" s="171">
        <f t="shared" si="34"/>
        <v>0</v>
      </c>
      <c r="S106" s="84">
        <f t="shared" si="28"/>
        <v>0</v>
      </c>
      <c r="T106" s="193">
        <f t="shared" si="35"/>
        <v>0</v>
      </c>
      <c r="U106" s="194">
        <f t="shared" si="36"/>
        <v>0</v>
      </c>
      <c r="V106" s="69" t="str">
        <f t="shared" si="37"/>
        <v/>
      </c>
      <c r="W106" s="69" t="str">
        <f t="shared" si="38"/>
        <v/>
      </c>
      <c r="X106" s="271" t="str">
        <f t="shared" si="29"/>
        <v/>
      </c>
      <c r="Y106" s="214">
        <f t="shared" si="27"/>
        <v>0</v>
      </c>
      <c r="Z106" s="32"/>
    </row>
    <row r="107" spans="1:26" ht="30" hidden="1" customHeight="1">
      <c r="A107" s="70" t="str">
        <f t="shared" si="30"/>
        <v/>
      </c>
      <c r="B107" s="70" t="str">
        <f t="shared" si="31"/>
        <v/>
      </c>
      <c r="C107" s="190" t="str">
        <f>IF(D107="","",
    IF(ISERR(SEARCH("_",D107)),
        IFERROR(_xlfn.AGGREGATE(14,6,$C$12:C106,1),0)+1,
        IFERROR(
            VALUE(TRIM(MID(SUBSTITUTE(D107,"_",REPT(" ",LEN(D107))), (LEN(D107)-LEN(SUBSTITUTE(D107,"_",""))-1)*LEN(D107)+1, LEN(D107))))
            &amp; "." &amp;
            VALUE(TRIM(RIGHT(SUBSTITUTE(D107,"_",REPT(" ",LEN(D107))),LEN(D107)))),
            "")))</f>
        <v/>
      </c>
      <c r="D107" s="26"/>
      <c r="E107" s="25"/>
      <c r="F107" s="25"/>
      <c r="G107" s="25"/>
      <c r="H107" s="25"/>
      <c r="I107" s="33"/>
      <c r="J107" s="25"/>
      <c r="K107" s="25"/>
      <c r="L107" s="191"/>
      <c r="M107" s="25"/>
      <c r="N107" s="33"/>
      <c r="O107" s="195"/>
      <c r="P107" s="192" t="str">
        <f t="shared" si="32"/>
        <v/>
      </c>
      <c r="Q107" s="79" t="str">
        <f t="shared" si="33"/>
        <v/>
      </c>
      <c r="R107" s="171">
        <f t="shared" si="34"/>
        <v>0</v>
      </c>
      <c r="S107" s="84">
        <f t="shared" si="28"/>
        <v>0</v>
      </c>
      <c r="T107" s="193">
        <f t="shared" si="35"/>
        <v>0</v>
      </c>
      <c r="U107" s="194">
        <f t="shared" si="36"/>
        <v>0</v>
      </c>
      <c r="V107" s="69" t="str">
        <f t="shared" si="37"/>
        <v/>
      </c>
      <c r="W107" s="69" t="str">
        <f t="shared" si="38"/>
        <v/>
      </c>
      <c r="X107" s="271" t="str">
        <f t="shared" si="29"/>
        <v/>
      </c>
      <c r="Y107" s="214">
        <f t="shared" si="27"/>
        <v>0</v>
      </c>
      <c r="Z107" s="32"/>
    </row>
    <row r="108" spans="1:26" ht="30" hidden="1" customHeight="1">
      <c r="A108" s="70" t="str">
        <f t="shared" si="30"/>
        <v/>
      </c>
      <c r="B108" s="70" t="str">
        <f t="shared" si="31"/>
        <v/>
      </c>
      <c r="C108" s="190" t="str">
        <f>IF(D108="","",
    IF(ISERR(SEARCH("_",D108)),
        IFERROR(_xlfn.AGGREGATE(14,6,$C$12:C107,1),0)+1,
        IFERROR(
            VALUE(TRIM(MID(SUBSTITUTE(D108,"_",REPT(" ",LEN(D108))), (LEN(D108)-LEN(SUBSTITUTE(D108,"_",""))-1)*LEN(D108)+1, LEN(D108))))
            &amp; "." &amp;
            VALUE(TRIM(RIGHT(SUBSTITUTE(D108,"_",REPT(" ",LEN(D108))),LEN(D108)))),
            "")))</f>
        <v/>
      </c>
      <c r="D108" s="26"/>
      <c r="E108" s="25"/>
      <c r="F108" s="25"/>
      <c r="G108" s="25"/>
      <c r="H108" s="25"/>
      <c r="I108" s="33"/>
      <c r="J108" s="25"/>
      <c r="K108" s="25"/>
      <c r="L108" s="191"/>
      <c r="M108" s="25"/>
      <c r="N108" s="33"/>
      <c r="O108" s="195"/>
      <c r="P108" s="192" t="str">
        <f t="shared" si="32"/>
        <v/>
      </c>
      <c r="Q108" s="79" t="str">
        <f t="shared" si="33"/>
        <v/>
      </c>
      <c r="R108" s="171">
        <f t="shared" si="34"/>
        <v>0</v>
      </c>
      <c r="S108" s="84">
        <f t="shared" si="28"/>
        <v>0</v>
      </c>
      <c r="T108" s="193">
        <f t="shared" si="35"/>
        <v>0</v>
      </c>
      <c r="U108" s="194">
        <f t="shared" si="36"/>
        <v>0</v>
      </c>
      <c r="V108" s="69" t="str">
        <f t="shared" si="37"/>
        <v/>
      </c>
      <c r="W108" s="69" t="str">
        <f t="shared" si="38"/>
        <v/>
      </c>
      <c r="X108" s="271" t="str">
        <f t="shared" si="29"/>
        <v/>
      </c>
      <c r="Y108" s="214">
        <f t="shared" si="27"/>
        <v>0</v>
      </c>
      <c r="Z108" s="32"/>
    </row>
    <row r="109" spans="1:26" ht="30" hidden="1" customHeight="1">
      <c r="A109" s="70" t="str">
        <f t="shared" si="30"/>
        <v/>
      </c>
      <c r="B109" s="70" t="str">
        <f t="shared" si="31"/>
        <v/>
      </c>
      <c r="C109" s="190" t="str">
        <f>IF(D109="","",
    IF(ISERR(SEARCH("_",D109)),
        IFERROR(_xlfn.AGGREGATE(14,6,$C$12:C108,1),0)+1,
        IFERROR(
            VALUE(TRIM(MID(SUBSTITUTE(D109,"_",REPT(" ",LEN(D109))), (LEN(D109)-LEN(SUBSTITUTE(D109,"_",""))-1)*LEN(D109)+1, LEN(D109))))
            &amp; "." &amp;
            VALUE(TRIM(RIGHT(SUBSTITUTE(D109,"_",REPT(" ",LEN(D109))),LEN(D109)))),
            "")))</f>
        <v/>
      </c>
      <c r="D109" s="26"/>
      <c r="E109" s="25"/>
      <c r="F109" s="25"/>
      <c r="G109" s="25"/>
      <c r="H109" s="25"/>
      <c r="I109" s="33"/>
      <c r="J109" s="25"/>
      <c r="K109" s="25"/>
      <c r="L109" s="191"/>
      <c r="M109" s="25"/>
      <c r="N109" s="25"/>
      <c r="O109" s="195"/>
      <c r="P109" s="192" t="str">
        <f t="shared" si="32"/>
        <v/>
      </c>
      <c r="Q109" s="79" t="str">
        <f t="shared" si="33"/>
        <v/>
      </c>
      <c r="R109" s="171">
        <f t="shared" si="34"/>
        <v>0</v>
      </c>
      <c r="S109" s="84">
        <f t="shared" si="28"/>
        <v>0</v>
      </c>
      <c r="T109" s="193">
        <f t="shared" si="35"/>
        <v>0</v>
      </c>
      <c r="U109" s="194">
        <f t="shared" si="36"/>
        <v>0</v>
      </c>
      <c r="V109" s="69" t="str">
        <f t="shared" si="37"/>
        <v/>
      </c>
      <c r="W109" s="69" t="str">
        <f t="shared" si="38"/>
        <v/>
      </c>
      <c r="X109" s="271" t="str">
        <f t="shared" si="29"/>
        <v/>
      </c>
      <c r="Y109" s="214">
        <f t="shared" si="27"/>
        <v>0</v>
      </c>
      <c r="Z109" s="32"/>
    </row>
    <row r="110" spans="1:26" ht="30" hidden="1" customHeight="1">
      <c r="A110" s="70" t="str">
        <f t="shared" si="30"/>
        <v/>
      </c>
      <c r="B110" s="70" t="str">
        <f t="shared" si="31"/>
        <v/>
      </c>
      <c r="C110" s="190" t="str">
        <f>IF(D110="","",
    IF(ISERR(SEARCH("_",D110)),
        IFERROR(_xlfn.AGGREGATE(14,6,$C$12:C109,1),0)+1,
        IFERROR(
            VALUE(TRIM(MID(SUBSTITUTE(D110,"_",REPT(" ",LEN(D110))), (LEN(D110)-LEN(SUBSTITUTE(D110,"_",""))-1)*LEN(D110)+1, LEN(D110))))
            &amp; "." &amp;
            VALUE(TRIM(RIGHT(SUBSTITUTE(D110,"_",REPT(" ",LEN(D110))),LEN(D110)))),
            "")))</f>
        <v/>
      </c>
      <c r="D110" s="26"/>
      <c r="E110" s="25"/>
      <c r="F110" s="25"/>
      <c r="G110" s="25"/>
      <c r="H110" s="25"/>
      <c r="I110" s="33"/>
      <c r="J110" s="25"/>
      <c r="K110" s="25"/>
      <c r="L110" s="191"/>
      <c r="M110" s="25"/>
      <c r="N110" s="25"/>
      <c r="O110" s="195"/>
      <c r="P110" s="192" t="str">
        <f t="shared" si="32"/>
        <v/>
      </c>
      <c r="Q110" s="79" t="str">
        <f t="shared" si="33"/>
        <v/>
      </c>
      <c r="R110" s="171">
        <f t="shared" si="34"/>
        <v>0</v>
      </c>
      <c r="S110" s="84">
        <f t="shared" si="28"/>
        <v>0</v>
      </c>
      <c r="T110" s="193">
        <f t="shared" si="35"/>
        <v>0</v>
      </c>
      <c r="U110" s="194">
        <f t="shared" si="36"/>
        <v>0</v>
      </c>
      <c r="V110" s="69" t="str">
        <f t="shared" si="37"/>
        <v/>
      </c>
      <c r="W110" s="69" t="str">
        <f t="shared" si="38"/>
        <v/>
      </c>
      <c r="X110" s="271" t="str">
        <f t="shared" si="29"/>
        <v/>
      </c>
      <c r="Y110" s="214">
        <f t="shared" si="27"/>
        <v>0</v>
      </c>
      <c r="Z110" s="32"/>
    </row>
    <row r="111" spans="1:26" ht="30" hidden="1" customHeight="1">
      <c r="A111" s="70" t="str">
        <f t="shared" si="30"/>
        <v/>
      </c>
      <c r="B111" s="70" t="str">
        <f t="shared" si="31"/>
        <v/>
      </c>
      <c r="C111" s="190" t="str">
        <f>IF(D111="","",
    IF(ISERR(SEARCH("_",D111)),
        IFERROR(_xlfn.AGGREGATE(14,6,$C$12:C110,1),0)+1,
        IFERROR(
            VALUE(TRIM(MID(SUBSTITUTE(D111,"_",REPT(" ",LEN(D111))), (LEN(D111)-LEN(SUBSTITUTE(D111,"_",""))-1)*LEN(D111)+1, LEN(D111))))
            &amp; "." &amp;
            VALUE(TRIM(RIGHT(SUBSTITUTE(D111,"_",REPT(" ",LEN(D111))),LEN(D111)))),
            "")))</f>
        <v/>
      </c>
      <c r="D111" s="26"/>
      <c r="E111" s="25"/>
      <c r="F111" s="25"/>
      <c r="G111" s="25"/>
      <c r="H111" s="25"/>
      <c r="I111" s="33"/>
      <c r="J111" s="25"/>
      <c r="K111" s="25"/>
      <c r="L111" s="191"/>
      <c r="M111" s="25"/>
      <c r="N111" s="33"/>
      <c r="O111" s="195"/>
      <c r="P111" s="192" t="str">
        <f t="shared" si="32"/>
        <v/>
      </c>
      <c r="Q111" s="79" t="str">
        <f t="shared" si="33"/>
        <v/>
      </c>
      <c r="R111" s="171">
        <f t="shared" si="34"/>
        <v>0</v>
      </c>
      <c r="S111" s="84">
        <f t="shared" si="28"/>
        <v>0</v>
      </c>
      <c r="T111" s="193">
        <f t="shared" si="35"/>
        <v>0</v>
      </c>
      <c r="U111" s="194">
        <f t="shared" si="36"/>
        <v>0</v>
      </c>
      <c r="V111" s="69" t="str">
        <f t="shared" si="37"/>
        <v/>
      </c>
      <c r="W111" s="69" t="str">
        <f t="shared" si="38"/>
        <v/>
      </c>
      <c r="X111" s="271" t="str">
        <f t="shared" si="29"/>
        <v/>
      </c>
      <c r="Y111" s="214">
        <f t="shared" si="27"/>
        <v>0</v>
      </c>
      <c r="Z111" s="32"/>
    </row>
    <row r="112" spans="1:26" ht="30" hidden="1" customHeight="1">
      <c r="A112" s="70" t="str">
        <f t="shared" si="30"/>
        <v/>
      </c>
      <c r="B112" s="70" t="str">
        <f t="shared" si="31"/>
        <v/>
      </c>
      <c r="C112" s="190" t="str">
        <f>IF(D112="","",
    IF(ISERR(SEARCH("_",D112)),
        IFERROR(_xlfn.AGGREGATE(14,6,$C$12:C111,1),0)+1,
        IFERROR(
            VALUE(TRIM(MID(SUBSTITUTE(D112,"_",REPT(" ",LEN(D112))), (LEN(D112)-LEN(SUBSTITUTE(D112,"_",""))-1)*LEN(D112)+1, LEN(D112))))
            &amp; "." &amp;
            VALUE(TRIM(RIGHT(SUBSTITUTE(D112,"_",REPT(" ",LEN(D112))),LEN(D112)))),
            "")))</f>
        <v/>
      </c>
      <c r="D112" s="26"/>
      <c r="E112" s="25"/>
      <c r="F112" s="25"/>
      <c r="G112" s="25"/>
      <c r="H112" s="25"/>
      <c r="I112" s="33"/>
      <c r="J112" s="25"/>
      <c r="K112" s="25"/>
      <c r="L112" s="191"/>
      <c r="M112" s="25"/>
      <c r="N112" s="33"/>
      <c r="O112" s="195"/>
      <c r="P112" s="192" t="str">
        <f t="shared" si="32"/>
        <v/>
      </c>
      <c r="Q112" s="79" t="str">
        <f t="shared" si="33"/>
        <v/>
      </c>
      <c r="R112" s="171">
        <f t="shared" si="34"/>
        <v>0</v>
      </c>
      <c r="S112" s="84">
        <f t="shared" si="28"/>
        <v>0</v>
      </c>
      <c r="T112" s="193">
        <f t="shared" si="35"/>
        <v>0</v>
      </c>
      <c r="U112" s="194">
        <f t="shared" si="36"/>
        <v>0</v>
      </c>
      <c r="V112" s="69" t="str">
        <f t="shared" si="37"/>
        <v/>
      </c>
      <c r="W112" s="69" t="str">
        <f t="shared" si="38"/>
        <v/>
      </c>
      <c r="X112" s="271" t="str">
        <f t="shared" si="29"/>
        <v/>
      </c>
      <c r="Y112" s="214">
        <f t="shared" si="27"/>
        <v>0</v>
      </c>
      <c r="Z112" s="32"/>
    </row>
    <row r="113" spans="1:26" ht="30" hidden="1" customHeight="1">
      <c r="A113" s="70" t="str">
        <f t="shared" si="30"/>
        <v/>
      </c>
      <c r="B113" s="70" t="str">
        <f t="shared" si="31"/>
        <v/>
      </c>
      <c r="C113" s="190" t="str">
        <f>IF(D113="","",
    IF(ISERR(SEARCH("_",D113)),
        IFERROR(_xlfn.AGGREGATE(14,6,$C$12:C112,1),0)+1,
        IFERROR(
            VALUE(TRIM(MID(SUBSTITUTE(D113,"_",REPT(" ",LEN(D113))), (LEN(D113)-LEN(SUBSTITUTE(D113,"_",""))-1)*LEN(D113)+1, LEN(D113))))
            &amp; "." &amp;
            VALUE(TRIM(RIGHT(SUBSTITUTE(D113,"_",REPT(" ",LEN(D113))),LEN(D113)))),
            "")))</f>
        <v/>
      </c>
      <c r="D113" s="26"/>
      <c r="E113" s="25"/>
      <c r="F113" s="25"/>
      <c r="G113" s="25"/>
      <c r="H113" s="25"/>
      <c r="I113" s="33"/>
      <c r="J113" s="25"/>
      <c r="K113" s="25"/>
      <c r="L113" s="191"/>
      <c r="M113" s="25"/>
      <c r="N113" s="33"/>
      <c r="O113" s="195"/>
      <c r="P113" s="192" t="str">
        <f t="shared" si="32"/>
        <v/>
      </c>
      <c r="Q113" s="79" t="str">
        <f t="shared" si="33"/>
        <v/>
      </c>
      <c r="R113" s="171">
        <f t="shared" si="34"/>
        <v>0</v>
      </c>
      <c r="S113" s="84">
        <f t="shared" si="28"/>
        <v>0</v>
      </c>
      <c r="T113" s="193">
        <f t="shared" si="35"/>
        <v>0</v>
      </c>
      <c r="U113" s="194">
        <f t="shared" si="36"/>
        <v>0</v>
      </c>
      <c r="V113" s="69" t="str">
        <f t="shared" si="37"/>
        <v/>
      </c>
      <c r="W113" s="69" t="str">
        <f t="shared" si="38"/>
        <v/>
      </c>
      <c r="X113" s="271" t="str">
        <f t="shared" si="29"/>
        <v/>
      </c>
      <c r="Y113" s="214">
        <f t="shared" si="27"/>
        <v>0</v>
      </c>
      <c r="Z113" s="32"/>
    </row>
    <row r="114" spans="1:26" ht="30" hidden="1" customHeight="1">
      <c r="A114" s="70" t="str">
        <f t="shared" si="30"/>
        <v/>
      </c>
      <c r="B114" s="70" t="str">
        <f t="shared" si="31"/>
        <v/>
      </c>
      <c r="C114" s="190" t="str">
        <f>IF(D114="","",
    IF(ISERR(SEARCH("_",D114)),
        IFERROR(_xlfn.AGGREGATE(14,6,$C$12:C113,1),0)+1,
        IFERROR(
            VALUE(TRIM(MID(SUBSTITUTE(D114,"_",REPT(" ",LEN(D114))), (LEN(D114)-LEN(SUBSTITUTE(D114,"_",""))-1)*LEN(D114)+1, LEN(D114))))
            &amp; "." &amp;
            VALUE(TRIM(RIGHT(SUBSTITUTE(D114,"_",REPT(" ",LEN(D114))),LEN(D114)))),
            "")))</f>
        <v/>
      </c>
      <c r="D114" s="26"/>
      <c r="E114" s="25"/>
      <c r="F114" s="25"/>
      <c r="G114" s="25"/>
      <c r="H114" s="25"/>
      <c r="I114" s="33"/>
      <c r="J114" s="25"/>
      <c r="K114" s="25"/>
      <c r="L114" s="191"/>
      <c r="M114" s="25"/>
      <c r="N114" s="33"/>
      <c r="O114" s="195"/>
      <c r="P114" s="192" t="str">
        <f t="shared" si="32"/>
        <v/>
      </c>
      <c r="Q114" s="79" t="str">
        <f t="shared" si="33"/>
        <v/>
      </c>
      <c r="R114" s="171">
        <f t="shared" si="34"/>
        <v>0</v>
      </c>
      <c r="S114" s="84">
        <f t="shared" si="28"/>
        <v>0</v>
      </c>
      <c r="T114" s="193">
        <f t="shared" si="35"/>
        <v>0</v>
      </c>
      <c r="U114" s="194">
        <f t="shared" si="36"/>
        <v>0</v>
      </c>
      <c r="V114" s="69" t="str">
        <f t="shared" si="37"/>
        <v/>
      </c>
      <c r="W114" s="69" t="str">
        <f t="shared" si="38"/>
        <v/>
      </c>
      <c r="X114" s="271" t="str">
        <f t="shared" si="29"/>
        <v/>
      </c>
      <c r="Y114" s="214">
        <f t="shared" si="27"/>
        <v>0</v>
      </c>
      <c r="Z114" s="32"/>
    </row>
    <row r="115" spans="1:26" ht="30" hidden="1" customHeight="1">
      <c r="A115" s="70" t="str">
        <f t="shared" si="30"/>
        <v/>
      </c>
      <c r="B115" s="70" t="str">
        <f t="shared" si="31"/>
        <v/>
      </c>
      <c r="C115" s="190" t="str">
        <f>IF(D115="","",
    IF(ISERR(SEARCH("_",D115)),
        IFERROR(_xlfn.AGGREGATE(14,6,$C$12:C114,1),0)+1,
        IFERROR(
            VALUE(TRIM(MID(SUBSTITUTE(D115,"_",REPT(" ",LEN(D115))), (LEN(D115)-LEN(SUBSTITUTE(D115,"_",""))-1)*LEN(D115)+1, LEN(D115))))
            &amp; "." &amp;
            VALUE(TRIM(RIGHT(SUBSTITUTE(D115,"_",REPT(" ",LEN(D115))),LEN(D115)))),
            "")))</f>
        <v/>
      </c>
      <c r="D115" s="26"/>
      <c r="E115" s="25"/>
      <c r="F115" s="25"/>
      <c r="G115" s="25"/>
      <c r="H115" s="25"/>
      <c r="I115" s="33"/>
      <c r="J115" s="25"/>
      <c r="K115" s="25"/>
      <c r="L115" s="191"/>
      <c r="M115" s="25"/>
      <c r="N115" s="33"/>
      <c r="O115" s="195"/>
      <c r="P115" s="192" t="str">
        <f t="shared" si="32"/>
        <v/>
      </c>
      <c r="Q115" s="79" t="str">
        <f t="shared" si="33"/>
        <v/>
      </c>
      <c r="R115" s="171">
        <f t="shared" si="34"/>
        <v>0</v>
      </c>
      <c r="S115" s="84">
        <f t="shared" si="28"/>
        <v>0</v>
      </c>
      <c r="T115" s="193">
        <f t="shared" si="35"/>
        <v>0</v>
      </c>
      <c r="U115" s="194">
        <f t="shared" si="36"/>
        <v>0</v>
      </c>
      <c r="V115" s="69" t="str">
        <f t="shared" si="37"/>
        <v/>
      </c>
      <c r="W115" s="69" t="str">
        <f t="shared" si="38"/>
        <v/>
      </c>
      <c r="X115" s="271" t="str">
        <f t="shared" si="29"/>
        <v/>
      </c>
      <c r="Y115" s="214">
        <f t="shared" si="27"/>
        <v>0</v>
      </c>
      <c r="Z115" s="32"/>
    </row>
    <row r="116" spans="1:26" ht="30" hidden="1" customHeight="1">
      <c r="A116" s="70" t="str">
        <f t="shared" si="30"/>
        <v/>
      </c>
      <c r="B116" s="70" t="str">
        <f t="shared" si="31"/>
        <v/>
      </c>
      <c r="C116" s="190" t="str">
        <f>IF(D116="","",
    IF(ISERR(SEARCH("_",D116)),
        IFERROR(_xlfn.AGGREGATE(14,6,$C$12:C115,1),0)+1,
        IFERROR(
            VALUE(TRIM(MID(SUBSTITUTE(D116,"_",REPT(" ",LEN(D116))), (LEN(D116)-LEN(SUBSTITUTE(D116,"_",""))-1)*LEN(D116)+1, LEN(D116))))
            &amp; "." &amp;
            VALUE(TRIM(RIGHT(SUBSTITUTE(D116,"_",REPT(" ",LEN(D116))),LEN(D116)))),
            "")))</f>
        <v/>
      </c>
      <c r="D116" s="26"/>
      <c r="E116" s="25"/>
      <c r="F116" s="25"/>
      <c r="G116" s="25"/>
      <c r="H116" s="25"/>
      <c r="I116" s="33"/>
      <c r="J116" s="25"/>
      <c r="K116" s="25"/>
      <c r="L116" s="191"/>
      <c r="M116" s="25"/>
      <c r="N116" s="33"/>
      <c r="O116" s="195"/>
      <c r="P116" s="192" t="str">
        <f t="shared" si="32"/>
        <v/>
      </c>
      <c r="Q116" s="79" t="str">
        <f t="shared" si="33"/>
        <v/>
      </c>
      <c r="R116" s="171">
        <f t="shared" si="34"/>
        <v>0</v>
      </c>
      <c r="S116" s="84">
        <f t="shared" si="28"/>
        <v>0</v>
      </c>
      <c r="T116" s="193">
        <f t="shared" si="35"/>
        <v>0</v>
      </c>
      <c r="U116" s="194">
        <f t="shared" si="36"/>
        <v>0</v>
      </c>
      <c r="V116" s="69" t="str">
        <f t="shared" si="37"/>
        <v/>
      </c>
      <c r="W116" s="69" t="str">
        <f t="shared" si="38"/>
        <v/>
      </c>
      <c r="X116" s="271" t="str">
        <f t="shared" si="29"/>
        <v/>
      </c>
      <c r="Y116" s="214">
        <f t="shared" si="27"/>
        <v>0</v>
      </c>
      <c r="Z116" s="32"/>
    </row>
    <row r="117" spans="1:26" ht="30" hidden="1" customHeight="1">
      <c r="A117" s="70" t="str">
        <f t="shared" si="30"/>
        <v/>
      </c>
      <c r="B117" s="70" t="str">
        <f t="shared" si="31"/>
        <v/>
      </c>
      <c r="C117" s="190" t="str">
        <f>IF(D117="","",
    IF(ISERR(SEARCH("_",D117)),
        IFERROR(_xlfn.AGGREGATE(14,6,$C$12:C116,1),0)+1,
        IFERROR(
            VALUE(TRIM(MID(SUBSTITUTE(D117,"_",REPT(" ",LEN(D117))), (LEN(D117)-LEN(SUBSTITUTE(D117,"_",""))-1)*LEN(D117)+1, LEN(D117))))
            &amp; "." &amp;
            VALUE(TRIM(RIGHT(SUBSTITUTE(D117,"_",REPT(" ",LEN(D117))),LEN(D117)))),
            "")))</f>
        <v/>
      </c>
      <c r="D117" s="26"/>
      <c r="E117" s="25"/>
      <c r="F117" s="25"/>
      <c r="G117" s="25"/>
      <c r="H117" s="25"/>
      <c r="I117" s="33"/>
      <c r="J117" s="25"/>
      <c r="K117" s="25"/>
      <c r="L117" s="191"/>
      <c r="M117" s="25"/>
      <c r="N117" s="33"/>
      <c r="O117" s="195"/>
      <c r="P117" s="192" t="str">
        <f t="shared" si="32"/>
        <v/>
      </c>
      <c r="Q117" s="79" t="str">
        <f t="shared" si="33"/>
        <v/>
      </c>
      <c r="R117" s="171">
        <f t="shared" si="34"/>
        <v>0</v>
      </c>
      <c r="S117" s="84">
        <f t="shared" si="28"/>
        <v>0</v>
      </c>
      <c r="T117" s="193">
        <f t="shared" si="35"/>
        <v>0</v>
      </c>
      <c r="U117" s="194">
        <f t="shared" si="36"/>
        <v>0</v>
      </c>
      <c r="V117" s="69" t="str">
        <f t="shared" si="37"/>
        <v/>
      </c>
      <c r="W117" s="69" t="str">
        <f t="shared" si="38"/>
        <v/>
      </c>
      <c r="X117" s="271" t="str">
        <f t="shared" si="29"/>
        <v/>
      </c>
      <c r="Y117" s="214">
        <f t="shared" si="27"/>
        <v>0</v>
      </c>
      <c r="Z117" s="32"/>
    </row>
    <row r="118" spans="1:26" ht="30" hidden="1" customHeight="1">
      <c r="A118" s="70" t="str">
        <f t="shared" si="30"/>
        <v/>
      </c>
      <c r="B118" s="70" t="str">
        <f t="shared" si="31"/>
        <v/>
      </c>
      <c r="C118" s="190" t="str">
        <f>IF(D118="","",
    IF(ISERR(SEARCH("_",D118)),
        IFERROR(_xlfn.AGGREGATE(14,6,$C$12:C117,1),0)+1,
        IFERROR(
            VALUE(TRIM(MID(SUBSTITUTE(D118,"_",REPT(" ",LEN(D118))), (LEN(D118)-LEN(SUBSTITUTE(D118,"_",""))-1)*LEN(D118)+1, LEN(D118))))
            &amp; "." &amp;
            VALUE(TRIM(RIGHT(SUBSTITUTE(D118,"_",REPT(" ",LEN(D118))),LEN(D118)))),
            "")))</f>
        <v/>
      </c>
      <c r="D118" s="26"/>
      <c r="E118" s="25"/>
      <c r="F118" s="25"/>
      <c r="G118" s="25"/>
      <c r="H118" s="25"/>
      <c r="I118" s="33"/>
      <c r="J118" s="25"/>
      <c r="K118" s="25"/>
      <c r="L118" s="191"/>
      <c r="M118" s="25"/>
      <c r="N118" s="33"/>
      <c r="O118" s="195"/>
      <c r="P118" s="192" t="str">
        <f t="shared" si="32"/>
        <v/>
      </c>
      <c r="Q118" s="79" t="str">
        <f t="shared" si="33"/>
        <v/>
      </c>
      <c r="R118" s="171">
        <f t="shared" si="34"/>
        <v>0</v>
      </c>
      <c r="S118" s="84">
        <f t="shared" si="28"/>
        <v>0</v>
      </c>
      <c r="T118" s="193">
        <f t="shared" si="35"/>
        <v>0</v>
      </c>
      <c r="U118" s="194">
        <f t="shared" si="36"/>
        <v>0</v>
      </c>
      <c r="V118" s="69" t="str">
        <f t="shared" si="37"/>
        <v/>
      </c>
      <c r="W118" s="69" t="str">
        <f t="shared" si="38"/>
        <v/>
      </c>
      <c r="X118" s="271" t="str">
        <f t="shared" si="29"/>
        <v/>
      </c>
      <c r="Y118" s="214">
        <f t="shared" si="27"/>
        <v>0</v>
      </c>
      <c r="Z118" s="32"/>
    </row>
    <row r="119" spans="1:26" ht="30" hidden="1" customHeight="1">
      <c r="A119" s="70" t="str">
        <f t="shared" si="30"/>
        <v/>
      </c>
      <c r="B119" s="70" t="str">
        <f t="shared" si="31"/>
        <v/>
      </c>
      <c r="C119" s="190" t="str">
        <f>IF(D119="","",
    IF(ISERR(SEARCH("_",D119)),
        IFERROR(_xlfn.AGGREGATE(14,6,$C$12:C118,1),0)+1,
        IFERROR(
            VALUE(TRIM(MID(SUBSTITUTE(D119,"_",REPT(" ",LEN(D119))), (LEN(D119)-LEN(SUBSTITUTE(D119,"_",""))-1)*LEN(D119)+1, LEN(D119))))
            &amp; "." &amp;
            VALUE(TRIM(RIGHT(SUBSTITUTE(D119,"_",REPT(" ",LEN(D119))),LEN(D119)))),
            "")))</f>
        <v/>
      </c>
      <c r="D119" s="26"/>
      <c r="E119" s="25"/>
      <c r="F119" s="25"/>
      <c r="G119" s="25"/>
      <c r="H119" s="25"/>
      <c r="I119" s="33"/>
      <c r="J119" s="25"/>
      <c r="K119" s="25"/>
      <c r="L119" s="191"/>
      <c r="M119" s="25"/>
      <c r="N119" s="33"/>
      <c r="O119" s="195"/>
      <c r="P119" s="192" t="str">
        <f t="shared" si="32"/>
        <v/>
      </c>
      <c r="Q119" s="79" t="str">
        <f t="shared" si="33"/>
        <v/>
      </c>
      <c r="R119" s="171">
        <f t="shared" si="34"/>
        <v>0</v>
      </c>
      <c r="S119" s="84">
        <f t="shared" si="28"/>
        <v>0</v>
      </c>
      <c r="T119" s="193">
        <f t="shared" si="35"/>
        <v>0</v>
      </c>
      <c r="U119" s="194">
        <f t="shared" si="36"/>
        <v>0</v>
      </c>
      <c r="V119" s="69" t="str">
        <f t="shared" si="37"/>
        <v/>
      </c>
      <c r="W119" s="69" t="str">
        <f t="shared" si="38"/>
        <v/>
      </c>
      <c r="X119" s="271" t="str">
        <f t="shared" si="29"/>
        <v/>
      </c>
      <c r="Y119" s="214">
        <f t="shared" si="27"/>
        <v>0</v>
      </c>
      <c r="Z119" s="32"/>
    </row>
    <row r="120" spans="1:26" ht="30" hidden="1" customHeight="1">
      <c r="A120" s="70" t="str">
        <f t="shared" si="30"/>
        <v/>
      </c>
      <c r="B120" s="70" t="str">
        <f t="shared" si="31"/>
        <v/>
      </c>
      <c r="C120" s="190" t="str">
        <f>IF(D120="","",
    IF(ISERR(SEARCH("_",D120)),
        IFERROR(_xlfn.AGGREGATE(14,6,$C$12:C119,1),0)+1,
        IFERROR(
            VALUE(TRIM(MID(SUBSTITUTE(D120,"_",REPT(" ",LEN(D120))), (LEN(D120)-LEN(SUBSTITUTE(D120,"_",""))-1)*LEN(D120)+1, LEN(D120))))
            &amp; "." &amp;
            VALUE(TRIM(RIGHT(SUBSTITUTE(D120,"_",REPT(" ",LEN(D120))),LEN(D120)))),
            "")))</f>
        <v/>
      </c>
      <c r="D120" s="26"/>
      <c r="E120" s="25"/>
      <c r="F120" s="25"/>
      <c r="G120" s="25"/>
      <c r="H120" s="25"/>
      <c r="I120" s="33"/>
      <c r="J120" s="25"/>
      <c r="K120" s="25"/>
      <c r="L120" s="191"/>
      <c r="M120" s="25"/>
      <c r="N120" s="33"/>
      <c r="O120" s="195"/>
      <c r="P120" s="192" t="str">
        <f t="shared" si="32"/>
        <v/>
      </c>
      <c r="Q120" s="79" t="str">
        <f t="shared" si="33"/>
        <v/>
      </c>
      <c r="R120" s="171">
        <f t="shared" si="34"/>
        <v>0</v>
      </c>
      <c r="S120" s="84">
        <f t="shared" si="28"/>
        <v>0</v>
      </c>
      <c r="T120" s="193">
        <f t="shared" si="35"/>
        <v>0</v>
      </c>
      <c r="U120" s="194">
        <f t="shared" si="36"/>
        <v>0</v>
      </c>
      <c r="V120" s="69" t="str">
        <f t="shared" si="37"/>
        <v/>
      </c>
      <c r="W120" s="69" t="str">
        <f t="shared" si="38"/>
        <v/>
      </c>
      <c r="X120" s="271" t="str">
        <f t="shared" si="29"/>
        <v/>
      </c>
      <c r="Y120" s="214">
        <f t="shared" si="27"/>
        <v>0</v>
      </c>
      <c r="Z120" s="32"/>
    </row>
    <row r="121" spans="1:26" ht="30" hidden="1" customHeight="1">
      <c r="A121" s="70" t="str">
        <f t="shared" si="30"/>
        <v/>
      </c>
      <c r="B121" s="70" t="str">
        <f t="shared" si="31"/>
        <v/>
      </c>
      <c r="C121" s="190" t="str">
        <f>IF(D121="","",
    IF(ISERR(SEARCH("_",D121)),
        IFERROR(_xlfn.AGGREGATE(14,6,$C$12:C120,1),0)+1,
        IFERROR(
            VALUE(TRIM(MID(SUBSTITUTE(D121,"_",REPT(" ",LEN(D121))), (LEN(D121)-LEN(SUBSTITUTE(D121,"_",""))-1)*LEN(D121)+1, LEN(D121))))
            &amp; "." &amp;
            VALUE(TRIM(RIGHT(SUBSTITUTE(D121,"_",REPT(" ",LEN(D121))),LEN(D121)))),
            "")))</f>
        <v/>
      </c>
      <c r="D121" s="26"/>
      <c r="E121" s="25"/>
      <c r="F121" s="25"/>
      <c r="G121" s="25"/>
      <c r="H121" s="25"/>
      <c r="I121" s="33"/>
      <c r="J121" s="25"/>
      <c r="K121" s="25"/>
      <c r="L121" s="191"/>
      <c r="M121" s="25"/>
      <c r="N121" s="33"/>
      <c r="O121" s="195"/>
      <c r="P121" s="192" t="str">
        <f t="shared" si="32"/>
        <v/>
      </c>
      <c r="Q121" s="79" t="str">
        <f t="shared" si="33"/>
        <v/>
      </c>
      <c r="R121" s="171">
        <f t="shared" si="34"/>
        <v>0</v>
      </c>
      <c r="S121" s="84">
        <f t="shared" si="28"/>
        <v>0</v>
      </c>
      <c r="T121" s="193">
        <f t="shared" si="35"/>
        <v>0</v>
      </c>
      <c r="U121" s="194">
        <f t="shared" si="36"/>
        <v>0</v>
      </c>
      <c r="V121" s="69" t="str">
        <f t="shared" si="37"/>
        <v/>
      </c>
      <c r="W121" s="69" t="str">
        <f t="shared" si="38"/>
        <v/>
      </c>
      <c r="X121" s="271" t="str">
        <f t="shared" si="29"/>
        <v/>
      </c>
      <c r="Y121" s="214">
        <f t="shared" si="27"/>
        <v>0</v>
      </c>
      <c r="Z121" s="32"/>
    </row>
    <row r="122" spans="1:26" ht="30" hidden="1" customHeight="1">
      <c r="A122" s="70" t="str">
        <f t="shared" si="30"/>
        <v/>
      </c>
      <c r="B122" s="70" t="str">
        <f t="shared" si="31"/>
        <v/>
      </c>
      <c r="C122" s="190" t="str">
        <f>IF(D122="","",
    IF(ISERR(SEARCH("_",D122)),
        IFERROR(_xlfn.AGGREGATE(14,6,$C$12:C121,1),0)+1,
        IFERROR(
            VALUE(TRIM(MID(SUBSTITUTE(D122,"_",REPT(" ",LEN(D122))), (LEN(D122)-LEN(SUBSTITUTE(D122,"_",""))-1)*LEN(D122)+1, LEN(D122))))
            &amp; "." &amp;
            VALUE(TRIM(RIGHT(SUBSTITUTE(D122,"_",REPT(" ",LEN(D122))),LEN(D122)))),
            "")))</f>
        <v/>
      </c>
      <c r="D122" s="26"/>
      <c r="E122" s="25"/>
      <c r="F122" s="25"/>
      <c r="G122" s="25"/>
      <c r="H122" s="25"/>
      <c r="I122" s="33"/>
      <c r="J122" s="25"/>
      <c r="K122" s="25"/>
      <c r="L122" s="191"/>
      <c r="M122" s="25"/>
      <c r="N122" s="33"/>
      <c r="O122" s="195"/>
      <c r="P122" s="192" t="str">
        <f t="shared" si="32"/>
        <v/>
      </c>
      <c r="Q122" s="79" t="str">
        <f t="shared" si="33"/>
        <v/>
      </c>
      <c r="R122" s="171">
        <f t="shared" si="34"/>
        <v>0</v>
      </c>
      <c r="S122" s="84">
        <f t="shared" si="28"/>
        <v>0</v>
      </c>
      <c r="T122" s="193">
        <f t="shared" si="35"/>
        <v>0</v>
      </c>
      <c r="U122" s="194">
        <f t="shared" si="36"/>
        <v>0</v>
      </c>
      <c r="V122" s="69" t="str">
        <f t="shared" si="37"/>
        <v/>
      </c>
      <c r="W122" s="69" t="str">
        <f t="shared" si="38"/>
        <v/>
      </c>
      <c r="X122" s="271" t="str">
        <f t="shared" si="29"/>
        <v/>
      </c>
      <c r="Y122" s="214">
        <f t="shared" si="27"/>
        <v>0</v>
      </c>
      <c r="Z122" s="32"/>
    </row>
    <row r="123" spans="1:26" ht="30" hidden="1" customHeight="1">
      <c r="A123" s="70" t="str">
        <f t="shared" si="30"/>
        <v/>
      </c>
      <c r="B123" s="70" t="str">
        <f t="shared" si="31"/>
        <v/>
      </c>
      <c r="C123" s="190" t="str">
        <f>IF(D123="","",
    IF(ISERR(SEARCH("_",D123)),
        IFERROR(_xlfn.AGGREGATE(14,6,$C$12:C122,1),0)+1,
        IFERROR(
            VALUE(TRIM(MID(SUBSTITUTE(D123,"_",REPT(" ",LEN(D123))), (LEN(D123)-LEN(SUBSTITUTE(D123,"_",""))-1)*LEN(D123)+1, LEN(D123))))
            &amp; "." &amp;
            VALUE(TRIM(RIGHT(SUBSTITUTE(D123,"_",REPT(" ",LEN(D123))),LEN(D123)))),
            "")))</f>
        <v/>
      </c>
      <c r="D123" s="26"/>
      <c r="E123" s="25"/>
      <c r="F123" s="25"/>
      <c r="G123" s="25"/>
      <c r="H123" s="25"/>
      <c r="I123" s="33"/>
      <c r="J123" s="25"/>
      <c r="K123" s="25"/>
      <c r="L123" s="191"/>
      <c r="M123" s="25"/>
      <c r="N123" s="33"/>
      <c r="O123" s="195"/>
      <c r="P123" s="192" t="str">
        <f t="shared" si="32"/>
        <v/>
      </c>
      <c r="Q123" s="79" t="str">
        <f t="shared" si="33"/>
        <v/>
      </c>
      <c r="R123" s="171">
        <f t="shared" si="34"/>
        <v>0</v>
      </c>
      <c r="S123" s="84">
        <f t="shared" si="28"/>
        <v>0</v>
      </c>
      <c r="T123" s="193">
        <f t="shared" si="35"/>
        <v>0</v>
      </c>
      <c r="U123" s="194">
        <f t="shared" si="36"/>
        <v>0</v>
      </c>
      <c r="V123" s="69" t="str">
        <f t="shared" si="37"/>
        <v/>
      </c>
      <c r="W123" s="69" t="str">
        <f t="shared" si="38"/>
        <v/>
      </c>
      <c r="X123" s="271" t="str">
        <f t="shared" si="29"/>
        <v/>
      </c>
      <c r="Y123" s="214">
        <f t="shared" si="27"/>
        <v>0</v>
      </c>
      <c r="Z123" s="32"/>
    </row>
    <row r="124" spans="1:26" ht="30" hidden="1" customHeight="1">
      <c r="A124" s="70" t="str">
        <f t="shared" si="30"/>
        <v/>
      </c>
      <c r="B124" s="70" t="str">
        <f t="shared" si="31"/>
        <v/>
      </c>
      <c r="C124" s="190" t="str">
        <f>IF(D124="","",
    IF(ISERR(SEARCH("_",D124)),
        IFERROR(_xlfn.AGGREGATE(14,6,$C$12:C123,1),0)+1,
        IFERROR(
            VALUE(TRIM(MID(SUBSTITUTE(D124,"_",REPT(" ",LEN(D124))), (LEN(D124)-LEN(SUBSTITUTE(D124,"_",""))-1)*LEN(D124)+1, LEN(D124))))
            &amp; "." &amp;
            VALUE(TRIM(RIGHT(SUBSTITUTE(D124,"_",REPT(" ",LEN(D124))),LEN(D124)))),
            "")))</f>
        <v/>
      </c>
      <c r="D124" s="26"/>
      <c r="E124" s="25"/>
      <c r="F124" s="25"/>
      <c r="G124" s="25"/>
      <c r="H124" s="25"/>
      <c r="I124" s="33"/>
      <c r="J124" s="25"/>
      <c r="K124" s="25"/>
      <c r="L124" s="191"/>
      <c r="M124" s="25"/>
      <c r="N124" s="33"/>
      <c r="O124" s="195"/>
      <c r="P124" s="192" t="str">
        <f t="shared" si="32"/>
        <v/>
      </c>
      <c r="Q124" s="79" t="str">
        <f t="shared" si="33"/>
        <v/>
      </c>
      <c r="R124" s="171">
        <f t="shared" si="34"/>
        <v>0</v>
      </c>
      <c r="S124" s="84">
        <f t="shared" si="28"/>
        <v>0</v>
      </c>
      <c r="T124" s="193">
        <f t="shared" si="35"/>
        <v>0</v>
      </c>
      <c r="U124" s="194">
        <f t="shared" si="36"/>
        <v>0</v>
      </c>
      <c r="V124" s="69" t="str">
        <f t="shared" si="37"/>
        <v/>
      </c>
      <c r="W124" s="69" t="str">
        <f t="shared" si="38"/>
        <v/>
      </c>
      <c r="X124" s="271" t="str">
        <f t="shared" si="29"/>
        <v/>
      </c>
      <c r="Y124" s="214">
        <f t="shared" si="27"/>
        <v>0</v>
      </c>
      <c r="Z124" s="32"/>
    </row>
    <row r="125" spans="1:26" ht="30" hidden="1" customHeight="1">
      <c r="A125" s="70" t="str">
        <f t="shared" si="30"/>
        <v/>
      </c>
      <c r="B125" s="70" t="str">
        <f t="shared" si="31"/>
        <v/>
      </c>
      <c r="C125" s="190" t="str">
        <f>IF(D125="","",
    IF(ISERR(SEARCH("_",D125)),
        IFERROR(_xlfn.AGGREGATE(14,6,$C$12:C124,1),0)+1,
        IFERROR(
            VALUE(TRIM(MID(SUBSTITUTE(D125,"_",REPT(" ",LEN(D125))), (LEN(D125)-LEN(SUBSTITUTE(D125,"_",""))-1)*LEN(D125)+1, LEN(D125))))
            &amp; "." &amp;
            VALUE(TRIM(RIGHT(SUBSTITUTE(D125,"_",REPT(" ",LEN(D125))),LEN(D125)))),
            "")))</f>
        <v/>
      </c>
      <c r="D125" s="26"/>
      <c r="E125" s="25"/>
      <c r="F125" s="25"/>
      <c r="G125" s="25"/>
      <c r="H125" s="25"/>
      <c r="I125" s="33"/>
      <c r="J125" s="25"/>
      <c r="K125" s="25"/>
      <c r="L125" s="191"/>
      <c r="M125" s="25"/>
      <c r="N125" s="33"/>
      <c r="O125" s="195"/>
      <c r="P125" s="192" t="str">
        <f t="shared" si="32"/>
        <v/>
      </c>
      <c r="Q125" s="79" t="str">
        <f t="shared" si="33"/>
        <v/>
      </c>
      <c r="R125" s="171">
        <f t="shared" si="34"/>
        <v>0</v>
      </c>
      <c r="S125" s="84">
        <f t="shared" si="28"/>
        <v>0</v>
      </c>
      <c r="T125" s="193">
        <f t="shared" si="35"/>
        <v>0</v>
      </c>
      <c r="U125" s="194">
        <f t="shared" si="36"/>
        <v>0</v>
      </c>
      <c r="V125" s="69" t="str">
        <f t="shared" si="37"/>
        <v/>
      </c>
      <c r="W125" s="69" t="str">
        <f t="shared" si="38"/>
        <v/>
      </c>
      <c r="X125" s="271" t="str">
        <f t="shared" si="29"/>
        <v/>
      </c>
      <c r="Y125" s="214">
        <f t="shared" si="27"/>
        <v>0</v>
      </c>
      <c r="Z125" s="32"/>
    </row>
    <row r="126" spans="1:26" ht="30" hidden="1" customHeight="1">
      <c r="A126" s="70" t="str">
        <f t="shared" si="30"/>
        <v/>
      </c>
      <c r="B126" s="70" t="str">
        <f t="shared" si="31"/>
        <v/>
      </c>
      <c r="C126" s="190" t="str">
        <f>IF(D126="","",
    IF(ISERR(SEARCH("_",D126)),
        IFERROR(_xlfn.AGGREGATE(14,6,$C$12:C125,1),0)+1,
        IFERROR(
            VALUE(TRIM(MID(SUBSTITUTE(D126,"_",REPT(" ",LEN(D126))), (LEN(D126)-LEN(SUBSTITUTE(D126,"_",""))-1)*LEN(D126)+1, LEN(D126))))
            &amp; "." &amp;
            VALUE(TRIM(RIGHT(SUBSTITUTE(D126,"_",REPT(" ",LEN(D126))),LEN(D126)))),
            "")))</f>
        <v/>
      </c>
      <c r="D126" s="26"/>
      <c r="E126" s="25"/>
      <c r="F126" s="25"/>
      <c r="G126" s="25"/>
      <c r="H126" s="25"/>
      <c r="I126" s="33"/>
      <c r="J126" s="25"/>
      <c r="K126" s="25"/>
      <c r="L126" s="191"/>
      <c r="M126" s="25"/>
      <c r="N126" s="33"/>
      <c r="O126" s="195"/>
      <c r="P126" s="192" t="str">
        <f t="shared" si="32"/>
        <v/>
      </c>
      <c r="Q126" s="79" t="str">
        <f t="shared" si="33"/>
        <v/>
      </c>
      <c r="R126" s="171">
        <f t="shared" si="34"/>
        <v>0</v>
      </c>
      <c r="S126" s="84">
        <f t="shared" si="28"/>
        <v>0</v>
      </c>
      <c r="T126" s="193">
        <f t="shared" si="35"/>
        <v>0</v>
      </c>
      <c r="U126" s="194">
        <f t="shared" si="36"/>
        <v>0</v>
      </c>
      <c r="V126" s="69" t="str">
        <f t="shared" si="37"/>
        <v/>
      </c>
      <c r="W126" s="69" t="str">
        <f t="shared" si="38"/>
        <v/>
      </c>
      <c r="X126" s="271" t="str">
        <f t="shared" si="29"/>
        <v/>
      </c>
      <c r="Y126" s="214">
        <f t="shared" si="27"/>
        <v>0</v>
      </c>
      <c r="Z126" s="32"/>
    </row>
    <row r="127" spans="1:26" ht="30" hidden="1" customHeight="1">
      <c r="A127" s="70" t="str">
        <f t="shared" si="30"/>
        <v/>
      </c>
      <c r="B127" s="70" t="str">
        <f t="shared" si="31"/>
        <v/>
      </c>
      <c r="C127" s="190" t="str">
        <f>IF(D127="","",
    IF(ISERR(SEARCH("_",D127)),
        IFERROR(_xlfn.AGGREGATE(14,6,$C$12:C126,1),0)+1,
        IFERROR(
            VALUE(TRIM(MID(SUBSTITUTE(D127,"_",REPT(" ",LEN(D127))), (LEN(D127)-LEN(SUBSTITUTE(D127,"_",""))-1)*LEN(D127)+1, LEN(D127))))
            &amp; "." &amp;
            VALUE(TRIM(RIGHT(SUBSTITUTE(D127,"_",REPT(" ",LEN(D127))),LEN(D127)))),
            "")))</f>
        <v/>
      </c>
      <c r="D127" s="26"/>
      <c r="E127" s="25"/>
      <c r="F127" s="25"/>
      <c r="G127" s="25"/>
      <c r="H127" s="25"/>
      <c r="I127" s="33"/>
      <c r="J127" s="25"/>
      <c r="K127" s="25"/>
      <c r="L127" s="191"/>
      <c r="M127" s="25"/>
      <c r="N127" s="25"/>
      <c r="O127" s="195"/>
      <c r="P127" s="192" t="str">
        <f t="shared" si="32"/>
        <v/>
      </c>
      <c r="Q127" s="79" t="str">
        <f t="shared" si="33"/>
        <v/>
      </c>
      <c r="R127" s="171">
        <f t="shared" si="34"/>
        <v>0</v>
      </c>
      <c r="S127" s="84">
        <f t="shared" si="28"/>
        <v>0</v>
      </c>
      <c r="T127" s="193">
        <f t="shared" si="35"/>
        <v>0</v>
      </c>
      <c r="U127" s="194">
        <f t="shared" si="36"/>
        <v>0</v>
      </c>
      <c r="V127" s="69" t="str">
        <f t="shared" si="37"/>
        <v/>
      </c>
      <c r="W127" s="69" t="str">
        <f t="shared" si="38"/>
        <v/>
      </c>
      <c r="X127" s="271" t="str">
        <f t="shared" si="29"/>
        <v/>
      </c>
      <c r="Y127" s="214">
        <f t="shared" si="27"/>
        <v>0</v>
      </c>
      <c r="Z127" s="32"/>
    </row>
    <row r="128" spans="1:26" ht="30" hidden="1" customHeight="1">
      <c r="A128" s="70" t="str">
        <f t="shared" si="30"/>
        <v/>
      </c>
      <c r="B128" s="70" t="str">
        <f t="shared" si="31"/>
        <v/>
      </c>
      <c r="C128" s="190" t="str">
        <f>IF(D128="","",
    IF(ISERR(SEARCH("_",D128)),
        IFERROR(_xlfn.AGGREGATE(14,6,$C$12:C127,1),0)+1,
        IFERROR(
            VALUE(TRIM(MID(SUBSTITUTE(D128,"_",REPT(" ",LEN(D128))), (LEN(D128)-LEN(SUBSTITUTE(D128,"_",""))-1)*LEN(D128)+1, LEN(D128))))
            &amp; "." &amp;
            VALUE(TRIM(RIGHT(SUBSTITUTE(D128,"_",REPT(" ",LEN(D128))),LEN(D128)))),
            "")))</f>
        <v/>
      </c>
      <c r="D128" s="26"/>
      <c r="E128" s="25"/>
      <c r="F128" s="25"/>
      <c r="G128" s="25"/>
      <c r="H128" s="25"/>
      <c r="I128" s="33"/>
      <c r="J128" s="25"/>
      <c r="K128" s="25"/>
      <c r="L128" s="191"/>
      <c r="M128" s="25"/>
      <c r="N128" s="25"/>
      <c r="O128" s="195"/>
      <c r="P128" s="192" t="str">
        <f t="shared" si="32"/>
        <v/>
      </c>
      <c r="Q128" s="79" t="str">
        <f t="shared" si="33"/>
        <v/>
      </c>
      <c r="R128" s="171">
        <f t="shared" si="34"/>
        <v>0</v>
      </c>
      <c r="S128" s="84">
        <f t="shared" si="28"/>
        <v>0</v>
      </c>
      <c r="T128" s="193">
        <f t="shared" si="35"/>
        <v>0</v>
      </c>
      <c r="U128" s="194">
        <f t="shared" si="36"/>
        <v>0</v>
      </c>
      <c r="V128" s="69" t="str">
        <f t="shared" si="37"/>
        <v/>
      </c>
      <c r="W128" s="69" t="str">
        <f t="shared" si="38"/>
        <v/>
      </c>
      <c r="X128" s="271" t="str">
        <f t="shared" si="29"/>
        <v/>
      </c>
      <c r="Y128" s="214">
        <f t="shared" si="27"/>
        <v>0</v>
      </c>
      <c r="Z128" s="32"/>
    </row>
    <row r="129" spans="1:26" ht="30" hidden="1" customHeight="1">
      <c r="A129" s="70" t="str">
        <f t="shared" si="30"/>
        <v/>
      </c>
      <c r="B129" s="70" t="str">
        <f t="shared" si="31"/>
        <v/>
      </c>
      <c r="C129" s="190" t="str">
        <f>IF(D129="","",
    IF(ISERR(SEARCH("_",D129)),
        IFERROR(_xlfn.AGGREGATE(14,6,$C$12:C128,1),0)+1,
        IFERROR(
            VALUE(TRIM(MID(SUBSTITUTE(D129,"_",REPT(" ",LEN(D129))), (LEN(D129)-LEN(SUBSTITUTE(D129,"_",""))-1)*LEN(D129)+1, LEN(D129))))
            &amp; "." &amp;
            VALUE(TRIM(RIGHT(SUBSTITUTE(D129,"_",REPT(" ",LEN(D129))),LEN(D129)))),
            "")))</f>
        <v/>
      </c>
      <c r="D129" s="26"/>
      <c r="E129" s="25"/>
      <c r="F129" s="25"/>
      <c r="G129" s="25"/>
      <c r="H129" s="25"/>
      <c r="I129" s="33"/>
      <c r="J129" s="25"/>
      <c r="K129" s="25"/>
      <c r="L129" s="191"/>
      <c r="M129" s="25"/>
      <c r="N129" s="33"/>
      <c r="O129" s="195"/>
      <c r="P129" s="192" t="str">
        <f t="shared" si="32"/>
        <v/>
      </c>
      <c r="Q129" s="79" t="str">
        <f t="shared" si="33"/>
        <v/>
      </c>
      <c r="R129" s="171">
        <f t="shared" si="34"/>
        <v>0</v>
      </c>
      <c r="S129" s="84">
        <f t="shared" si="28"/>
        <v>0</v>
      </c>
      <c r="T129" s="193">
        <f t="shared" si="35"/>
        <v>0</v>
      </c>
      <c r="U129" s="194">
        <f t="shared" si="36"/>
        <v>0</v>
      </c>
      <c r="V129" s="69" t="str">
        <f t="shared" si="37"/>
        <v/>
      </c>
      <c r="W129" s="69" t="str">
        <f t="shared" si="38"/>
        <v/>
      </c>
      <c r="X129" s="271" t="str">
        <f t="shared" si="29"/>
        <v/>
      </c>
      <c r="Y129" s="214">
        <f t="shared" si="27"/>
        <v>0</v>
      </c>
      <c r="Z129" s="32"/>
    </row>
    <row r="130" spans="1:26" ht="30" hidden="1" customHeight="1">
      <c r="A130" s="70" t="str">
        <f t="shared" si="30"/>
        <v/>
      </c>
      <c r="B130" s="70" t="str">
        <f t="shared" si="31"/>
        <v/>
      </c>
      <c r="C130" s="190" t="str">
        <f>IF(D130="","",
    IF(ISERR(SEARCH("_",D130)),
        IFERROR(_xlfn.AGGREGATE(14,6,$C$12:C129,1),0)+1,
        IFERROR(
            VALUE(TRIM(MID(SUBSTITUTE(D130,"_",REPT(" ",LEN(D130))), (LEN(D130)-LEN(SUBSTITUTE(D130,"_",""))-1)*LEN(D130)+1, LEN(D130))))
            &amp; "." &amp;
            VALUE(TRIM(RIGHT(SUBSTITUTE(D130,"_",REPT(" ",LEN(D130))),LEN(D130)))),
            "")))</f>
        <v/>
      </c>
      <c r="D130" s="26"/>
      <c r="E130" s="25"/>
      <c r="F130" s="25"/>
      <c r="G130" s="25"/>
      <c r="H130" s="25"/>
      <c r="I130" s="33"/>
      <c r="J130" s="25"/>
      <c r="K130" s="25"/>
      <c r="L130" s="191"/>
      <c r="M130" s="25"/>
      <c r="N130" s="33"/>
      <c r="O130" s="195"/>
      <c r="P130" s="192" t="str">
        <f t="shared" si="32"/>
        <v/>
      </c>
      <c r="Q130" s="79" t="str">
        <f t="shared" si="33"/>
        <v/>
      </c>
      <c r="R130" s="171">
        <f t="shared" si="34"/>
        <v>0</v>
      </c>
      <c r="S130" s="84">
        <f t="shared" si="28"/>
        <v>0</v>
      </c>
      <c r="T130" s="193">
        <f t="shared" si="35"/>
        <v>0</v>
      </c>
      <c r="U130" s="194">
        <f t="shared" si="36"/>
        <v>0</v>
      </c>
      <c r="V130" s="69" t="str">
        <f t="shared" si="37"/>
        <v/>
      </c>
      <c r="W130" s="69" t="str">
        <f t="shared" si="38"/>
        <v/>
      </c>
      <c r="X130" s="271" t="str">
        <f t="shared" si="29"/>
        <v/>
      </c>
      <c r="Y130" s="214">
        <f t="shared" si="27"/>
        <v>0</v>
      </c>
      <c r="Z130" s="32"/>
    </row>
    <row r="131" spans="1:26" ht="30" hidden="1" customHeight="1">
      <c r="A131" s="70" t="str">
        <f t="shared" si="30"/>
        <v/>
      </c>
      <c r="B131" s="70" t="str">
        <f t="shared" si="31"/>
        <v/>
      </c>
      <c r="C131" s="190" t="str">
        <f>IF(D131="","",
    IF(ISERR(SEARCH("_",D131)),
        IFERROR(_xlfn.AGGREGATE(14,6,$C$12:C130,1),0)+1,
        IFERROR(
            VALUE(TRIM(MID(SUBSTITUTE(D131,"_",REPT(" ",LEN(D131))), (LEN(D131)-LEN(SUBSTITUTE(D131,"_",""))-1)*LEN(D131)+1, LEN(D131))))
            &amp; "." &amp;
            VALUE(TRIM(RIGHT(SUBSTITUTE(D131,"_",REPT(" ",LEN(D131))),LEN(D131)))),
            "")))</f>
        <v/>
      </c>
      <c r="D131" s="26"/>
      <c r="E131" s="25"/>
      <c r="F131" s="25"/>
      <c r="G131" s="25"/>
      <c r="H131" s="25"/>
      <c r="I131" s="33"/>
      <c r="J131" s="25"/>
      <c r="K131" s="25"/>
      <c r="L131" s="191"/>
      <c r="M131" s="25"/>
      <c r="N131" s="33"/>
      <c r="O131" s="195"/>
      <c r="P131" s="192" t="str">
        <f t="shared" si="32"/>
        <v/>
      </c>
      <c r="Q131" s="79" t="str">
        <f t="shared" si="33"/>
        <v/>
      </c>
      <c r="R131" s="171">
        <f t="shared" si="34"/>
        <v>0</v>
      </c>
      <c r="S131" s="84">
        <f t="shared" si="28"/>
        <v>0</v>
      </c>
      <c r="T131" s="193">
        <f t="shared" si="35"/>
        <v>0</v>
      </c>
      <c r="U131" s="194">
        <f t="shared" si="36"/>
        <v>0</v>
      </c>
      <c r="V131" s="69" t="str">
        <f t="shared" si="37"/>
        <v/>
      </c>
      <c r="W131" s="69" t="str">
        <f t="shared" si="38"/>
        <v/>
      </c>
      <c r="X131" s="271" t="str">
        <f t="shared" si="29"/>
        <v/>
      </c>
      <c r="Y131" s="214">
        <f t="shared" si="27"/>
        <v>0</v>
      </c>
      <c r="Z131" s="32"/>
    </row>
    <row r="132" spans="1:26" ht="30" hidden="1" customHeight="1">
      <c r="A132" s="70" t="str">
        <f t="shared" si="30"/>
        <v/>
      </c>
      <c r="B132" s="70" t="str">
        <f t="shared" si="31"/>
        <v/>
      </c>
      <c r="C132" s="190" t="str">
        <f>IF(D132="","",
    IF(ISERR(SEARCH("_",D132)),
        IFERROR(_xlfn.AGGREGATE(14,6,$C$12:C131,1),0)+1,
        IFERROR(
            VALUE(TRIM(MID(SUBSTITUTE(D132,"_",REPT(" ",LEN(D132))), (LEN(D132)-LEN(SUBSTITUTE(D132,"_",""))-1)*LEN(D132)+1, LEN(D132))))
            &amp; "." &amp;
            VALUE(TRIM(RIGHT(SUBSTITUTE(D132,"_",REPT(" ",LEN(D132))),LEN(D132)))),
            "")))</f>
        <v/>
      </c>
      <c r="D132" s="26"/>
      <c r="E132" s="25"/>
      <c r="F132" s="25"/>
      <c r="G132" s="25"/>
      <c r="H132" s="25"/>
      <c r="I132" s="33"/>
      <c r="J132" s="25"/>
      <c r="K132" s="25"/>
      <c r="L132" s="191"/>
      <c r="M132" s="25"/>
      <c r="N132" s="33"/>
      <c r="O132" s="195"/>
      <c r="P132" s="192" t="str">
        <f t="shared" si="32"/>
        <v/>
      </c>
      <c r="Q132" s="79" t="str">
        <f t="shared" si="33"/>
        <v/>
      </c>
      <c r="R132" s="171">
        <f t="shared" si="34"/>
        <v>0</v>
      </c>
      <c r="S132" s="84">
        <f t="shared" si="28"/>
        <v>0</v>
      </c>
      <c r="T132" s="193">
        <f t="shared" si="35"/>
        <v>0</v>
      </c>
      <c r="U132" s="194">
        <f t="shared" si="36"/>
        <v>0</v>
      </c>
      <c r="V132" s="69" t="str">
        <f t="shared" si="37"/>
        <v/>
      </c>
      <c r="W132" s="69" t="str">
        <f t="shared" si="38"/>
        <v/>
      </c>
      <c r="X132" s="271" t="str">
        <f t="shared" si="29"/>
        <v/>
      </c>
      <c r="Y132" s="214">
        <f t="shared" si="27"/>
        <v>0</v>
      </c>
      <c r="Z132" s="32"/>
    </row>
    <row r="133" spans="1:26" ht="30" hidden="1" customHeight="1">
      <c r="A133" s="70" t="str">
        <f t="shared" si="30"/>
        <v/>
      </c>
      <c r="B133" s="70" t="str">
        <f t="shared" si="31"/>
        <v/>
      </c>
      <c r="C133" s="190" t="str">
        <f>IF(D133="","",
    IF(ISERR(SEARCH("_",D133)),
        IFERROR(_xlfn.AGGREGATE(14,6,$C$12:C132,1),0)+1,
        IFERROR(
            VALUE(TRIM(MID(SUBSTITUTE(D133,"_",REPT(" ",LEN(D133))), (LEN(D133)-LEN(SUBSTITUTE(D133,"_",""))-1)*LEN(D133)+1, LEN(D133))))
            &amp; "." &amp;
            VALUE(TRIM(RIGHT(SUBSTITUTE(D133,"_",REPT(" ",LEN(D133))),LEN(D133)))),
            "")))</f>
        <v/>
      </c>
      <c r="D133" s="26"/>
      <c r="E133" s="25"/>
      <c r="F133" s="25"/>
      <c r="G133" s="25"/>
      <c r="H133" s="25"/>
      <c r="I133" s="33"/>
      <c r="J133" s="25"/>
      <c r="K133" s="25"/>
      <c r="L133" s="191"/>
      <c r="M133" s="25"/>
      <c r="N133" s="33"/>
      <c r="O133" s="195"/>
      <c r="P133" s="192" t="str">
        <f t="shared" si="32"/>
        <v/>
      </c>
      <c r="Q133" s="79" t="str">
        <f t="shared" si="33"/>
        <v/>
      </c>
      <c r="R133" s="171">
        <f t="shared" si="34"/>
        <v>0</v>
      </c>
      <c r="S133" s="84">
        <f t="shared" si="28"/>
        <v>0</v>
      </c>
      <c r="T133" s="193">
        <f t="shared" si="35"/>
        <v>0</v>
      </c>
      <c r="U133" s="194">
        <f t="shared" si="36"/>
        <v>0</v>
      </c>
      <c r="V133" s="69" t="str">
        <f t="shared" si="37"/>
        <v/>
      </c>
      <c r="W133" s="69" t="str">
        <f t="shared" si="38"/>
        <v/>
      </c>
      <c r="X133" s="271" t="str">
        <f t="shared" si="29"/>
        <v/>
      </c>
      <c r="Y133" s="214">
        <f t="shared" si="27"/>
        <v>0</v>
      </c>
      <c r="Z133" s="32"/>
    </row>
    <row r="134" spans="1:26" ht="30" hidden="1" customHeight="1">
      <c r="A134" s="70" t="str">
        <f t="shared" si="30"/>
        <v/>
      </c>
      <c r="B134" s="70" t="str">
        <f t="shared" si="31"/>
        <v/>
      </c>
      <c r="C134" s="190" t="str">
        <f>IF(D134="","",
    IF(ISERR(SEARCH("_",D134)),
        IFERROR(_xlfn.AGGREGATE(14,6,$C$12:C133,1),0)+1,
        IFERROR(
            VALUE(TRIM(MID(SUBSTITUTE(D134,"_",REPT(" ",LEN(D134))), (LEN(D134)-LEN(SUBSTITUTE(D134,"_",""))-1)*LEN(D134)+1, LEN(D134))))
            &amp; "." &amp;
            VALUE(TRIM(RIGHT(SUBSTITUTE(D134,"_",REPT(" ",LEN(D134))),LEN(D134)))),
            "")))</f>
        <v/>
      </c>
      <c r="D134" s="26"/>
      <c r="E134" s="25"/>
      <c r="F134" s="25"/>
      <c r="G134" s="25"/>
      <c r="H134" s="25"/>
      <c r="I134" s="33"/>
      <c r="J134" s="25"/>
      <c r="K134" s="25"/>
      <c r="L134" s="191"/>
      <c r="M134" s="25"/>
      <c r="N134" s="33"/>
      <c r="O134" s="195"/>
      <c r="P134" s="192" t="str">
        <f t="shared" si="32"/>
        <v/>
      </c>
      <c r="Q134" s="79" t="str">
        <f t="shared" si="33"/>
        <v/>
      </c>
      <c r="R134" s="171">
        <f t="shared" si="34"/>
        <v>0</v>
      </c>
      <c r="S134" s="84">
        <f t="shared" si="28"/>
        <v>0</v>
      </c>
      <c r="T134" s="193">
        <f t="shared" si="35"/>
        <v>0</v>
      </c>
      <c r="U134" s="194">
        <f t="shared" si="36"/>
        <v>0</v>
      </c>
      <c r="V134" s="69" t="str">
        <f t="shared" si="37"/>
        <v/>
      </c>
      <c r="W134" s="69" t="str">
        <f t="shared" si="38"/>
        <v/>
      </c>
      <c r="X134" s="271" t="str">
        <f t="shared" si="29"/>
        <v/>
      </c>
      <c r="Y134" s="214">
        <f t="shared" si="27"/>
        <v>0</v>
      </c>
      <c r="Z134" s="32"/>
    </row>
    <row r="135" spans="1:26" ht="30" hidden="1" customHeight="1">
      <c r="A135" s="70" t="str">
        <f t="shared" si="30"/>
        <v/>
      </c>
      <c r="B135" s="70" t="str">
        <f t="shared" si="31"/>
        <v/>
      </c>
      <c r="C135" s="190" t="str">
        <f>IF(D135="","",
    IF(ISERR(SEARCH("_",D135)),
        IFERROR(_xlfn.AGGREGATE(14,6,$C$12:C134,1),0)+1,
        IFERROR(
            VALUE(TRIM(MID(SUBSTITUTE(D135,"_",REPT(" ",LEN(D135))), (LEN(D135)-LEN(SUBSTITUTE(D135,"_",""))-1)*LEN(D135)+1, LEN(D135))))
            &amp; "." &amp;
            VALUE(TRIM(RIGHT(SUBSTITUTE(D135,"_",REPT(" ",LEN(D135))),LEN(D135)))),
            "")))</f>
        <v/>
      </c>
      <c r="D135" s="26"/>
      <c r="E135" s="25"/>
      <c r="F135" s="25"/>
      <c r="G135" s="25"/>
      <c r="H135" s="25"/>
      <c r="I135" s="33"/>
      <c r="J135" s="25"/>
      <c r="K135" s="25"/>
      <c r="L135" s="191"/>
      <c r="M135" s="25"/>
      <c r="N135" s="33"/>
      <c r="O135" s="195"/>
      <c r="P135" s="192" t="str">
        <f t="shared" si="32"/>
        <v/>
      </c>
      <c r="Q135" s="79" t="str">
        <f t="shared" si="33"/>
        <v/>
      </c>
      <c r="R135" s="171">
        <f t="shared" si="34"/>
        <v>0</v>
      </c>
      <c r="S135" s="84">
        <f t="shared" si="28"/>
        <v>0</v>
      </c>
      <c r="T135" s="193">
        <f t="shared" si="35"/>
        <v>0</v>
      </c>
      <c r="U135" s="194">
        <f t="shared" si="36"/>
        <v>0</v>
      </c>
      <c r="V135" s="69" t="str">
        <f t="shared" si="37"/>
        <v/>
      </c>
      <c r="W135" s="69" t="str">
        <f t="shared" si="38"/>
        <v/>
      </c>
      <c r="X135" s="271" t="str">
        <f t="shared" si="29"/>
        <v/>
      </c>
      <c r="Y135" s="214">
        <f t="shared" si="27"/>
        <v>0</v>
      </c>
      <c r="Z135" s="32"/>
    </row>
    <row r="136" spans="1:26" ht="30" hidden="1" customHeight="1">
      <c r="A136" s="70" t="str">
        <f t="shared" si="30"/>
        <v/>
      </c>
      <c r="B136" s="70" t="str">
        <f t="shared" si="31"/>
        <v/>
      </c>
      <c r="C136" s="190" t="str">
        <f>IF(D136="","",
    IF(ISERR(SEARCH("_",D136)),
        IFERROR(_xlfn.AGGREGATE(14,6,$C$12:C135,1),0)+1,
        IFERROR(
            VALUE(TRIM(MID(SUBSTITUTE(D136,"_",REPT(" ",LEN(D136))), (LEN(D136)-LEN(SUBSTITUTE(D136,"_",""))-1)*LEN(D136)+1, LEN(D136))))
            &amp; "." &amp;
            VALUE(TRIM(RIGHT(SUBSTITUTE(D136,"_",REPT(" ",LEN(D136))),LEN(D136)))),
            "")))</f>
        <v/>
      </c>
      <c r="D136" s="26"/>
      <c r="E136" s="25"/>
      <c r="F136" s="25"/>
      <c r="G136" s="25"/>
      <c r="H136" s="25"/>
      <c r="I136" s="33"/>
      <c r="J136" s="25"/>
      <c r="K136" s="25"/>
      <c r="L136" s="191"/>
      <c r="M136" s="25"/>
      <c r="N136" s="33"/>
      <c r="O136" s="195"/>
      <c r="P136" s="192" t="str">
        <f t="shared" si="32"/>
        <v/>
      </c>
      <c r="Q136" s="79" t="str">
        <f t="shared" si="33"/>
        <v/>
      </c>
      <c r="R136" s="171">
        <f t="shared" si="34"/>
        <v>0</v>
      </c>
      <c r="S136" s="84">
        <f t="shared" si="28"/>
        <v>0</v>
      </c>
      <c r="T136" s="193">
        <f t="shared" si="35"/>
        <v>0</v>
      </c>
      <c r="U136" s="194">
        <f t="shared" si="36"/>
        <v>0</v>
      </c>
      <c r="V136" s="69" t="str">
        <f t="shared" si="37"/>
        <v/>
      </c>
      <c r="W136" s="69" t="str">
        <f t="shared" si="38"/>
        <v/>
      </c>
      <c r="X136" s="271" t="str">
        <f t="shared" si="29"/>
        <v/>
      </c>
      <c r="Y136" s="214">
        <f t="shared" si="27"/>
        <v>0</v>
      </c>
      <c r="Z136" s="32"/>
    </row>
    <row r="137" spans="1:26" ht="30" hidden="1" customHeight="1">
      <c r="A137" s="70" t="str">
        <f t="shared" si="30"/>
        <v/>
      </c>
      <c r="B137" s="70" t="str">
        <f t="shared" si="31"/>
        <v/>
      </c>
      <c r="C137" s="190" t="str">
        <f>IF(D137="","",
    IF(ISERR(SEARCH("_",D137)),
        IFERROR(_xlfn.AGGREGATE(14,6,$C$12:C136,1),0)+1,
        IFERROR(
            VALUE(TRIM(MID(SUBSTITUTE(D137,"_",REPT(" ",LEN(D137))), (LEN(D137)-LEN(SUBSTITUTE(D137,"_",""))-1)*LEN(D137)+1, LEN(D137))))
            &amp; "." &amp;
            VALUE(TRIM(RIGHT(SUBSTITUTE(D137,"_",REPT(" ",LEN(D137))),LEN(D137)))),
            "")))</f>
        <v/>
      </c>
      <c r="D137" s="26"/>
      <c r="E137" s="25"/>
      <c r="F137" s="25"/>
      <c r="G137" s="25"/>
      <c r="H137" s="25"/>
      <c r="I137" s="33"/>
      <c r="J137" s="25"/>
      <c r="K137" s="25"/>
      <c r="L137" s="191"/>
      <c r="M137" s="25"/>
      <c r="N137" s="33"/>
      <c r="O137" s="195"/>
      <c r="P137" s="192" t="str">
        <f t="shared" si="32"/>
        <v/>
      </c>
      <c r="Q137" s="79" t="str">
        <f t="shared" si="33"/>
        <v/>
      </c>
      <c r="R137" s="171">
        <f t="shared" si="34"/>
        <v>0</v>
      </c>
      <c r="S137" s="84">
        <f t="shared" si="28"/>
        <v>0</v>
      </c>
      <c r="T137" s="193">
        <f t="shared" si="35"/>
        <v>0</v>
      </c>
      <c r="U137" s="194">
        <f t="shared" si="36"/>
        <v>0</v>
      </c>
      <c r="V137" s="69" t="str">
        <f t="shared" si="37"/>
        <v/>
      </c>
      <c r="W137" s="69" t="str">
        <f t="shared" si="38"/>
        <v/>
      </c>
      <c r="X137" s="271" t="str">
        <f t="shared" si="29"/>
        <v/>
      </c>
      <c r="Y137" s="214">
        <f t="shared" si="27"/>
        <v>0</v>
      </c>
      <c r="Z137" s="32"/>
    </row>
    <row r="138" spans="1:26" ht="30" hidden="1" customHeight="1">
      <c r="A138" s="70" t="str">
        <f t="shared" si="30"/>
        <v/>
      </c>
      <c r="B138" s="70" t="str">
        <f t="shared" si="31"/>
        <v/>
      </c>
      <c r="C138" s="190" t="str">
        <f>IF(D138="","",
    IF(ISERR(SEARCH("_",D138)),
        IFERROR(_xlfn.AGGREGATE(14,6,$C$12:C137,1),0)+1,
        IFERROR(
            VALUE(TRIM(MID(SUBSTITUTE(D138,"_",REPT(" ",LEN(D138))), (LEN(D138)-LEN(SUBSTITUTE(D138,"_",""))-1)*LEN(D138)+1, LEN(D138))))
            &amp; "." &amp;
            VALUE(TRIM(RIGHT(SUBSTITUTE(D138,"_",REPT(" ",LEN(D138))),LEN(D138)))),
            "")))</f>
        <v/>
      </c>
      <c r="D138" s="26"/>
      <c r="E138" s="25"/>
      <c r="F138" s="25"/>
      <c r="G138" s="25"/>
      <c r="H138" s="25"/>
      <c r="I138" s="33"/>
      <c r="J138" s="25"/>
      <c r="K138" s="25"/>
      <c r="L138" s="191"/>
      <c r="M138" s="25"/>
      <c r="N138" s="33"/>
      <c r="O138" s="195"/>
      <c r="P138" s="192" t="str">
        <f t="shared" si="32"/>
        <v/>
      </c>
      <c r="Q138" s="79" t="str">
        <f t="shared" si="33"/>
        <v/>
      </c>
      <c r="R138" s="171">
        <f t="shared" si="34"/>
        <v>0</v>
      </c>
      <c r="S138" s="84">
        <f t="shared" si="28"/>
        <v>0</v>
      </c>
      <c r="T138" s="193">
        <f t="shared" si="35"/>
        <v>0</v>
      </c>
      <c r="U138" s="194">
        <f t="shared" si="36"/>
        <v>0</v>
      </c>
      <c r="V138" s="69" t="str">
        <f t="shared" si="37"/>
        <v/>
      </c>
      <c r="W138" s="69" t="str">
        <f t="shared" si="38"/>
        <v/>
      </c>
      <c r="X138" s="271" t="str">
        <f t="shared" si="29"/>
        <v/>
      </c>
      <c r="Y138" s="214">
        <f t="shared" si="27"/>
        <v>0</v>
      </c>
      <c r="Z138" s="32"/>
    </row>
    <row r="139" spans="1:26" ht="30" hidden="1" customHeight="1">
      <c r="A139" s="70" t="str">
        <f t="shared" si="30"/>
        <v/>
      </c>
      <c r="B139" s="70" t="str">
        <f t="shared" si="31"/>
        <v/>
      </c>
      <c r="C139" s="190" t="str">
        <f>IF(D139="","",
    IF(ISERR(SEARCH("_",D139)),
        IFERROR(_xlfn.AGGREGATE(14,6,$C$12:C138,1),0)+1,
        IFERROR(
            VALUE(TRIM(MID(SUBSTITUTE(D139,"_",REPT(" ",LEN(D139))), (LEN(D139)-LEN(SUBSTITUTE(D139,"_",""))-1)*LEN(D139)+1, LEN(D139))))
            &amp; "." &amp;
            VALUE(TRIM(RIGHT(SUBSTITUTE(D139,"_",REPT(" ",LEN(D139))),LEN(D139)))),
            "")))</f>
        <v/>
      </c>
      <c r="D139" s="26"/>
      <c r="E139" s="25"/>
      <c r="F139" s="25"/>
      <c r="G139" s="25"/>
      <c r="H139" s="25"/>
      <c r="I139" s="33"/>
      <c r="J139" s="25"/>
      <c r="K139" s="25"/>
      <c r="L139" s="191"/>
      <c r="M139" s="25"/>
      <c r="N139" s="33"/>
      <c r="O139" s="195"/>
      <c r="P139" s="192" t="str">
        <f t="shared" si="32"/>
        <v/>
      </c>
      <c r="Q139" s="79" t="str">
        <f t="shared" si="33"/>
        <v/>
      </c>
      <c r="R139" s="171">
        <f t="shared" si="34"/>
        <v>0</v>
      </c>
      <c r="S139" s="84">
        <f t="shared" si="28"/>
        <v>0</v>
      </c>
      <c r="T139" s="193">
        <f t="shared" si="35"/>
        <v>0</v>
      </c>
      <c r="U139" s="194">
        <f t="shared" si="36"/>
        <v>0</v>
      </c>
      <c r="V139" s="69" t="str">
        <f t="shared" si="37"/>
        <v/>
      </c>
      <c r="W139" s="69" t="str">
        <f t="shared" si="38"/>
        <v/>
      </c>
      <c r="X139" s="271" t="str">
        <f t="shared" si="29"/>
        <v/>
      </c>
      <c r="Y139" s="214">
        <f t="shared" si="27"/>
        <v>0</v>
      </c>
      <c r="Z139" s="32"/>
    </row>
    <row r="140" spans="1:26" ht="30" hidden="1" customHeight="1">
      <c r="A140" s="70" t="str">
        <f t="shared" si="30"/>
        <v/>
      </c>
      <c r="B140" s="70" t="str">
        <f t="shared" si="31"/>
        <v/>
      </c>
      <c r="C140" s="190" t="str">
        <f>IF(D140="","",
    IF(ISERR(SEARCH("_",D140)),
        IFERROR(_xlfn.AGGREGATE(14,6,$C$12:C139,1),0)+1,
        IFERROR(
            VALUE(TRIM(MID(SUBSTITUTE(D140,"_",REPT(" ",LEN(D140))), (LEN(D140)-LEN(SUBSTITUTE(D140,"_",""))-1)*LEN(D140)+1, LEN(D140))))
            &amp; "." &amp;
            VALUE(TRIM(RIGHT(SUBSTITUTE(D140,"_",REPT(" ",LEN(D140))),LEN(D140)))),
            "")))</f>
        <v/>
      </c>
      <c r="D140" s="33"/>
      <c r="E140" s="25"/>
      <c r="F140" s="25"/>
      <c r="G140" s="25"/>
      <c r="H140" s="25"/>
      <c r="I140" s="33"/>
      <c r="J140" s="25"/>
      <c r="K140" s="25"/>
      <c r="L140" s="191"/>
      <c r="M140" s="25"/>
      <c r="N140" s="33"/>
      <c r="O140" s="195"/>
      <c r="P140" s="192" t="str">
        <f t="shared" si="32"/>
        <v/>
      </c>
      <c r="Q140" s="79" t="str">
        <f t="shared" si="33"/>
        <v/>
      </c>
      <c r="R140" s="171">
        <f t="shared" si="34"/>
        <v>0</v>
      </c>
      <c r="S140" s="84">
        <f t="shared" si="28"/>
        <v>0</v>
      </c>
      <c r="T140" s="193">
        <f t="shared" si="35"/>
        <v>0</v>
      </c>
      <c r="U140" s="194">
        <f t="shared" si="36"/>
        <v>0</v>
      </c>
      <c r="V140" s="69" t="str">
        <f t="shared" si="37"/>
        <v/>
      </c>
      <c r="W140" s="69" t="str">
        <f t="shared" si="38"/>
        <v/>
      </c>
      <c r="X140" s="271" t="str">
        <f t="shared" si="29"/>
        <v/>
      </c>
      <c r="Y140" s="214">
        <f t="shared" si="27"/>
        <v>0</v>
      </c>
      <c r="Z140" s="32"/>
    </row>
    <row r="141" spans="1:26" ht="30" hidden="1" customHeight="1">
      <c r="A141" s="70" t="str">
        <f t="shared" si="30"/>
        <v/>
      </c>
      <c r="B141" s="70" t="str">
        <f t="shared" si="31"/>
        <v/>
      </c>
      <c r="C141" s="190" t="str">
        <f>IF(D141="","",
    IF(ISERR(SEARCH("_",D141)),
        IFERROR(_xlfn.AGGREGATE(14,6,$C$12:C140,1),0)+1,
        IFERROR(
            VALUE(TRIM(MID(SUBSTITUTE(D141,"_",REPT(" ",LEN(D141))), (LEN(D141)-LEN(SUBSTITUTE(D141,"_",""))-1)*LEN(D141)+1, LEN(D141))))
            &amp; "." &amp;
            VALUE(TRIM(RIGHT(SUBSTITUTE(D141,"_",REPT(" ",LEN(D141))),LEN(D141)))),
            "")))</f>
        <v/>
      </c>
      <c r="D141" s="26"/>
      <c r="E141" s="25"/>
      <c r="F141" s="25"/>
      <c r="G141" s="25"/>
      <c r="H141" s="25"/>
      <c r="I141" s="33"/>
      <c r="J141" s="25"/>
      <c r="K141" s="25"/>
      <c r="L141" s="191"/>
      <c r="M141" s="25"/>
      <c r="N141" s="33"/>
      <c r="O141" s="195"/>
      <c r="P141" s="192" t="str">
        <f t="shared" si="32"/>
        <v/>
      </c>
      <c r="Q141" s="79" t="str">
        <f t="shared" si="33"/>
        <v/>
      </c>
      <c r="R141" s="171">
        <f t="shared" si="34"/>
        <v>0</v>
      </c>
      <c r="S141" s="84">
        <f t="shared" si="28"/>
        <v>0</v>
      </c>
      <c r="T141" s="193">
        <f t="shared" si="35"/>
        <v>0</v>
      </c>
      <c r="U141" s="194">
        <f t="shared" si="36"/>
        <v>0</v>
      </c>
      <c r="V141" s="69" t="str">
        <f t="shared" si="37"/>
        <v/>
      </c>
      <c r="W141" s="69" t="str">
        <f t="shared" si="38"/>
        <v/>
      </c>
      <c r="X141" s="271" t="str">
        <f t="shared" si="29"/>
        <v/>
      </c>
      <c r="Y141" s="214">
        <f t="shared" ref="Y141:Y199" si="39">IFERROR((E141*F141*G141*H141*10^-9)*750,"")</f>
        <v>0</v>
      </c>
      <c r="Z141" s="32"/>
    </row>
    <row r="142" spans="1:26" ht="30" hidden="1" customHeight="1">
      <c r="A142" s="70" t="str">
        <f t="shared" si="13"/>
        <v/>
      </c>
      <c r="B142" s="70" t="str">
        <f t="shared" si="14"/>
        <v/>
      </c>
      <c r="C142" s="190" t="str">
        <f>IF(D142="","",
    IF(ISERR(SEARCH("_",D142)),
        IFERROR(_xlfn.AGGREGATE(14,6,$C$12:C141,1),0)+1,
        IFERROR(
            VALUE(TRIM(MID(SUBSTITUTE(D142,"_",REPT(" ",LEN(D142))), (LEN(D142)-LEN(SUBSTITUTE(D142,"_",""))-1)*LEN(D142)+1, LEN(D142))))
            &amp; "." &amp;
            VALUE(TRIM(RIGHT(SUBSTITUTE(D142,"_",REPT(" ",LEN(D142))),LEN(D142)))),
            "")))</f>
        <v/>
      </c>
      <c r="D142" s="26"/>
      <c r="E142" s="25"/>
      <c r="F142" s="25"/>
      <c r="G142" s="25"/>
      <c r="H142" s="25"/>
      <c r="I142" s="33"/>
      <c r="J142" s="25"/>
      <c r="K142" s="25"/>
      <c r="L142" s="191"/>
      <c r="M142" s="25"/>
      <c r="N142" s="33"/>
      <c r="O142" s="195"/>
      <c r="P142" s="192" t="str">
        <f t="shared" si="7"/>
        <v/>
      </c>
      <c r="Q142" s="79" t="str">
        <f t="shared" si="15"/>
        <v/>
      </c>
      <c r="R142" s="171">
        <f t="shared" si="16"/>
        <v>0</v>
      </c>
      <c r="S142" s="84">
        <f t="shared" ref="S142:S199" si="40">IFERROR(IF(ISERR(SEARCH("2d",K142)),IF(ISERR(SEARCH("1d",K142)),0,1),2)*($G142)*$H142/10^3+IF(ISERR(SEARCH("2r",K142)),IF(ISERR(SEARCH("1r",K142)),0,1),2)*($F142)*$H142/10^3,"-")</f>
        <v>0</v>
      </c>
      <c r="T142" s="193">
        <f t="shared" si="10"/>
        <v>0</v>
      </c>
      <c r="U142" s="194">
        <f t="shared" si="11"/>
        <v>0</v>
      </c>
      <c r="V142" s="69" t="str">
        <f t="shared" si="17"/>
        <v/>
      </c>
      <c r="W142" s="69" t="str">
        <f t="shared" si="18"/>
        <v/>
      </c>
      <c r="X142" s="271" t="str">
        <f t="shared" ref="X142:X199" si="41">IF(O142="","",IF(O142="HOÀN THIỆN ĐI MODULE",1,IF(O142="GIAO RỜI",2,2)))</f>
        <v/>
      </c>
      <c r="Y142" s="214">
        <f t="shared" si="39"/>
        <v>0</v>
      </c>
      <c r="Z142" s="32"/>
    </row>
    <row r="143" spans="1:26" ht="30" hidden="1" customHeight="1">
      <c r="A143" s="70" t="str">
        <f t="shared" si="13"/>
        <v/>
      </c>
      <c r="B143" s="70" t="str">
        <f t="shared" si="14"/>
        <v/>
      </c>
      <c r="C143" s="190" t="str">
        <f>IF(D143="","",
    IF(ISERR(SEARCH("_",D143)),
        IFERROR(_xlfn.AGGREGATE(14,6,$C$12:C142,1),0)+1,
        IFERROR(
            VALUE(TRIM(MID(SUBSTITUTE(D143,"_",REPT(" ",LEN(D143))), (LEN(D143)-LEN(SUBSTITUTE(D143,"_",""))-1)*LEN(D143)+1, LEN(D143))))
            &amp; "." &amp;
            VALUE(TRIM(RIGHT(SUBSTITUTE(D143,"_",REPT(" ",LEN(D143))),LEN(D143)))),
            "")))</f>
        <v/>
      </c>
      <c r="D143" s="26"/>
      <c r="E143" s="25"/>
      <c r="F143" s="25"/>
      <c r="G143" s="25"/>
      <c r="H143" s="25"/>
      <c r="I143" s="33"/>
      <c r="J143" s="25"/>
      <c r="K143" s="25"/>
      <c r="L143" s="191"/>
      <c r="M143" s="25"/>
      <c r="N143" s="33"/>
      <c r="O143" s="195"/>
      <c r="P143" s="192" t="str">
        <f t="shared" si="7"/>
        <v/>
      </c>
      <c r="Q143" s="79" t="str">
        <f t="shared" si="15"/>
        <v/>
      </c>
      <c r="R143" s="171">
        <f t="shared" si="16"/>
        <v>0</v>
      </c>
      <c r="S143" s="84">
        <f t="shared" si="40"/>
        <v>0</v>
      </c>
      <c r="T143" s="193">
        <f t="shared" si="10"/>
        <v>0</v>
      </c>
      <c r="U143" s="194">
        <f t="shared" si="11"/>
        <v>0</v>
      </c>
      <c r="V143" s="69" t="str">
        <f t="shared" si="17"/>
        <v/>
      </c>
      <c r="W143" s="69" t="str">
        <f t="shared" si="18"/>
        <v/>
      </c>
      <c r="X143" s="271" t="str">
        <f t="shared" si="41"/>
        <v/>
      </c>
      <c r="Y143" s="214">
        <f t="shared" si="39"/>
        <v>0</v>
      </c>
      <c r="Z143" s="32"/>
    </row>
    <row r="144" spans="1:26" ht="30" hidden="1" customHeight="1">
      <c r="A144" s="70" t="str">
        <f t="shared" si="13"/>
        <v/>
      </c>
      <c r="B144" s="70" t="str">
        <f t="shared" si="14"/>
        <v/>
      </c>
      <c r="C144" s="190" t="str">
        <f>IF(D144="","",
    IF(ISERR(SEARCH("_",D144)),
        IFERROR(_xlfn.AGGREGATE(14,6,$C$12:C143,1),0)+1,
        IFERROR(
            VALUE(TRIM(MID(SUBSTITUTE(D144,"_",REPT(" ",LEN(D144))), (LEN(D144)-LEN(SUBSTITUTE(D144,"_",""))-1)*LEN(D144)+1, LEN(D144))))
            &amp; "." &amp;
            VALUE(TRIM(RIGHT(SUBSTITUTE(D144,"_",REPT(" ",LEN(D144))),LEN(D144)))),
            "")))</f>
        <v/>
      </c>
      <c r="D144" s="26"/>
      <c r="E144" s="25"/>
      <c r="F144" s="25"/>
      <c r="G144" s="25"/>
      <c r="H144" s="25"/>
      <c r="I144" s="33"/>
      <c r="J144" s="25"/>
      <c r="K144" s="25"/>
      <c r="L144" s="191"/>
      <c r="M144" s="25"/>
      <c r="N144" s="33"/>
      <c r="O144" s="195"/>
      <c r="P144" s="192" t="str">
        <f t="shared" si="7"/>
        <v/>
      </c>
      <c r="Q144" s="79" t="str">
        <f t="shared" si="15"/>
        <v/>
      </c>
      <c r="R144" s="171">
        <f t="shared" si="16"/>
        <v>0</v>
      </c>
      <c r="S144" s="84">
        <f t="shared" si="40"/>
        <v>0</v>
      </c>
      <c r="T144" s="193">
        <f t="shared" si="10"/>
        <v>0</v>
      </c>
      <c r="U144" s="194">
        <f t="shared" si="11"/>
        <v>0</v>
      </c>
      <c r="V144" s="69" t="str">
        <f t="shared" si="17"/>
        <v/>
      </c>
      <c r="W144" s="69" t="str">
        <f t="shared" si="18"/>
        <v/>
      </c>
      <c r="X144" s="271" t="str">
        <f t="shared" si="41"/>
        <v/>
      </c>
      <c r="Y144" s="214">
        <f t="shared" si="39"/>
        <v>0</v>
      </c>
      <c r="Z144" s="32"/>
    </row>
    <row r="145" spans="1:26" ht="30" hidden="1" customHeight="1">
      <c r="A145" s="70" t="str">
        <f t="shared" si="13"/>
        <v/>
      </c>
      <c r="B145" s="70" t="str">
        <f t="shared" si="14"/>
        <v/>
      </c>
      <c r="C145" s="190" t="str">
        <f>IF(D145="","",
    IF(ISERR(SEARCH("_",D145)),
        IFERROR(_xlfn.AGGREGATE(14,6,$C$12:C144,1),0)+1,
        IFERROR(
            VALUE(TRIM(MID(SUBSTITUTE(D145,"_",REPT(" ",LEN(D145))), (LEN(D145)-LEN(SUBSTITUTE(D145,"_",""))-1)*LEN(D145)+1, LEN(D145))))
            &amp; "." &amp;
            VALUE(TRIM(RIGHT(SUBSTITUTE(D145,"_",REPT(" ",LEN(D145))),LEN(D145)))),
            "")))</f>
        <v/>
      </c>
      <c r="D145" s="26"/>
      <c r="E145" s="25"/>
      <c r="F145" s="25"/>
      <c r="G145" s="25"/>
      <c r="H145" s="25"/>
      <c r="I145" s="33"/>
      <c r="J145" s="25"/>
      <c r="K145" s="25"/>
      <c r="L145" s="191"/>
      <c r="M145" s="25"/>
      <c r="N145" s="33"/>
      <c r="O145" s="195"/>
      <c r="P145" s="192" t="str">
        <f t="shared" si="7"/>
        <v/>
      </c>
      <c r="Q145" s="79" t="str">
        <f t="shared" si="15"/>
        <v/>
      </c>
      <c r="R145" s="171">
        <f t="shared" si="16"/>
        <v>0</v>
      </c>
      <c r="S145" s="84">
        <f t="shared" si="40"/>
        <v>0</v>
      </c>
      <c r="T145" s="193">
        <f t="shared" si="10"/>
        <v>0</v>
      </c>
      <c r="U145" s="194">
        <f t="shared" si="11"/>
        <v>0</v>
      </c>
      <c r="V145" s="69" t="str">
        <f t="shared" si="17"/>
        <v/>
      </c>
      <c r="W145" s="69" t="str">
        <f t="shared" si="18"/>
        <v/>
      </c>
      <c r="X145" s="271" t="str">
        <f t="shared" si="41"/>
        <v/>
      </c>
      <c r="Y145" s="214">
        <f t="shared" si="39"/>
        <v>0</v>
      </c>
      <c r="Z145" s="32"/>
    </row>
    <row r="146" spans="1:26" ht="30" hidden="1" customHeight="1">
      <c r="A146" s="70" t="str">
        <f t="shared" si="13"/>
        <v/>
      </c>
      <c r="B146" s="70" t="str">
        <f t="shared" si="14"/>
        <v/>
      </c>
      <c r="C146" s="190" t="str">
        <f>IF(D146="","",
    IF(ISERR(SEARCH("_",D146)),
        IFERROR(_xlfn.AGGREGATE(14,6,$C$12:C145,1),0)+1,
        IFERROR(
            VALUE(TRIM(MID(SUBSTITUTE(D146,"_",REPT(" ",LEN(D146))), (LEN(D146)-LEN(SUBSTITUTE(D146,"_",""))-1)*LEN(D146)+1, LEN(D146))))
            &amp; "." &amp;
            VALUE(TRIM(RIGHT(SUBSTITUTE(D146,"_",REPT(" ",LEN(D146))),LEN(D146)))),
            "")))</f>
        <v/>
      </c>
      <c r="D146" s="26"/>
      <c r="E146" s="25"/>
      <c r="F146" s="25"/>
      <c r="G146" s="25"/>
      <c r="H146" s="25"/>
      <c r="I146" s="33"/>
      <c r="J146" s="25"/>
      <c r="K146" s="25"/>
      <c r="L146" s="191"/>
      <c r="M146" s="25"/>
      <c r="N146" s="33"/>
      <c r="O146" s="195"/>
      <c r="P146" s="192" t="str">
        <f t="shared" si="7"/>
        <v/>
      </c>
      <c r="Q146" s="79" t="str">
        <f t="shared" si="15"/>
        <v/>
      </c>
      <c r="R146" s="171">
        <f t="shared" si="16"/>
        <v>0</v>
      </c>
      <c r="S146" s="84">
        <f t="shared" si="40"/>
        <v>0</v>
      </c>
      <c r="T146" s="193">
        <f t="shared" si="10"/>
        <v>0</v>
      </c>
      <c r="U146" s="194">
        <f t="shared" si="11"/>
        <v>0</v>
      </c>
      <c r="V146" s="69" t="str">
        <f t="shared" si="17"/>
        <v/>
      </c>
      <c r="W146" s="69" t="str">
        <f t="shared" si="18"/>
        <v/>
      </c>
      <c r="X146" s="271" t="str">
        <f t="shared" si="41"/>
        <v/>
      </c>
      <c r="Y146" s="214">
        <f t="shared" si="39"/>
        <v>0</v>
      </c>
      <c r="Z146" s="32"/>
    </row>
    <row r="147" spans="1:26" ht="30" hidden="1" customHeight="1">
      <c r="A147" s="70" t="str">
        <f t="shared" si="13"/>
        <v/>
      </c>
      <c r="B147" s="70" t="str">
        <f t="shared" si="14"/>
        <v/>
      </c>
      <c r="C147" s="190" t="str">
        <f>IF(D147="","",
    IF(ISERR(SEARCH("_",D147)),
        IFERROR(_xlfn.AGGREGATE(14,6,$C$12:C146,1),0)+1,
        IFERROR(
            VALUE(TRIM(MID(SUBSTITUTE(D147,"_",REPT(" ",LEN(D147))), (LEN(D147)-LEN(SUBSTITUTE(D147,"_",""))-1)*LEN(D147)+1, LEN(D147))))
            &amp; "." &amp;
            VALUE(TRIM(RIGHT(SUBSTITUTE(D147,"_",REPT(" ",LEN(D147))),LEN(D147)))),
            "")))</f>
        <v/>
      </c>
      <c r="D147" s="26"/>
      <c r="E147" s="25"/>
      <c r="F147" s="25"/>
      <c r="G147" s="25"/>
      <c r="H147" s="25"/>
      <c r="I147" s="33"/>
      <c r="J147" s="25"/>
      <c r="K147" s="25"/>
      <c r="L147" s="191"/>
      <c r="M147" s="25"/>
      <c r="N147" s="33"/>
      <c r="O147" s="195"/>
      <c r="P147" s="192" t="str">
        <f t="shared" si="7"/>
        <v/>
      </c>
      <c r="Q147" s="79" t="str">
        <f t="shared" si="15"/>
        <v/>
      </c>
      <c r="R147" s="171">
        <f t="shared" si="16"/>
        <v>0</v>
      </c>
      <c r="S147" s="84">
        <f t="shared" si="40"/>
        <v>0</v>
      </c>
      <c r="T147" s="193">
        <f t="shared" si="10"/>
        <v>0</v>
      </c>
      <c r="U147" s="194">
        <f t="shared" si="11"/>
        <v>0</v>
      </c>
      <c r="V147" s="69" t="str">
        <f t="shared" si="17"/>
        <v/>
      </c>
      <c r="W147" s="69" t="str">
        <f t="shared" si="18"/>
        <v/>
      </c>
      <c r="X147" s="271" t="str">
        <f t="shared" si="41"/>
        <v/>
      </c>
      <c r="Y147" s="214">
        <f t="shared" si="39"/>
        <v>0</v>
      </c>
      <c r="Z147" s="32"/>
    </row>
    <row r="148" spans="1:26" ht="30" hidden="1" customHeight="1">
      <c r="A148" s="70" t="str">
        <f t="shared" ref="A148" si="42">IF(W148="IN",$E$6,"")</f>
        <v/>
      </c>
      <c r="B148" s="70" t="str">
        <f t="shared" ref="B148" si="43">IF(W148="IN","Muc "&amp;$E$7,"")</f>
        <v/>
      </c>
      <c r="C148" s="190" t="str">
        <f>IF(D148="","",
    IF(ISERR(SEARCH("_",D148)),
        IFERROR(_xlfn.AGGREGATE(14,6,$C$12:C147,1),0)+1,
        IFERROR(
            VALUE(TRIM(MID(SUBSTITUTE(D148,"_",REPT(" ",LEN(D148))), (LEN(D148)-LEN(SUBSTITUTE(D148,"_",""))-1)*LEN(D148)+1, LEN(D148))))
            &amp; "." &amp;
            VALUE(TRIM(RIGHT(SUBSTITUTE(D148,"_",REPT(" ",LEN(D148))),LEN(D148)))),
            "")))</f>
        <v/>
      </c>
      <c r="D148" s="26"/>
      <c r="E148" s="25"/>
      <c r="F148" s="25"/>
      <c r="G148" s="25"/>
      <c r="H148" s="25"/>
      <c r="I148" s="33"/>
      <c r="J148" s="25"/>
      <c r="K148" s="25"/>
      <c r="L148" s="191"/>
      <c r="M148" s="25"/>
      <c r="N148" s="33"/>
      <c r="O148" s="195"/>
      <c r="P148" s="192" t="str">
        <f t="shared" ref="P148" si="44">IF(M148="","",IF(AND(LEFT(I148,2)="Gỗ",LEFT(RIGHT(I148,10),1)&lt;&gt;"C"),IF(LEFT(M148,4)="2M2D","1COM",IF(AND(G148&gt;1699,LEFT(M148,4)&lt;&gt;"2M2D"),"1COM","2COM")),""))</f>
        <v/>
      </c>
      <c r="Q148" s="79" t="str">
        <f t="shared" ref="Q148" si="45">IFERROR(IF(I148="","",IF(LEFT(I148,2)="Gỗ","M3","Tấm")),"")</f>
        <v/>
      </c>
      <c r="R148" s="171">
        <f t="shared" ref="R148" si="46">IFERROR(IF(OR(Q148="Con",Q148="Cụm",Q148="Hệ",Q148="Thanh"),H148,IF(Q148="Tấm",(F148*G148*H148)/(1220*2440),IF(Q148="Md",G148*H148/1000,IF(Q148="M2",F148*G148*H148/10^6,IF(Q148="M3",E148*F148*G148*H148/10^9,0))))),"-")</f>
        <v>0</v>
      </c>
      <c r="S148" s="84">
        <f t="shared" si="40"/>
        <v>0</v>
      </c>
      <c r="T148" s="193">
        <f t="shared" ref="T148" si="47">IFERROR(IF(ISERR(SEARCH("2m",M148)),IF(ISERR(SEARCH("1m",M148)),0,1),2)*$G148*$F148*$H148/10^6+IF(ISERR(SEARCH("2d",M148)),IF(ISERR(SEARCH("1d",M148)),0,1),2)*$G148*$E148*$H148/10^6+IF(ISERR(SEARCH("2r",M148)),IF(ISERR(SEARCH("1r",M148)),0,1),2)*$F148*$E148*$H148/10^6,"-")</f>
        <v>0</v>
      </c>
      <c r="U148" s="194">
        <f t="shared" ref="U148" si="48">IFERROR(IF(ISERR(SEARCH("2m",N148)),IF(ISERR(SEARCH("1m",N148)),0,1),2)*$G148*$F148*$H148/10^6+IF(ISERR(SEARCH("2d",N148)),IF(ISERR(SEARCH("1d",N148)),0,1),2)*$G148*$E148*$H148/10^6+IF(ISERR(SEARCH("2r",N148)),IF(ISERR(SEARCH("1r",N148)),0,1),2)*$F148*$E148*$H148/10^6,"-")</f>
        <v>0</v>
      </c>
      <c r="V148" s="69" t="str">
        <f t="shared" ref="V148" si="49">IF(W148="IN",$Y$3,"")</f>
        <v/>
      </c>
      <c r="W148" s="69" t="str">
        <f t="shared" ref="W148" si="50">IF(OR(C148&lt;&gt;"",D148&lt;&gt;""),"IN","")</f>
        <v/>
      </c>
      <c r="X148" s="271" t="str">
        <f t="shared" si="41"/>
        <v/>
      </c>
      <c r="Y148" s="214">
        <f t="shared" si="39"/>
        <v>0</v>
      </c>
      <c r="Z148" s="32"/>
    </row>
    <row r="149" spans="1:26" ht="30" hidden="1" customHeight="1">
      <c r="A149" s="70" t="str">
        <f t="shared" si="13"/>
        <v/>
      </c>
      <c r="B149" s="70" t="str">
        <f t="shared" si="14"/>
        <v/>
      </c>
      <c r="C149" s="190" t="str">
        <f>IF(D149="","",
    IF(ISERR(SEARCH("_",D149)),
        IFERROR(_xlfn.AGGREGATE(14,6,$C$12:C148,1),0)+1,
        IFERROR(
            VALUE(TRIM(MID(SUBSTITUTE(D149,"_",REPT(" ",LEN(D149))), (LEN(D149)-LEN(SUBSTITUTE(D149,"_",""))-1)*LEN(D149)+1, LEN(D149))))
            &amp; "." &amp;
            VALUE(TRIM(RIGHT(SUBSTITUTE(D149,"_",REPT(" ",LEN(D149))),LEN(D149)))),
            "")))</f>
        <v/>
      </c>
      <c r="D149" s="26"/>
      <c r="E149" s="25"/>
      <c r="F149" s="25"/>
      <c r="G149" s="25"/>
      <c r="H149" s="25"/>
      <c r="I149" s="33"/>
      <c r="J149" s="25"/>
      <c r="K149" s="25"/>
      <c r="L149" s="191"/>
      <c r="M149" s="25"/>
      <c r="N149" s="33"/>
      <c r="O149" s="195"/>
      <c r="P149" s="192" t="str">
        <f t="shared" si="7"/>
        <v/>
      </c>
      <c r="Q149" s="79" t="str">
        <f t="shared" si="15"/>
        <v/>
      </c>
      <c r="R149" s="171">
        <f t="shared" si="16"/>
        <v>0</v>
      </c>
      <c r="S149" s="84">
        <f t="shared" si="40"/>
        <v>0</v>
      </c>
      <c r="T149" s="193">
        <f t="shared" si="10"/>
        <v>0</v>
      </c>
      <c r="U149" s="194">
        <f t="shared" si="11"/>
        <v>0</v>
      </c>
      <c r="V149" s="69" t="str">
        <f t="shared" si="17"/>
        <v/>
      </c>
      <c r="W149" s="69" t="str">
        <f t="shared" si="18"/>
        <v/>
      </c>
      <c r="X149" s="271" t="str">
        <f t="shared" si="41"/>
        <v/>
      </c>
      <c r="Y149" s="214">
        <f t="shared" si="39"/>
        <v>0</v>
      </c>
      <c r="Z149" s="32"/>
    </row>
    <row r="150" spans="1:26" ht="30" hidden="1" customHeight="1">
      <c r="A150" s="70" t="str">
        <f t="shared" si="13"/>
        <v/>
      </c>
      <c r="B150" s="70" t="str">
        <f t="shared" si="14"/>
        <v/>
      </c>
      <c r="C150" s="190" t="str">
        <f>IF(D150="","",
    IF(ISERR(SEARCH("_",D150)),
        IFERROR(_xlfn.AGGREGATE(14,6,$C$12:C149,1),0)+1,
        IFERROR(
            VALUE(TRIM(MID(SUBSTITUTE(D150,"_",REPT(" ",LEN(D150))), (LEN(D150)-LEN(SUBSTITUTE(D150,"_",""))-1)*LEN(D150)+1, LEN(D150))))
            &amp; "." &amp;
            VALUE(TRIM(RIGHT(SUBSTITUTE(D150,"_",REPT(" ",LEN(D150))),LEN(D150)))),
            "")))</f>
        <v/>
      </c>
      <c r="D150" s="26"/>
      <c r="E150" s="25"/>
      <c r="F150" s="25"/>
      <c r="G150" s="25"/>
      <c r="H150" s="25"/>
      <c r="I150" s="33"/>
      <c r="J150" s="25"/>
      <c r="K150" s="25"/>
      <c r="L150" s="191"/>
      <c r="M150" s="25"/>
      <c r="N150" s="33"/>
      <c r="O150" s="195"/>
      <c r="P150" s="192" t="str">
        <f t="shared" si="7"/>
        <v/>
      </c>
      <c r="Q150" s="79" t="str">
        <f t="shared" si="15"/>
        <v/>
      </c>
      <c r="R150" s="171">
        <f t="shared" si="16"/>
        <v>0</v>
      </c>
      <c r="S150" s="84">
        <f t="shared" si="40"/>
        <v>0</v>
      </c>
      <c r="T150" s="193">
        <f t="shared" si="10"/>
        <v>0</v>
      </c>
      <c r="U150" s="194">
        <f t="shared" si="11"/>
        <v>0</v>
      </c>
      <c r="V150" s="69" t="str">
        <f t="shared" si="17"/>
        <v/>
      </c>
      <c r="W150" s="69" t="str">
        <f t="shared" si="18"/>
        <v/>
      </c>
      <c r="X150" s="271" t="str">
        <f t="shared" si="41"/>
        <v/>
      </c>
      <c r="Y150" s="214">
        <f t="shared" si="39"/>
        <v>0</v>
      </c>
      <c r="Z150" s="32"/>
    </row>
    <row r="151" spans="1:26" ht="30" hidden="1" customHeight="1">
      <c r="A151" s="70" t="str">
        <f t="shared" si="13"/>
        <v/>
      </c>
      <c r="B151" s="70" t="str">
        <f t="shared" si="14"/>
        <v/>
      </c>
      <c r="C151" s="190" t="str">
        <f>IF(D151="","",
    IF(ISERR(SEARCH("_",D151)),
        IFERROR(_xlfn.AGGREGATE(14,6,$C$12:C150,1),0)+1,
        IFERROR(
            VALUE(TRIM(MID(SUBSTITUTE(D151,"_",REPT(" ",LEN(D151))), (LEN(D151)-LEN(SUBSTITUTE(D151,"_",""))-1)*LEN(D151)+1, LEN(D151))))
            &amp; "." &amp;
            VALUE(TRIM(RIGHT(SUBSTITUTE(D151,"_",REPT(" ",LEN(D151))),LEN(D151)))),
            "")))</f>
        <v/>
      </c>
      <c r="D151" s="26"/>
      <c r="E151" s="25"/>
      <c r="F151" s="25"/>
      <c r="G151" s="25"/>
      <c r="H151" s="25"/>
      <c r="I151" s="33"/>
      <c r="J151" s="25"/>
      <c r="K151" s="25"/>
      <c r="L151" s="191"/>
      <c r="M151" s="25"/>
      <c r="N151" s="33"/>
      <c r="O151" s="195"/>
      <c r="P151" s="192" t="str">
        <f t="shared" si="7"/>
        <v/>
      </c>
      <c r="Q151" s="79" t="str">
        <f t="shared" si="15"/>
        <v/>
      </c>
      <c r="R151" s="171">
        <f t="shared" si="16"/>
        <v>0</v>
      </c>
      <c r="S151" s="84">
        <f t="shared" si="40"/>
        <v>0</v>
      </c>
      <c r="T151" s="193">
        <f t="shared" si="10"/>
        <v>0</v>
      </c>
      <c r="U151" s="194">
        <f t="shared" si="11"/>
        <v>0</v>
      </c>
      <c r="V151" s="69" t="str">
        <f t="shared" si="17"/>
        <v/>
      </c>
      <c r="W151" s="69" t="str">
        <f t="shared" si="18"/>
        <v/>
      </c>
      <c r="X151" s="271" t="str">
        <f t="shared" si="41"/>
        <v/>
      </c>
      <c r="Y151" s="214">
        <f t="shared" si="39"/>
        <v>0</v>
      </c>
      <c r="Z151" s="32"/>
    </row>
    <row r="152" spans="1:26" ht="30" hidden="1" customHeight="1">
      <c r="A152" s="70" t="str">
        <f t="shared" si="13"/>
        <v/>
      </c>
      <c r="B152" s="70" t="str">
        <f t="shared" si="14"/>
        <v/>
      </c>
      <c r="C152" s="190" t="str">
        <f>IF(D152="","",
    IF(ISERR(SEARCH("_",D152)),
        IFERROR(_xlfn.AGGREGATE(14,6,$C$12:C151,1),0)+1,
        IFERROR(
            VALUE(TRIM(MID(SUBSTITUTE(D152,"_",REPT(" ",LEN(D152))), (LEN(D152)-LEN(SUBSTITUTE(D152,"_",""))-1)*LEN(D152)+1, LEN(D152))))
            &amp; "." &amp;
            VALUE(TRIM(RIGHT(SUBSTITUTE(D152,"_",REPT(" ",LEN(D152))),LEN(D152)))),
            "")))</f>
        <v/>
      </c>
      <c r="D152" s="26"/>
      <c r="E152" s="25"/>
      <c r="F152" s="25"/>
      <c r="G152" s="25"/>
      <c r="H152" s="25"/>
      <c r="I152" s="33"/>
      <c r="J152" s="25"/>
      <c r="K152" s="25"/>
      <c r="L152" s="191"/>
      <c r="M152" s="25"/>
      <c r="N152" s="33"/>
      <c r="O152" s="195"/>
      <c r="P152" s="192" t="str">
        <f t="shared" si="7"/>
        <v/>
      </c>
      <c r="Q152" s="79" t="str">
        <f t="shared" si="15"/>
        <v/>
      </c>
      <c r="R152" s="171">
        <f t="shared" si="16"/>
        <v>0</v>
      </c>
      <c r="S152" s="84">
        <f t="shared" si="40"/>
        <v>0</v>
      </c>
      <c r="T152" s="193">
        <f t="shared" si="10"/>
        <v>0</v>
      </c>
      <c r="U152" s="194">
        <f t="shared" si="11"/>
        <v>0</v>
      </c>
      <c r="V152" s="69" t="str">
        <f t="shared" si="17"/>
        <v/>
      </c>
      <c r="W152" s="69" t="str">
        <f t="shared" si="18"/>
        <v/>
      </c>
      <c r="X152" s="271" t="str">
        <f t="shared" si="41"/>
        <v/>
      </c>
      <c r="Y152" s="214">
        <f t="shared" si="39"/>
        <v>0</v>
      </c>
      <c r="Z152" s="32"/>
    </row>
    <row r="153" spans="1:26" ht="30" hidden="1" customHeight="1">
      <c r="A153" s="70" t="str">
        <f t="shared" si="13"/>
        <v/>
      </c>
      <c r="B153" s="70" t="str">
        <f t="shared" si="14"/>
        <v/>
      </c>
      <c r="C153" s="190" t="str">
        <f>IF(D153="","",
    IF(ISERR(SEARCH("_",D153)),
        IFERROR(_xlfn.AGGREGATE(14,6,$C$12:C152,1),0)+1,
        IFERROR(
            VALUE(TRIM(MID(SUBSTITUTE(D153,"_",REPT(" ",LEN(D153))), (LEN(D153)-LEN(SUBSTITUTE(D153,"_",""))-1)*LEN(D153)+1, LEN(D153))))
            &amp; "." &amp;
            VALUE(TRIM(RIGHT(SUBSTITUTE(D153,"_",REPT(" ",LEN(D153))),LEN(D153)))),
            "")))</f>
        <v/>
      </c>
      <c r="D153" s="26"/>
      <c r="E153" s="25"/>
      <c r="F153" s="25"/>
      <c r="G153" s="25"/>
      <c r="H153" s="25"/>
      <c r="I153" s="33"/>
      <c r="J153" s="25"/>
      <c r="K153" s="25"/>
      <c r="L153" s="191"/>
      <c r="M153" s="25"/>
      <c r="N153" s="33"/>
      <c r="O153" s="195"/>
      <c r="P153" s="192" t="str">
        <f t="shared" si="7"/>
        <v/>
      </c>
      <c r="Q153" s="79" t="str">
        <f t="shared" si="15"/>
        <v/>
      </c>
      <c r="R153" s="171">
        <f t="shared" si="16"/>
        <v>0</v>
      </c>
      <c r="S153" s="84">
        <f t="shared" si="40"/>
        <v>0</v>
      </c>
      <c r="T153" s="193">
        <f t="shared" si="10"/>
        <v>0</v>
      </c>
      <c r="U153" s="194">
        <f t="shared" si="11"/>
        <v>0</v>
      </c>
      <c r="V153" s="69" t="str">
        <f t="shared" si="17"/>
        <v/>
      </c>
      <c r="W153" s="69" t="str">
        <f t="shared" si="18"/>
        <v/>
      </c>
      <c r="X153" s="271" t="str">
        <f t="shared" si="41"/>
        <v/>
      </c>
      <c r="Y153" s="214">
        <f t="shared" si="39"/>
        <v>0</v>
      </c>
      <c r="Z153" s="32"/>
    </row>
    <row r="154" spans="1:26" ht="30" hidden="1" customHeight="1">
      <c r="A154" s="70" t="str">
        <f t="shared" si="13"/>
        <v/>
      </c>
      <c r="B154" s="70" t="str">
        <f t="shared" si="14"/>
        <v/>
      </c>
      <c r="C154" s="190" t="str">
        <f>IF(D154="","",
    IF(ISERR(SEARCH("_",D154)),
        IFERROR(_xlfn.AGGREGATE(14,6,$C$12:C153,1),0)+1,
        IFERROR(
            VALUE(TRIM(MID(SUBSTITUTE(D154,"_",REPT(" ",LEN(D154))), (LEN(D154)-LEN(SUBSTITUTE(D154,"_",""))-1)*LEN(D154)+1, LEN(D154))))
            &amp; "." &amp;
            VALUE(TRIM(RIGHT(SUBSTITUTE(D154,"_",REPT(" ",LEN(D154))),LEN(D154)))),
            "")))</f>
        <v/>
      </c>
      <c r="D154" s="26"/>
      <c r="E154" s="25"/>
      <c r="F154" s="25"/>
      <c r="G154" s="25"/>
      <c r="H154" s="25"/>
      <c r="I154" s="33"/>
      <c r="J154" s="25"/>
      <c r="K154" s="25"/>
      <c r="L154" s="191"/>
      <c r="M154" s="25"/>
      <c r="N154" s="33"/>
      <c r="O154" s="195"/>
      <c r="P154" s="192" t="str">
        <f t="shared" si="7"/>
        <v/>
      </c>
      <c r="Q154" s="79" t="str">
        <f t="shared" si="15"/>
        <v/>
      </c>
      <c r="R154" s="171">
        <f t="shared" si="16"/>
        <v>0</v>
      </c>
      <c r="S154" s="84">
        <f t="shared" si="40"/>
        <v>0</v>
      </c>
      <c r="T154" s="193">
        <f t="shared" si="10"/>
        <v>0</v>
      </c>
      <c r="U154" s="194">
        <f t="shared" si="11"/>
        <v>0</v>
      </c>
      <c r="V154" s="69" t="str">
        <f t="shared" si="17"/>
        <v/>
      </c>
      <c r="W154" s="69" t="str">
        <f t="shared" si="18"/>
        <v/>
      </c>
      <c r="X154" s="271" t="str">
        <f t="shared" si="41"/>
        <v/>
      </c>
      <c r="Y154" s="214">
        <f t="shared" si="39"/>
        <v>0</v>
      </c>
      <c r="Z154" s="32"/>
    </row>
    <row r="155" spans="1:26" ht="30" hidden="1" customHeight="1">
      <c r="A155" s="70" t="str">
        <f t="shared" si="13"/>
        <v/>
      </c>
      <c r="B155" s="70" t="str">
        <f t="shared" si="14"/>
        <v/>
      </c>
      <c r="C155" s="190" t="str">
        <f>IF(D155="","",
    IF(ISERR(SEARCH("_",D155)),
        IFERROR(_xlfn.AGGREGATE(14,6,$C$12:C154,1),0)+1,
        IFERROR(
            VALUE(TRIM(MID(SUBSTITUTE(D155,"_",REPT(" ",LEN(D155))), (LEN(D155)-LEN(SUBSTITUTE(D155,"_",""))-1)*LEN(D155)+1, LEN(D155))))
            &amp; "." &amp;
            VALUE(TRIM(RIGHT(SUBSTITUTE(D155,"_",REPT(" ",LEN(D155))),LEN(D155)))),
            "")))</f>
        <v/>
      </c>
      <c r="D155" s="26"/>
      <c r="E155" s="25"/>
      <c r="F155" s="25"/>
      <c r="G155" s="25"/>
      <c r="H155" s="25"/>
      <c r="I155" s="33"/>
      <c r="J155" s="25"/>
      <c r="K155" s="25"/>
      <c r="L155" s="191"/>
      <c r="M155" s="25"/>
      <c r="N155" s="33"/>
      <c r="O155" s="195"/>
      <c r="P155" s="192" t="str">
        <f t="shared" si="7"/>
        <v/>
      </c>
      <c r="Q155" s="79" t="str">
        <f t="shared" si="15"/>
        <v/>
      </c>
      <c r="R155" s="171">
        <f t="shared" si="16"/>
        <v>0</v>
      </c>
      <c r="S155" s="84">
        <f t="shared" si="40"/>
        <v>0</v>
      </c>
      <c r="T155" s="193">
        <f t="shared" si="10"/>
        <v>0</v>
      </c>
      <c r="U155" s="194">
        <f t="shared" si="11"/>
        <v>0</v>
      </c>
      <c r="V155" s="69" t="str">
        <f t="shared" si="17"/>
        <v/>
      </c>
      <c r="W155" s="69" t="str">
        <f t="shared" si="18"/>
        <v/>
      </c>
      <c r="X155" s="271" t="str">
        <f t="shared" si="41"/>
        <v/>
      </c>
      <c r="Y155" s="214">
        <f t="shared" si="39"/>
        <v>0</v>
      </c>
      <c r="Z155" s="32"/>
    </row>
    <row r="156" spans="1:26" ht="30" hidden="1" customHeight="1">
      <c r="A156" s="70" t="str">
        <f t="shared" si="13"/>
        <v/>
      </c>
      <c r="B156" s="70" t="str">
        <f t="shared" si="14"/>
        <v/>
      </c>
      <c r="C156" s="190" t="str">
        <f>IF(D156="","",
    IF(ISERR(SEARCH("_",D156)),
        IFERROR(_xlfn.AGGREGATE(14,6,$C$12:C155,1),0)+1,
        IFERROR(
            VALUE(TRIM(MID(SUBSTITUTE(D156,"_",REPT(" ",LEN(D156))), (LEN(D156)-LEN(SUBSTITUTE(D156,"_",""))-1)*LEN(D156)+1, LEN(D156))))
            &amp; "." &amp;
            VALUE(TRIM(RIGHT(SUBSTITUTE(D156,"_",REPT(" ",LEN(D156))),LEN(D156)))),
            "")))</f>
        <v/>
      </c>
      <c r="D156" s="26"/>
      <c r="E156" s="25"/>
      <c r="F156" s="25"/>
      <c r="G156" s="25"/>
      <c r="H156" s="25"/>
      <c r="I156" s="33"/>
      <c r="J156" s="25"/>
      <c r="K156" s="25"/>
      <c r="L156" s="191"/>
      <c r="M156" s="25"/>
      <c r="N156" s="25"/>
      <c r="O156" s="195"/>
      <c r="P156" s="192" t="str">
        <f t="shared" si="7"/>
        <v/>
      </c>
      <c r="Q156" s="79" t="str">
        <f t="shared" si="15"/>
        <v/>
      </c>
      <c r="R156" s="171">
        <f t="shared" si="16"/>
        <v>0</v>
      </c>
      <c r="S156" s="84">
        <f t="shared" si="40"/>
        <v>0</v>
      </c>
      <c r="T156" s="193">
        <f t="shared" si="10"/>
        <v>0</v>
      </c>
      <c r="U156" s="194">
        <f t="shared" si="11"/>
        <v>0</v>
      </c>
      <c r="V156" s="69" t="str">
        <f t="shared" si="17"/>
        <v/>
      </c>
      <c r="W156" s="69" t="str">
        <f t="shared" si="18"/>
        <v/>
      </c>
      <c r="X156" s="271" t="str">
        <f t="shared" si="41"/>
        <v/>
      </c>
      <c r="Y156" s="214">
        <f t="shared" si="39"/>
        <v>0</v>
      </c>
      <c r="Z156" s="32"/>
    </row>
    <row r="157" spans="1:26" ht="30" hidden="1" customHeight="1">
      <c r="A157" s="70" t="str">
        <f t="shared" si="13"/>
        <v/>
      </c>
      <c r="B157" s="70" t="str">
        <f t="shared" si="14"/>
        <v/>
      </c>
      <c r="C157" s="190" t="str">
        <f>IF(D157="","",
    IF(ISERR(SEARCH("_",D157)),
        IFERROR(_xlfn.AGGREGATE(14,6,$C$12:C156,1),0)+1,
        IFERROR(
            VALUE(TRIM(MID(SUBSTITUTE(D157,"_",REPT(" ",LEN(D157))), (LEN(D157)-LEN(SUBSTITUTE(D157,"_",""))-1)*LEN(D157)+1, LEN(D157))))
            &amp; "." &amp;
            VALUE(TRIM(RIGHT(SUBSTITUTE(D157,"_",REPT(" ",LEN(D157))),LEN(D157)))),
            "")))</f>
        <v/>
      </c>
      <c r="D157" s="26"/>
      <c r="E157" s="25"/>
      <c r="F157" s="25"/>
      <c r="G157" s="25"/>
      <c r="H157" s="25"/>
      <c r="I157" s="33"/>
      <c r="J157" s="25"/>
      <c r="K157" s="25"/>
      <c r="L157" s="191"/>
      <c r="M157" s="25"/>
      <c r="N157" s="33"/>
      <c r="O157" s="195"/>
      <c r="P157" s="192" t="str">
        <f t="shared" si="7"/>
        <v/>
      </c>
      <c r="Q157" s="79" t="str">
        <f t="shared" si="15"/>
        <v/>
      </c>
      <c r="R157" s="171">
        <f t="shared" si="16"/>
        <v>0</v>
      </c>
      <c r="S157" s="84">
        <f t="shared" si="40"/>
        <v>0</v>
      </c>
      <c r="T157" s="193">
        <f t="shared" si="10"/>
        <v>0</v>
      </c>
      <c r="U157" s="194">
        <f t="shared" si="11"/>
        <v>0</v>
      </c>
      <c r="V157" s="69" t="str">
        <f t="shared" si="17"/>
        <v/>
      </c>
      <c r="W157" s="69" t="str">
        <f t="shared" si="18"/>
        <v/>
      </c>
      <c r="X157" s="271" t="str">
        <f t="shared" si="41"/>
        <v/>
      </c>
      <c r="Y157" s="214">
        <f t="shared" si="39"/>
        <v>0</v>
      </c>
      <c r="Z157" s="32"/>
    </row>
    <row r="158" spans="1:26" ht="30" hidden="1" customHeight="1">
      <c r="A158" s="70" t="str">
        <f t="shared" si="13"/>
        <v/>
      </c>
      <c r="B158" s="70" t="str">
        <f t="shared" si="14"/>
        <v/>
      </c>
      <c r="C158" s="190" t="str">
        <f>IF(D158="","",
    IF(ISERR(SEARCH("_",D158)),
        IFERROR(_xlfn.AGGREGATE(14,6,$C$12:C157,1),0)+1,
        IFERROR(
            VALUE(TRIM(MID(SUBSTITUTE(D158,"_",REPT(" ",LEN(D158))), (LEN(D158)-LEN(SUBSTITUTE(D158,"_",""))-1)*LEN(D158)+1, LEN(D158))))
            &amp; "." &amp;
            VALUE(TRIM(RIGHT(SUBSTITUTE(D158,"_",REPT(" ",LEN(D158))),LEN(D158)))),
            "")))</f>
        <v/>
      </c>
      <c r="D158" s="26"/>
      <c r="E158" s="25"/>
      <c r="F158" s="25"/>
      <c r="G158" s="25"/>
      <c r="H158" s="25"/>
      <c r="I158" s="33"/>
      <c r="J158" s="25"/>
      <c r="K158" s="25"/>
      <c r="L158" s="191"/>
      <c r="M158" s="25"/>
      <c r="N158" s="33"/>
      <c r="O158" s="195"/>
      <c r="P158" s="192" t="str">
        <f t="shared" si="7"/>
        <v/>
      </c>
      <c r="Q158" s="79" t="str">
        <f t="shared" si="15"/>
        <v/>
      </c>
      <c r="R158" s="171">
        <f t="shared" si="16"/>
        <v>0</v>
      </c>
      <c r="S158" s="84">
        <f t="shared" si="40"/>
        <v>0</v>
      </c>
      <c r="T158" s="193">
        <f t="shared" si="10"/>
        <v>0</v>
      </c>
      <c r="U158" s="194">
        <f t="shared" si="11"/>
        <v>0</v>
      </c>
      <c r="V158" s="69" t="str">
        <f t="shared" si="17"/>
        <v/>
      </c>
      <c r="W158" s="69" t="str">
        <f t="shared" si="18"/>
        <v/>
      </c>
      <c r="X158" s="271" t="str">
        <f t="shared" si="41"/>
        <v/>
      </c>
      <c r="Y158" s="214">
        <f t="shared" si="39"/>
        <v>0</v>
      </c>
      <c r="Z158" s="32"/>
    </row>
    <row r="159" spans="1:26" ht="30" hidden="1" customHeight="1">
      <c r="A159" s="70" t="str">
        <f t="shared" si="13"/>
        <v/>
      </c>
      <c r="B159" s="70" t="str">
        <f t="shared" si="14"/>
        <v/>
      </c>
      <c r="C159" s="190" t="str">
        <f>IF(D159="","",
    IF(ISERR(SEARCH("_",D159)),
        IFERROR(_xlfn.AGGREGATE(14,6,$C$12:C158,1),0)+1,
        IFERROR(
            VALUE(TRIM(MID(SUBSTITUTE(D159,"_",REPT(" ",LEN(D159))), (LEN(D159)-LEN(SUBSTITUTE(D159,"_",""))-1)*LEN(D159)+1, LEN(D159))))
            &amp; "." &amp;
            VALUE(TRIM(RIGHT(SUBSTITUTE(D159,"_",REPT(" ",LEN(D159))),LEN(D159)))),
            "")))</f>
        <v/>
      </c>
      <c r="D159" s="26"/>
      <c r="E159" s="25"/>
      <c r="F159" s="25"/>
      <c r="G159" s="25"/>
      <c r="H159" s="25"/>
      <c r="I159" s="33"/>
      <c r="J159" s="25"/>
      <c r="K159" s="25"/>
      <c r="L159" s="191"/>
      <c r="M159" s="25"/>
      <c r="N159" s="33"/>
      <c r="O159" s="195"/>
      <c r="P159" s="192" t="str">
        <f t="shared" si="7"/>
        <v/>
      </c>
      <c r="Q159" s="79" t="str">
        <f t="shared" si="15"/>
        <v/>
      </c>
      <c r="R159" s="171">
        <f t="shared" si="16"/>
        <v>0</v>
      </c>
      <c r="S159" s="84">
        <f t="shared" si="40"/>
        <v>0</v>
      </c>
      <c r="T159" s="193">
        <f t="shared" si="10"/>
        <v>0</v>
      </c>
      <c r="U159" s="194">
        <f t="shared" si="11"/>
        <v>0</v>
      </c>
      <c r="V159" s="69" t="str">
        <f t="shared" si="17"/>
        <v/>
      </c>
      <c r="W159" s="69" t="str">
        <f t="shared" si="18"/>
        <v/>
      </c>
      <c r="X159" s="271" t="str">
        <f t="shared" si="41"/>
        <v/>
      </c>
      <c r="Y159" s="214">
        <f t="shared" si="39"/>
        <v>0</v>
      </c>
      <c r="Z159" s="32"/>
    </row>
    <row r="160" spans="1:26" ht="30" hidden="1" customHeight="1">
      <c r="A160" s="70" t="str">
        <f t="shared" si="13"/>
        <v/>
      </c>
      <c r="B160" s="70" t="str">
        <f t="shared" si="14"/>
        <v/>
      </c>
      <c r="C160" s="190" t="str">
        <f>IF(D160="","",
    IF(ISERR(SEARCH("_",D160)),
        IFERROR(_xlfn.AGGREGATE(14,6,$C$12:C159,1),0)+1,
        IFERROR(
            VALUE(TRIM(MID(SUBSTITUTE(D160,"_",REPT(" ",LEN(D160))), (LEN(D160)-LEN(SUBSTITUTE(D160,"_",""))-1)*LEN(D160)+1, LEN(D160))))
            &amp; "." &amp;
            VALUE(TRIM(RIGHT(SUBSTITUTE(D160,"_",REPT(" ",LEN(D160))),LEN(D160)))),
            "")))</f>
        <v/>
      </c>
      <c r="D160" s="26"/>
      <c r="E160" s="25"/>
      <c r="F160" s="25"/>
      <c r="G160" s="25"/>
      <c r="H160" s="25"/>
      <c r="I160" s="33"/>
      <c r="J160" s="25"/>
      <c r="K160" s="25"/>
      <c r="L160" s="191"/>
      <c r="M160" s="25"/>
      <c r="N160" s="33"/>
      <c r="O160" s="195"/>
      <c r="P160" s="192" t="str">
        <f t="shared" si="7"/>
        <v/>
      </c>
      <c r="Q160" s="79" t="str">
        <f t="shared" si="15"/>
        <v/>
      </c>
      <c r="R160" s="171">
        <f t="shared" si="16"/>
        <v>0</v>
      </c>
      <c r="S160" s="84">
        <f t="shared" si="40"/>
        <v>0</v>
      </c>
      <c r="T160" s="193">
        <f t="shared" si="10"/>
        <v>0</v>
      </c>
      <c r="U160" s="194">
        <f t="shared" si="11"/>
        <v>0</v>
      </c>
      <c r="V160" s="69" t="str">
        <f t="shared" si="17"/>
        <v/>
      </c>
      <c r="W160" s="69" t="str">
        <f t="shared" si="18"/>
        <v/>
      </c>
      <c r="X160" s="271" t="str">
        <f t="shared" si="41"/>
        <v/>
      </c>
      <c r="Y160" s="214">
        <f t="shared" si="39"/>
        <v>0</v>
      </c>
      <c r="Z160" s="32"/>
    </row>
    <row r="161" spans="1:26" ht="30" hidden="1" customHeight="1">
      <c r="A161" s="70" t="str">
        <f t="shared" si="13"/>
        <v/>
      </c>
      <c r="B161" s="70" t="str">
        <f t="shared" si="14"/>
        <v/>
      </c>
      <c r="C161" s="190" t="str">
        <f>IF(D161="","",
    IF(ISERR(SEARCH("_",D161)),
        IFERROR(_xlfn.AGGREGATE(14,6,$C$12:C160,1),0)+1,
        IFERROR(
            VALUE(TRIM(MID(SUBSTITUTE(D161,"_",REPT(" ",LEN(D161))), (LEN(D161)-LEN(SUBSTITUTE(D161,"_",""))-1)*LEN(D161)+1, LEN(D161))))
            &amp; "." &amp;
            VALUE(TRIM(RIGHT(SUBSTITUTE(D161,"_",REPT(" ",LEN(D161))),LEN(D161)))),
            "")))</f>
        <v/>
      </c>
      <c r="D161" s="26"/>
      <c r="E161" s="25"/>
      <c r="F161" s="25"/>
      <c r="G161" s="25"/>
      <c r="H161" s="25"/>
      <c r="I161" s="33"/>
      <c r="J161" s="25"/>
      <c r="K161" s="25"/>
      <c r="L161" s="191"/>
      <c r="M161" s="25"/>
      <c r="N161" s="33"/>
      <c r="O161" s="195"/>
      <c r="P161" s="192" t="str">
        <f t="shared" si="7"/>
        <v/>
      </c>
      <c r="Q161" s="79" t="str">
        <f t="shared" si="15"/>
        <v/>
      </c>
      <c r="R161" s="171">
        <f t="shared" si="16"/>
        <v>0</v>
      </c>
      <c r="S161" s="84">
        <f t="shared" si="40"/>
        <v>0</v>
      </c>
      <c r="T161" s="193">
        <f t="shared" si="10"/>
        <v>0</v>
      </c>
      <c r="U161" s="194">
        <f t="shared" si="11"/>
        <v>0</v>
      </c>
      <c r="V161" s="69" t="str">
        <f t="shared" si="17"/>
        <v/>
      </c>
      <c r="W161" s="69" t="str">
        <f t="shared" si="18"/>
        <v/>
      </c>
      <c r="X161" s="271" t="str">
        <f t="shared" si="41"/>
        <v/>
      </c>
      <c r="Y161" s="214">
        <f t="shared" si="39"/>
        <v>0</v>
      </c>
      <c r="Z161" s="32"/>
    </row>
    <row r="162" spans="1:26" ht="30" hidden="1" customHeight="1">
      <c r="A162" s="70" t="str">
        <f t="shared" si="13"/>
        <v/>
      </c>
      <c r="B162" s="70" t="str">
        <f t="shared" si="14"/>
        <v/>
      </c>
      <c r="C162" s="190" t="str">
        <f>IF(D162="","",
    IF(ISERR(SEARCH("_",D162)),
        IFERROR(_xlfn.AGGREGATE(14,6,$C$12:C161,1),0)+1,
        IFERROR(
            VALUE(TRIM(MID(SUBSTITUTE(D162,"_",REPT(" ",LEN(D162))), (LEN(D162)-LEN(SUBSTITUTE(D162,"_",""))-1)*LEN(D162)+1, LEN(D162))))
            &amp; "." &amp;
            VALUE(TRIM(RIGHT(SUBSTITUTE(D162,"_",REPT(" ",LEN(D162))),LEN(D162)))),
            "")))</f>
        <v/>
      </c>
      <c r="D162" s="26"/>
      <c r="E162" s="25"/>
      <c r="F162" s="25"/>
      <c r="G162" s="25"/>
      <c r="H162" s="25"/>
      <c r="I162" s="33"/>
      <c r="J162" s="25"/>
      <c r="K162" s="25"/>
      <c r="L162" s="191"/>
      <c r="M162" s="25"/>
      <c r="N162" s="33"/>
      <c r="O162" s="195"/>
      <c r="P162" s="192" t="str">
        <f t="shared" si="7"/>
        <v/>
      </c>
      <c r="Q162" s="79" t="str">
        <f t="shared" si="15"/>
        <v/>
      </c>
      <c r="R162" s="171">
        <f t="shared" si="16"/>
        <v>0</v>
      </c>
      <c r="S162" s="84">
        <f t="shared" si="40"/>
        <v>0</v>
      </c>
      <c r="T162" s="193">
        <f t="shared" si="10"/>
        <v>0</v>
      </c>
      <c r="U162" s="194">
        <f t="shared" si="11"/>
        <v>0</v>
      </c>
      <c r="V162" s="69" t="str">
        <f t="shared" si="17"/>
        <v/>
      </c>
      <c r="W162" s="69" t="str">
        <f t="shared" si="18"/>
        <v/>
      </c>
      <c r="X162" s="271" t="str">
        <f t="shared" si="41"/>
        <v/>
      </c>
      <c r="Y162" s="214">
        <f t="shared" si="39"/>
        <v>0</v>
      </c>
      <c r="Z162" s="32"/>
    </row>
    <row r="163" spans="1:26" ht="30" hidden="1" customHeight="1">
      <c r="A163" s="70" t="str">
        <f t="shared" si="13"/>
        <v/>
      </c>
      <c r="B163" s="70" t="str">
        <f t="shared" si="14"/>
        <v/>
      </c>
      <c r="C163" s="190" t="str">
        <f>IF(D163="","",
    IF(ISERR(SEARCH("_",D163)),
        IFERROR(_xlfn.AGGREGATE(14,6,$C$12:C162,1),0)+1,
        IFERROR(
            VALUE(TRIM(MID(SUBSTITUTE(D163,"_",REPT(" ",LEN(D163))), (LEN(D163)-LEN(SUBSTITUTE(D163,"_",""))-1)*LEN(D163)+1, LEN(D163))))
            &amp; "." &amp;
            VALUE(TRIM(RIGHT(SUBSTITUTE(D163,"_",REPT(" ",LEN(D163))),LEN(D163)))),
            "")))</f>
        <v/>
      </c>
      <c r="D163" s="26"/>
      <c r="E163" s="25"/>
      <c r="F163" s="25"/>
      <c r="G163" s="25"/>
      <c r="H163" s="25"/>
      <c r="I163" s="33"/>
      <c r="J163" s="25"/>
      <c r="K163" s="25"/>
      <c r="L163" s="191"/>
      <c r="M163" s="25"/>
      <c r="N163" s="33"/>
      <c r="O163" s="195"/>
      <c r="P163" s="192" t="str">
        <f t="shared" si="7"/>
        <v/>
      </c>
      <c r="Q163" s="79" t="str">
        <f t="shared" si="15"/>
        <v/>
      </c>
      <c r="R163" s="171">
        <f t="shared" si="16"/>
        <v>0</v>
      </c>
      <c r="S163" s="84">
        <f t="shared" si="40"/>
        <v>0</v>
      </c>
      <c r="T163" s="193">
        <f t="shared" si="10"/>
        <v>0</v>
      </c>
      <c r="U163" s="194">
        <f t="shared" si="11"/>
        <v>0</v>
      </c>
      <c r="V163" s="69" t="str">
        <f t="shared" si="17"/>
        <v/>
      </c>
      <c r="W163" s="69" t="str">
        <f t="shared" si="18"/>
        <v/>
      </c>
      <c r="X163" s="271" t="str">
        <f t="shared" si="41"/>
        <v/>
      </c>
      <c r="Y163" s="214">
        <f t="shared" si="39"/>
        <v>0</v>
      </c>
      <c r="Z163" s="32"/>
    </row>
    <row r="164" spans="1:26" ht="30" hidden="1" customHeight="1">
      <c r="A164" s="70" t="str">
        <f t="shared" si="13"/>
        <v/>
      </c>
      <c r="B164" s="70" t="str">
        <f t="shared" si="14"/>
        <v/>
      </c>
      <c r="C164" s="190" t="str">
        <f>IF(D164="","",
    IF(ISERR(SEARCH("_",D164)),
        IFERROR(_xlfn.AGGREGATE(14,6,$C$12:C163,1),0)+1,
        IFERROR(
            VALUE(TRIM(MID(SUBSTITUTE(D164,"_",REPT(" ",LEN(D164))), (LEN(D164)-LEN(SUBSTITUTE(D164,"_",""))-1)*LEN(D164)+1, LEN(D164))))
            &amp; "." &amp;
            VALUE(TRIM(RIGHT(SUBSTITUTE(D164,"_",REPT(" ",LEN(D164))),LEN(D164)))),
            "")))</f>
        <v/>
      </c>
      <c r="D164" s="26"/>
      <c r="E164" s="25"/>
      <c r="F164" s="25"/>
      <c r="G164" s="25"/>
      <c r="H164" s="25"/>
      <c r="I164" s="33"/>
      <c r="J164" s="25"/>
      <c r="K164" s="25"/>
      <c r="L164" s="191"/>
      <c r="M164" s="25"/>
      <c r="N164" s="33"/>
      <c r="O164" s="195"/>
      <c r="P164" s="192" t="str">
        <f t="shared" si="7"/>
        <v/>
      </c>
      <c r="Q164" s="79" t="str">
        <f t="shared" si="15"/>
        <v/>
      </c>
      <c r="R164" s="171">
        <f t="shared" si="16"/>
        <v>0</v>
      </c>
      <c r="S164" s="84">
        <f t="shared" si="40"/>
        <v>0</v>
      </c>
      <c r="T164" s="193">
        <f t="shared" si="10"/>
        <v>0</v>
      </c>
      <c r="U164" s="194">
        <f t="shared" si="11"/>
        <v>0</v>
      </c>
      <c r="V164" s="69" t="str">
        <f t="shared" si="17"/>
        <v/>
      </c>
      <c r="W164" s="69" t="str">
        <f t="shared" si="18"/>
        <v/>
      </c>
      <c r="X164" s="271" t="str">
        <f t="shared" si="41"/>
        <v/>
      </c>
      <c r="Y164" s="214">
        <f t="shared" si="39"/>
        <v>0</v>
      </c>
      <c r="Z164" s="32"/>
    </row>
    <row r="165" spans="1:26" ht="30" hidden="1" customHeight="1">
      <c r="A165" s="70" t="str">
        <f t="shared" si="13"/>
        <v/>
      </c>
      <c r="B165" s="70" t="str">
        <f t="shared" si="14"/>
        <v/>
      </c>
      <c r="C165" s="190" t="str">
        <f>IF(D165="","",
    IF(ISERR(SEARCH("_",D165)),
        IFERROR(_xlfn.AGGREGATE(14,6,$C$12:C164,1),0)+1,
        IFERROR(
            VALUE(TRIM(MID(SUBSTITUTE(D165,"_",REPT(" ",LEN(D165))), (LEN(D165)-LEN(SUBSTITUTE(D165,"_",""))-1)*LEN(D165)+1, LEN(D165))))
            &amp; "." &amp;
            VALUE(TRIM(RIGHT(SUBSTITUTE(D165,"_",REPT(" ",LEN(D165))),LEN(D165)))),
            "")))</f>
        <v/>
      </c>
      <c r="D165" s="26"/>
      <c r="E165" s="25"/>
      <c r="F165" s="25"/>
      <c r="G165" s="25"/>
      <c r="H165" s="25"/>
      <c r="I165" s="33"/>
      <c r="J165" s="25"/>
      <c r="K165" s="25"/>
      <c r="L165" s="191"/>
      <c r="M165" s="25"/>
      <c r="N165" s="33"/>
      <c r="O165" s="195"/>
      <c r="P165" s="192" t="str">
        <f t="shared" si="7"/>
        <v/>
      </c>
      <c r="Q165" s="79" t="str">
        <f t="shared" si="15"/>
        <v/>
      </c>
      <c r="R165" s="171">
        <f t="shared" si="16"/>
        <v>0</v>
      </c>
      <c r="S165" s="84">
        <f t="shared" si="40"/>
        <v>0</v>
      </c>
      <c r="T165" s="193">
        <f t="shared" si="10"/>
        <v>0</v>
      </c>
      <c r="U165" s="194">
        <f t="shared" si="11"/>
        <v>0</v>
      </c>
      <c r="V165" s="69" t="str">
        <f t="shared" si="17"/>
        <v/>
      </c>
      <c r="W165" s="69" t="str">
        <f t="shared" si="18"/>
        <v/>
      </c>
      <c r="X165" s="271" t="str">
        <f t="shared" si="41"/>
        <v/>
      </c>
      <c r="Y165" s="214">
        <f t="shared" si="39"/>
        <v>0</v>
      </c>
      <c r="Z165" s="32"/>
    </row>
    <row r="166" spans="1:26" ht="30" hidden="1" customHeight="1">
      <c r="A166" s="70" t="str">
        <f t="shared" si="13"/>
        <v/>
      </c>
      <c r="B166" s="70" t="str">
        <f t="shared" si="14"/>
        <v/>
      </c>
      <c r="C166" s="190" t="str">
        <f>IF(D166="","",
    IF(ISERR(SEARCH("_",D166)),
        IFERROR(_xlfn.AGGREGATE(14,6,$C$12:C165,1),0)+1,
        IFERROR(
            VALUE(TRIM(MID(SUBSTITUTE(D166,"_",REPT(" ",LEN(D166))), (LEN(D166)-LEN(SUBSTITUTE(D166,"_",""))-1)*LEN(D166)+1, LEN(D166))))
            &amp; "." &amp;
            VALUE(TRIM(RIGHT(SUBSTITUTE(D166,"_",REPT(" ",LEN(D166))),LEN(D166)))),
            "")))</f>
        <v/>
      </c>
      <c r="D166" s="26"/>
      <c r="E166" s="25"/>
      <c r="F166" s="25"/>
      <c r="G166" s="25"/>
      <c r="H166" s="25"/>
      <c r="I166" s="33"/>
      <c r="J166" s="25"/>
      <c r="K166" s="25"/>
      <c r="L166" s="191"/>
      <c r="M166" s="25"/>
      <c r="N166" s="33"/>
      <c r="O166" s="195"/>
      <c r="P166" s="192" t="str">
        <f t="shared" si="7"/>
        <v/>
      </c>
      <c r="Q166" s="79" t="str">
        <f t="shared" si="15"/>
        <v/>
      </c>
      <c r="R166" s="171">
        <f t="shared" si="16"/>
        <v>0</v>
      </c>
      <c r="S166" s="84">
        <f t="shared" si="40"/>
        <v>0</v>
      </c>
      <c r="T166" s="193">
        <f t="shared" si="10"/>
        <v>0</v>
      </c>
      <c r="U166" s="194">
        <f t="shared" si="11"/>
        <v>0</v>
      </c>
      <c r="V166" s="69" t="str">
        <f t="shared" si="17"/>
        <v/>
      </c>
      <c r="W166" s="69" t="str">
        <f t="shared" si="18"/>
        <v/>
      </c>
      <c r="X166" s="271" t="str">
        <f t="shared" si="41"/>
        <v/>
      </c>
      <c r="Y166" s="214">
        <f t="shared" si="39"/>
        <v>0</v>
      </c>
      <c r="Z166" s="32"/>
    </row>
    <row r="167" spans="1:26" ht="30" hidden="1" customHeight="1">
      <c r="A167" s="70" t="str">
        <f t="shared" si="13"/>
        <v/>
      </c>
      <c r="B167" s="70" t="str">
        <f t="shared" si="14"/>
        <v/>
      </c>
      <c r="C167" s="190" t="str">
        <f>IF(D167="","",
    IF(ISERR(SEARCH("_",D167)),
        IFERROR(_xlfn.AGGREGATE(14,6,$C$12:C166,1),0)+1,
        IFERROR(
            VALUE(TRIM(MID(SUBSTITUTE(D167,"_",REPT(" ",LEN(D167))), (LEN(D167)-LEN(SUBSTITUTE(D167,"_",""))-1)*LEN(D167)+1, LEN(D167))))
            &amp; "." &amp;
            VALUE(TRIM(RIGHT(SUBSTITUTE(D167,"_",REPT(" ",LEN(D167))),LEN(D167)))),
            "")))</f>
        <v/>
      </c>
      <c r="D167" s="26"/>
      <c r="E167" s="25"/>
      <c r="F167" s="25"/>
      <c r="G167" s="25"/>
      <c r="H167" s="25"/>
      <c r="I167" s="33"/>
      <c r="J167" s="25"/>
      <c r="K167" s="25"/>
      <c r="L167" s="191"/>
      <c r="M167" s="25"/>
      <c r="N167" s="33"/>
      <c r="O167" s="195"/>
      <c r="P167" s="192" t="str">
        <f t="shared" si="7"/>
        <v/>
      </c>
      <c r="Q167" s="79" t="str">
        <f t="shared" si="15"/>
        <v/>
      </c>
      <c r="R167" s="171">
        <f t="shared" si="16"/>
        <v>0</v>
      </c>
      <c r="S167" s="84">
        <f t="shared" si="40"/>
        <v>0</v>
      </c>
      <c r="T167" s="193">
        <f t="shared" si="10"/>
        <v>0</v>
      </c>
      <c r="U167" s="194">
        <f t="shared" si="11"/>
        <v>0</v>
      </c>
      <c r="V167" s="69" t="str">
        <f t="shared" si="17"/>
        <v/>
      </c>
      <c r="W167" s="69" t="str">
        <f t="shared" si="18"/>
        <v/>
      </c>
      <c r="X167" s="271" t="str">
        <f t="shared" si="41"/>
        <v/>
      </c>
      <c r="Y167" s="214">
        <f t="shared" si="39"/>
        <v>0</v>
      </c>
      <c r="Z167" s="32"/>
    </row>
    <row r="168" spans="1:26" ht="30" hidden="1" customHeight="1">
      <c r="A168" s="70" t="str">
        <f t="shared" si="13"/>
        <v/>
      </c>
      <c r="B168" s="70" t="str">
        <f t="shared" si="14"/>
        <v/>
      </c>
      <c r="C168" s="190" t="str">
        <f>IF(D168="","",
    IF(ISERR(SEARCH("_",D168)),
        IFERROR(_xlfn.AGGREGATE(14,6,$C$12:C167,1),0)+1,
        IFERROR(
            VALUE(TRIM(MID(SUBSTITUTE(D168,"_",REPT(" ",LEN(D168))), (LEN(D168)-LEN(SUBSTITUTE(D168,"_",""))-1)*LEN(D168)+1, LEN(D168))))
            &amp; "." &amp;
            VALUE(TRIM(RIGHT(SUBSTITUTE(D168,"_",REPT(" ",LEN(D168))),LEN(D168)))),
            "")))</f>
        <v/>
      </c>
      <c r="D168" s="26"/>
      <c r="E168" s="25"/>
      <c r="F168" s="25"/>
      <c r="G168" s="25"/>
      <c r="H168" s="25"/>
      <c r="I168" s="33"/>
      <c r="J168" s="25"/>
      <c r="K168" s="25"/>
      <c r="L168" s="191"/>
      <c r="M168" s="25"/>
      <c r="N168" s="33"/>
      <c r="O168" s="195"/>
      <c r="P168" s="192" t="str">
        <f t="shared" si="7"/>
        <v/>
      </c>
      <c r="Q168" s="79" t="str">
        <f t="shared" si="15"/>
        <v/>
      </c>
      <c r="R168" s="171">
        <f t="shared" si="16"/>
        <v>0</v>
      </c>
      <c r="S168" s="84">
        <f t="shared" si="40"/>
        <v>0</v>
      </c>
      <c r="T168" s="193">
        <f t="shared" si="10"/>
        <v>0</v>
      </c>
      <c r="U168" s="194">
        <f t="shared" si="11"/>
        <v>0</v>
      </c>
      <c r="V168" s="69" t="str">
        <f t="shared" si="17"/>
        <v/>
      </c>
      <c r="W168" s="69" t="str">
        <f t="shared" si="18"/>
        <v/>
      </c>
      <c r="X168" s="271" t="str">
        <f t="shared" si="41"/>
        <v/>
      </c>
      <c r="Y168" s="214">
        <f t="shared" si="39"/>
        <v>0</v>
      </c>
      <c r="Z168" s="32"/>
    </row>
    <row r="169" spans="1:26" ht="30" hidden="1" customHeight="1">
      <c r="A169" s="70" t="str">
        <f t="shared" si="13"/>
        <v/>
      </c>
      <c r="B169" s="70" t="str">
        <f t="shared" si="14"/>
        <v/>
      </c>
      <c r="C169" s="190" t="str">
        <f>IF(D169="","",
    IF(ISERR(SEARCH("_",D169)),
        IFERROR(_xlfn.AGGREGATE(14,6,$C$12:C168,1),0)+1,
        IFERROR(
            VALUE(TRIM(MID(SUBSTITUTE(D169,"_",REPT(" ",LEN(D169))), (LEN(D169)-LEN(SUBSTITUTE(D169,"_",""))-1)*LEN(D169)+1, LEN(D169))))
            &amp; "." &amp;
            VALUE(TRIM(RIGHT(SUBSTITUTE(D169,"_",REPT(" ",LEN(D169))),LEN(D169)))),
            "")))</f>
        <v/>
      </c>
      <c r="D169" s="26"/>
      <c r="E169" s="25"/>
      <c r="F169" s="25"/>
      <c r="G169" s="25"/>
      <c r="H169" s="25"/>
      <c r="I169" s="33"/>
      <c r="J169" s="25"/>
      <c r="K169" s="25"/>
      <c r="L169" s="191"/>
      <c r="M169" s="25"/>
      <c r="N169" s="33"/>
      <c r="O169" s="195"/>
      <c r="P169" s="192" t="str">
        <f t="shared" si="7"/>
        <v/>
      </c>
      <c r="Q169" s="79" t="str">
        <f t="shared" si="15"/>
        <v/>
      </c>
      <c r="R169" s="171">
        <f t="shared" si="16"/>
        <v>0</v>
      </c>
      <c r="S169" s="84">
        <f t="shared" si="40"/>
        <v>0</v>
      </c>
      <c r="T169" s="193">
        <f t="shared" si="10"/>
        <v>0</v>
      </c>
      <c r="U169" s="194">
        <f t="shared" si="11"/>
        <v>0</v>
      </c>
      <c r="V169" s="69" t="str">
        <f t="shared" si="17"/>
        <v/>
      </c>
      <c r="W169" s="69" t="str">
        <f t="shared" si="18"/>
        <v/>
      </c>
      <c r="X169" s="271" t="str">
        <f t="shared" si="41"/>
        <v/>
      </c>
      <c r="Y169" s="214">
        <f t="shared" si="39"/>
        <v>0</v>
      </c>
      <c r="Z169" s="32"/>
    </row>
    <row r="170" spans="1:26" ht="30" hidden="1" customHeight="1">
      <c r="A170" s="70" t="str">
        <f t="shared" si="13"/>
        <v/>
      </c>
      <c r="B170" s="70" t="str">
        <f t="shared" si="14"/>
        <v/>
      </c>
      <c r="C170" s="190" t="str">
        <f>IF(D170="","",
    IF(ISERR(SEARCH("_",D170)),
        IFERROR(_xlfn.AGGREGATE(14,6,$C$12:C169,1),0)+1,
        IFERROR(
            VALUE(TRIM(MID(SUBSTITUTE(D170,"_",REPT(" ",LEN(D170))), (LEN(D170)-LEN(SUBSTITUTE(D170,"_",""))-1)*LEN(D170)+1, LEN(D170))))
            &amp; "." &amp;
            VALUE(TRIM(RIGHT(SUBSTITUTE(D170,"_",REPT(" ",LEN(D170))),LEN(D170)))),
            "")))</f>
        <v/>
      </c>
      <c r="D170" s="26"/>
      <c r="E170" s="25"/>
      <c r="F170" s="25"/>
      <c r="G170" s="25"/>
      <c r="H170" s="25"/>
      <c r="I170" s="33"/>
      <c r="J170" s="25"/>
      <c r="K170" s="25"/>
      <c r="L170" s="191"/>
      <c r="M170" s="25"/>
      <c r="N170" s="33"/>
      <c r="O170" s="195"/>
      <c r="P170" s="192" t="str">
        <f t="shared" si="7"/>
        <v/>
      </c>
      <c r="Q170" s="79" t="str">
        <f t="shared" si="15"/>
        <v/>
      </c>
      <c r="R170" s="171">
        <f t="shared" si="16"/>
        <v>0</v>
      </c>
      <c r="S170" s="84">
        <f t="shared" si="40"/>
        <v>0</v>
      </c>
      <c r="T170" s="193">
        <f t="shared" si="10"/>
        <v>0</v>
      </c>
      <c r="U170" s="194">
        <f t="shared" si="11"/>
        <v>0</v>
      </c>
      <c r="V170" s="69" t="str">
        <f t="shared" si="17"/>
        <v/>
      </c>
      <c r="W170" s="69" t="str">
        <f t="shared" si="18"/>
        <v/>
      </c>
      <c r="X170" s="271" t="str">
        <f t="shared" si="41"/>
        <v/>
      </c>
      <c r="Y170" s="214">
        <f t="shared" si="39"/>
        <v>0</v>
      </c>
      <c r="Z170" s="32"/>
    </row>
    <row r="171" spans="1:26" ht="30" hidden="1" customHeight="1">
      <c r="A171" s="70" t="str">
        <f t="shared" si="13"/>
        <v/>
      </c>
      <c r="B171" s="70" t="str">
        <f t="shared" si="14"/>
        <v/>
      </c>
      <c r="C171" s="190" t="str">
        <f>IF(D171="","",
    IF(ISERR(SEARCH("_",D171)),
        IFERROR(_xlfn.AGGREGATE(14,6,$C$12:C170,1),0)+1,
        IFERROR(
            VALUE(TRIM(MID(SUBSTITUTE(D171,"_",REPT(" ",LEN(D171))), (LEN(D171)-LEN(SUBSTITUTE(D171,"_",""))-1)*LEN(D171)+1, LEN(D171))))
            &amp; "." &amp;
            VALUE(TRIM(RIGHT(SUBSTITUTE(D171,"_",REPT(" ",LEN(D171))),LEN(D171)))),
            "")))</f>
        <v/>
      </c>
      <c r="D171" s="26"/>
      <c r="E171" s="25"/>
      <c r="F171" s="25"/>
      <c r="G171" s="25"/>
      <c r="H171" s="25"/>
      <c r="I171" s="33"/>
      <c r="J171" s="25"/>
      <c r="K171" s="25"/>
      <c r="L171" s="191"/>
      <c r="M171" s="25"/>
      <c r="N171" s="33"/>
      <c r="O171" s="195"/>
      <c r="P171" s="192" t="str">
        <f t="shared" si="7"/>
        <v/>
      </c>
      <c r="Q171" s="79" t="str">
        <f t="shared" si="15"/>
        <v/>
      </c>
      <c r="R171" s="171">
        <f t="shared" si="16"/>
        <v>0</v>
      </c>
      <c r="S171" s="84">
        <f t="shared" si="40"/>
        <v>0</v>
      </c>
      <c r="T171" s="193">
        <f t="shared" si="10"/>
        <v>0</v>
      </c>
      <c r="U171" s="194">
        <f t="shared" si="11"/>
        <v>0</v>
      </c>
      <c r="V171" s="69" t="str">
        <f t="shared" si="17"/>
        <v/>
      </c>
      <c r="W171" s="69" t="str">
        <f t="shared" si="18"/>
        <v/>
      </c>
      <c r="X171" s="271" t="str">
        <f t="shared" si="41"/>
        <v/>
      </c>
      <c r="Y171" s="214">
        <f t="shared" si="39"/>
        <v>0</v>
      </c>
      <c r="Z171" s="32"/>
    </row>
    <row r="172" spans="1:26" ht="30" hidden="1" customHeight="1">
      <c r="A172" s="70" t="str">
        <f t="shared" si="13"/>
        <v/>
      </c>
      <c r="B172" s="70" t="str">
        <f t="shared" si="14"/>
        <v/>
      </c>
      <c r="C172" s="190" t="str">
        <f>IF(D172="","",
    IF(ISERR(SEARCH("_",D172)),
        IFERROR(_xlfn.AGGREGATE(14,6,$C$12:C171,1),0)+1,
        IFERROR(
            VALUE(TRIM(MID(SUBSTITUTE(D172,"_",REPT(" ",LEN(D172))), (LEN(D172)-LEN(SUBSTITUTE(D172,"_",""))-1)*LEN(D172)+1, LEN(D172))))
            &amp; "." &amp;
            VALUE(TRIM(RIGHT(SUBSTITUTE(D172,"_",REPT(" ",LEN(D172))),LEN(D172)))),
            "")))</f>
        <v/>
      </c>
      <c r="D172" s="26"/>
      <c r="E172" s="25"/>
      <c r="F172" s="25"/>
      <c r="G172" s="25"/>
      <c r="H172" s="25"/>
      <c r="I172" s="33"/>
      <c r="J172" s="25"/>
      <c r="K172" s="25"/>
      <c r="L172" s="191"/>
      <c r="M172" s="25"/>
      <c r="N172" s="33"/>
      <c r="O172" s="195"/>
      <c r="P172" s="192" t="str">
        <f t="shared" si="7"/>
        <v/>
      </c>
      <c r="Q172" s="79" t="str">
        <f t="shared" si="15"/>
        <v/>
      </c>
      <c r="R172" s="171">
        <f t="shared" si="16"/>
        <v>0</v>
      </c>
      <c r="S172" s="84">
        <f t="shared" si="40"/>
        <v>0</v>
      </c>
      <c r="T172" s="193">
        <f t="shared" si="10"/>
        <v>0</v>
      </c>
      <c r="U172" s="194">
        <f t="shared" si="11"/>
        <v>0</v>
      </c>
      <c r="V172" s="69" t="str">
        <f t="shared" si="17"/>
        <v/>
      </c>
      <c r="W172" s="69" t="str">
        <f t="shared" si="18"/>
        <v/>
      </c>
      <c r="X172" s="271" t="str">
        <f t="shared" si="41"/>
        <v/>
      </c>
      <c r="Y172" s="214">
        <f t="shared" si="39"/>
        <v>0</v>
      </c>
      <c r="Z172" s="32"/>
    </row>
    <row r="173" spans="1:26" ht="30" hidden="1" customHeight="1">
      <c r="A173" s="70" t="str">
        <f t="shared" si="13"/>
        <v/>
      </c>
      <c r="B173" s="70" t="str">
        <f t="shared" si="14"/>
        <v/>
      </c>
      <c r="C173" s="190" t="str">
        <f>IF(D173="","",
    IF(ISERR(SEARCH("_",D173)),
        IFERROR(_xlfn.AGGREGATE(14,6,$C$12:C172,1),0)+1,
        IFERROR(
            VALUE(TRIM(MID(SUBSTITUTE(D173,"_",REPT(" ",LEN(D173))), (LEN(D173)-LEN(SUBSTITUTE(D173,"_",""))-1)*LEN(D173)+1, LEN(D173))))
            &amp; "." &amp;
            VALUE(TRIM(RIGHT(SUBSTITUTE(D173,"_",REPT(" ",LEN(D173))),LEN(D173)))),
            "")))</f>
        <v/>
      </c>
      <c r="D173" s="26"/>
      <c r="E173" s="25"/>
      <c r="F173" s="25"/>
      <c r="G173" s="25"/>
      <c r="H173" s="25"/>
      <c r="I173" s="33"/>
      <c r="J173" s="25"/>
      <c r="K173" s="25"/>
      <c r="L173" s="191"/>
      <c r="M173" s="25"/>
      <c r="N173" s="33"/>
      <c r="O173" s="195"/>
      <c r="P173" s="192" t="str">
        <f t="shared" si="7"/>
        <v/>
      </c>
      <c r="Q173" s="79" t="str">
        <f t="shared" si="15"/>
        <v/>
      </c>
      <c r="R173" s="171">
        <f t="shared" si="16"/>
        <v>0</v>
      </c>
      <c r="S173" s="84">
        <f t="shared" si="40"/>
        <v>0</v>
      </c>
      <c r="T173" s="193">
        <f t="shared" si="10"/>
        <v>0</v>
      </c>
      <c r="U173" s="194">
        <f t="shared" si="11"/>
        <v>0</v>
      </c>
      <c r="V173" s="69" t="str">
        <f t="shared" si="17"/>
        <v/>
      </c>
      <c r="W173" s="69" t="str">
        <f t="shared" si="18"/>
        <v/>
      </c>
      <c r="X173" s="271" t="str">
        <f t="shared" si="41"/>
        <v/>
      </c>
      <c r="Y173" s="214">
        <f t="shared" si="39"/>
        <v>0</v>
      </c>
      <c r="Z173" s="32"/>
    </row>
    <row r="174" spans="1:26" ht="30" hidden="1" customHeight="1">
      <c r="A174" s="70" t="str">
        <f t="shared" si="13"/>
        <v/>
      </c>
      <c r="B174" s="70" t="str">
        <f t="shared" si="14"/>
        <v/>
      </c>
      <c r="C174" s="190" t="str">
        <f>IF(D174="","",
    IF(ISERR(SEARCH("_",D174)),
        IFERROR(_xlfn.AGGREGATE(14,6,$C$12:C173,1),0)+1,
        IFERROR(
            VALUE(TRIM(MID(SUBSTITUTE(D174,"_",REPT(" ",LEN(D174))), (LEN(D174)-LEN(SUBSTITUTE(D174,"_",""))-1)*LEN(D174)+1, LEN(D174))))
            &amp; "." &amp;
            VALUE(TRIM(RIGHT(SUBSTITUTE(D174,"_",REPT(" ",LEN(D174))),LEN(D174)))),
            "")))</f>
        <v/>
      </c>
      <c r="D174" s="26"/>
      <c r="E174" s="25"/>
      <c r="F174" s="25"/>
      <c r="G174" s="25"/>
      <c r="H174" s="25"/>
      <c r="I174" s="33"/>
      <c r="J174" s="25"/>
      <c r="K174" s="25"/>
      <c r="L174" s="191"/>
      <c r="M174" s="25"/>
      <c r="N174" s="33"/>
      <c r="O174" s="195"/>
      <c r="P174" s="192" t="str">
        <f t="shared" si="7"/>
        <v/>
      </c>
      <c r="Q174" s="79" t="str">
        <f t="shared" si="15"/>
        <v/>
      </c>
      <c r="R174" s="171">
        <f t="shared" si="16"/>
        <v>0</v>
      </c>
      <c r="S174" s="84">
        <f t="shared" si="40"/>
        <v>0</v>
      </c>
      <c r="T174" s="193">
        <f t="shared" si="10"/>
        <v>0</v>
      </c>
      <c r="U174" s="194">
        <f t="shared" si="11"/>
        <v>0</v>
      </c>
      <c r="V174" s="69" t="str">
        <f t="shared" si="17"/>
        <v/>
      </c>
      <c r="W174" s="69" t="str">
        <f t="shared" si="18"/>
        <v/>
      </c>
      <c r="X174" s="271" t="str">
        <f t="shared" si="41"/>
        <v/>
      </c>
      <c r="Y174" s="214">
        <f t="shared" si="39"/>
        <v>0</v>
      </c>
      <c r="Z174" s="32"/>
    </row>
    <row r="175" spans="1:26" ht="30" hidden="1" customHeight="1">
      <c r="A175" s="70" t="str">
        <f t="shared" si="13"/>
        <v/>
      </c>
      <c r="B175" s="70" t="str">
        <f t="shared" si="14"/>
        <v/>
      </c>
      <c r="C175" s="190" t="str">
        <f>IF(D175="","",
    IF(ISERR(SEARCH("_",D175)),
        IFERROR(_xlfn.AGGREGATE(14,6,$C$12:C174,1),0)+1,
        IFERROR(
            VALUE(TRIM(MID(SUBSTITUTE(D175,"_",REPT(" ",LEN(D175))), (LEN(D175)-LEN(SUBSTITUTE(D175,"_",""))-1)*LEN(D175)+1, LEN(D175))))
            &amp; "." &amp;
            VALUE(TRIM(RIGHT(SUBSTITUTE(D175,"_",REPT(" ",LEN(D175))),LEN(D175)))),
            "")))</f>
        <v/>
      </c>
      <c r="D175" s="26"/>
      <c r="E175" s="25"/>
      <c r="F175" s="25"/>
      <c r="G175" s="25"/>
      <c r="H175" s="25"/>
      <c r="I175" s="33"/>
      <c r="J175" s="25"/>
      <c r="K175" s="25"/>
      <c r="L175" s="191"/>
      <c r="M175" s="25"/>
      <c r="N175" s="33"/>
      <c r="O175" s="195"/>
      <c r="P175" s="192" t="str">
        <f t="shared" si="7"/>
        <v/>
      </c>
      <c r="Q175" s="79" t="str">
        <f t="shared" si="15"/>
        <v/>
      </c>
      <c r="R175" s="171">
        <f t="shared" si="16"/>
        <v>0</v>
      </c>
      <c r="S175" s="84">
        <f t="shared" si="40"/>
        <v>0</v>
      </c>
      <c r="T175" s="193">
        <f t="shared" si="10"/>
        <v>0</v>
      </c>
      <c r="U175" s="194">
        <f t="shared" si="11"/>
        <v>0</v>
      </c>
      <c r="V175" s="69" t="str">
        <f t="shared" si="17"/>
        <v/>
      </c>
      <c r="W175" s="69" t="str">
        <f t="shared" si="18"/>
        <v/>
      </c>
      <c r="X175" s="271" t="str">
        <f t="shared" si="41"/>
        <v/>
      </c>
      <c r="Y175" s="214">
        <f t="shared" si="39"/>
        <v>0</v>
      </c>
      <c r="Z175" s="32"/>
    </row>
    <row r="176" spans="1:26" ht="30" hidden="1" customHeight="1">
      <c r="A176" s="70" t="str">
        <f t="shared" si="13"/>
        <v/>
      </c>
      <c r="B176" s="70" t="str">
        <f t="shared" si="14"/>
        <v/>
      </c>
      <c r="C176" s="190" t="str">
        <f>IF(D176="","",
    IF(ISERR(SEARCH("_",D176)),
        IFERROR(_xlfn.AGGREGATE(14,6,$C$12:C175,1),0)+1,
        IFERROR(
            VALUE(TRIM(MID(SUBSTITUTE(D176,"_",REPT(" ",LEN(D176))), (LEN(D176)-LEN(SUBSTITUTE(D176,"_",""))-1)*LEN(D176)+1, LEN(D176))))
            &amp; "." &amp;
            VALUE(TRIM(RIGHT(SUBSTITUTE(D176,"_",REPT(" ",LEN(D176))),LEN(D176)))),
            "")))</f>
        <v/>
      </c>
      <c r="D176" s="26"/>
      <c r="E176" s="25"/>
      <c r="F176" s="25"/>
      <c r="G176" s="25"/>
      <c r="H176" s="25"/>
      <c r="I176" s="33"/>
      <c r="J176" s="25"/>
      <c r="K176" s="25"/>
      <c r="L176" s="191"/>
      <c r="M176" s="25"/>
      <c r="N176" s="33"/>
      <c r="O176" s="195"/>
      <c r="P176" s="192" t="str">
        <f t="shared" si="7"/>
        <v/>
      </c>
      <c r="Q176" s="79" t="str">
        <f t="shared" si="15"/>
        <v/>
      </c>
      <c r="R176" s="171">
        <f t="shared" si="16"/>
        <v>0</v>
      </c>
      <c r="S176" s="84">
        <f t="shared" si="40"/>
        <v>0</v>
      </c>
      <c r="T176" s="193">
        <f t="shared" si="10"/>
        <v>0</v>
      </c>
      <c r="U176" s="194">
        <f t="shared" si="11"/>
        <v>0</v>
      </c>
      <c r="V176" s="69" t="str">
        <f t="shared" si="17"/>
        <v/>
      </c>
      <c r="W176" s="69" t="str">
        <f t="shared" si="18"/>
        <v/>
      </c>
      <c r="X176" s="271" t="str">
        <f t="shared" si="41"/>
        <v/>
      </c>
      <c r="Y176" s="214">
        <f t="shared" si="39"/>
        <v>0</v>
      </c>
      <c r="Z176" s="32"/>
    </row>
    <row r="177" spans="1:26" ht="30" hidden="1" customHeight="1">
      <c r="A177" s="70" t="str">
        <f t="shared" si="13"/>
        <v/>
      </c>
      <c r="B177" s="70" t="str">
        <f t="shared" si="14"/>
        <v/>
      </c>
      <c r="C177" s="190" t="str">
        <f>IF(D177="","",
    IF(ISERR(SEARCH("_",D177)),
        IFERROR(_xlfn.AGGREGATE(14,6,$C$12:C176,1),0)+1,
        IFERROR(
            VALUE(TRIM(MID(SUBSTITUTE(D177,"_",REPT(" ",LEN(D177))), (LEN(D177)-LEN(SUBSTITUTE(D177,"_",""))-1)*LEN(D177)+1, LEN(D177))))
            &amp; "." &amp;
            VALUE(TRIM(RIGHT(SUBSTITUTE(D177,"_",REPT(" ",LEN(D177))),LEN(D177)))),
            "")))</f>
        <v/>
      </c>
      <c r="D177" s="26"/>
      <c r="E177" s="25"/>
      <c r="F177" s="25"/>
      <c r="G177" s="25"/>
      <c r="H177" s="25"/>
      <c r="I177" s="33"/>
      <c r="J177" s="25"/>
      <c r="K177" s="25"/>
      <c r="L177" s="191"/>
      <c r="M177" s="25"/>
      <c r="N177" s="33"/>
      <c r="O177" s="195"/>
      <c r="P177" s="192" t="str">
        <f t="shared" si="7"/>
        <v/>
      </c>
      <c r="Q177" s="79" t="str">
        <f t="shared" si="15"/>
        <v/>
      </c>
      <c r="R177" s="171">
        <f t="shared" si="16"/>
        <v>0</v>
      </c>
      <c r="S177" s="84">
        <f t="shared" si="40"/>
        <v>0</v>
      </c>
      <c r="T177" s="193">
        <f t="shared" si="10"/>
        <v>0</v>
      </c>
      <c r="U177" s="194">
        <f t="shared" si="11"/>
        <v>0</v>
      </c>
      <c r="V177" s="69" t="str">
        <f t="shared" si="17"/>
        <v/>
      </c>
      <c r="W177" s="69" t="str">
        <f t="shared" si="18"/>
        <v/>
      </c>
      <c r="X177" s="271" t="str">
        <f t="shared" si="41"/>
        <v/>
      </c>
      <c r="Y177" s="214">
        <f t="shared" si="39"/>
        <v>0</v>
      </c>
      <c r="Z177" s="32"/>
    </row>
    <row r="178" spans="1:26" ht="30" hidden="1" customHeight="1">
      <c r="A178" s="70" t="str">
        <f t="shared" si="13"/>
        <v/>
      </c>
      <c r="B178" s="70" t="str">
        <f t="shared" si="14"/>
        <v/>
      </c>
      <c r="C178" s="190" t="str">
        <f>IF(D178="","",
    IF(ISERR(SEARCH("_",D178)),
        IFERROR(_xlfn.AGGREGATE(14,6,$C$12:C177,1),0)+1,
        IFERROR(
            VALUE(TRIM(MID(SUBSTITUTE(D178,"_",REPT(" ",LEN(D178))), (LEN(D178)-LEN(SUBSTITUTE(D178,"_",""))-1)*LEN(D178)+1, LEN(D178))))
            &amp; "." &amp;
            VALUE(TRIM(RIGHT(SUBSTITUTE(D178,"_",REPT(" ",LEN(D178))),LEN(D178)))),
            "")))</f>
        <v/>
      </c>
      <c r="D178" s="26"/>
      <c r="E178" s="25"/>
      <c r="F178" s="25"/>
      <c r="G178" s="25"/>
      <c r="H178" s="25"/>
      <c r="I178" s="33"/>
      <c r="J178" s="25"/>
      <c r="K178" s="25"/>
      <c r="L178" s="191"/>
      <c r="M178" s="25"/>
      <c r="N178" s="33"/>
      <c r="O178" s="195"/>
      <c r="P178" s="192" t="str">
        <f t="shared" si="7"/>
        <v/>
      </c>
      <c r="Q178" s="79" t="str">
        <f t="shared" si="15"/>
        <v/>
      </c>
      <c r="R178" s="171">
        <f t="shared" si="16"/>
        <v>0</v>
      </c>
      <c r="S178" s="84">
        <f t="shared" si="40"/>
        <v>0</v>
      </c>
      <c r="T178" s="193">
        <f t="shared" si="10"/>
        <v>0</v>
      </c>
      <c r="U178" s="194">
        <f t="shared" si="11"/>
        <v>0</v>
      </c>
      <c r="V178" s="69" t="str">
        <f t="shared" si="17"/>
        <v/>
      </c>
      <c r="W178" s="69" t="str">
        <f t="shared" si="18"/>
        <v/>
      </c>
      <c r="X178" s="271" t="str">
        <f t="shared" si="41"/>
        <v/>
      </c>
      <c r="Y178" s="214">
        <f t="shared" si="39"/>
        <v>0</v>
      </c>
      <c r="Z178" s="32"/>
    </row>
    <row r="179" spans="1:26" ht="30" hidden="1" customHeight="1">
      <c r="A179" s="70" t="str">
        <f t="shared" si="13"/>
        <v/>
      </c>
      <c r="B179" s="70" t="str">
        <f t="shared" si="14"/>
        <v/>
      </c>
      <c r="C179" s="190" t="str">
        <f>IF(D179="","",
    IF(ISERR(SEARCH("_",D179)),
        IFERROR(_xlfn.AGGREGATE(14,6,$C$12:C178,1),0)+1,
        IFERROR(
            VALUE(TRIM(MID(SUBSTITUTE(D179,"_",REPT(" ",LEN(D179))), (LEN(D179)-LEN(SUBSTITUTE(D179,"_",""))-1)*LEN(D179)+1, LEN(D179))))
            &amp; "." &amp;
            VALUE(TRIM(RIGHT(SUBSTITUTE(D179,"_",REPT(" ",LEN(D179))),LEN(D179)))),
            "")))</f>
        <v/>
      </c>
      <c r="D179" s="26"/>
      <c r="E179" s="25"/>
      <c r="F179" s="25"/>
      <c r="G179" s="25"/>
      <c r="H179" s="25"/>
      <c r="I179" s="33"/>
      <c r="J179" s="25"/>
      <c r="K179" s="25"/>
      <c r="L179" s="191"/>
      <c r="M179" s="25"/>
      <c r="N179" s="33"/>
      <c r="O179" s="195"/>
      <c r="P179" s="192" t="str">
        <f t="shared" si="7"/>
        <v/>
      </c>
      <c r="Q179" s="79" t="str">
        <f t="shared" si="15"/>
        <v/>
      </c>
      <c r="R179" s="171">
        <f t="shared" si="16"/>
        <v>0</v>
      </c>
      <c r="S179" s="84">
        <f t="shared" si="40"/>
        <v>0</v>
      </c>
      <c r="T179" s="193">
        <f t="shared" si="10"/>
        <v>0</v>
      </c>
      <c r="U179" s="194">
        <f t="shared" si="11"/>
        <v>0</v>
      </c>
      <c r="V179" s="69" t="str">
        <f t="shared" si="17"/>
        <v/>
      </c>
      <c r="W179" s="69" t="str">
        <f t="shared" si="18"/>
        <v/>
      </c>
      <c r="X179" s="271" t="str">
        <f t="shared" si="41"/>
        <v/>
      </c>
      <c r="Y179" s="214">
        <f t="shared" si="39"/>
        <v>0</v>
      </c>
      <c r="Z179" s="32"/>
    </row>
    <row r="180" spans="1:26" ht="30" hidden="1" customHeight="1">
      <c r="A180" s="70" t="str">
        <f t="shared" si="13"/>
        <v/>
      </c>
      <c r="B180" s="70" t="str">
        <f t="shared" si="14"/>
        <v/>
      </c>
      <c r="C180" s="190" t="str">
        <f>IF(D180="","",
    IF(ISERR(SEARCH("_",D180)),
        IFERROR(_xlfn.AGGREGATE(14,6,$C$12:C179,1),0)+1,
        IFERROR(
            VALUE(TRIM(MID(SUBSTITUTE(D180,"_",REPT(" ",LEN(D180))), (LEN(D180)-LEN(SUBSTITUTE(D180,"_",""))-1)*LEN(D180)+1, LEN(D180))))
            &amp; "." &amp;
            VALUE(TRIM(RIGHT(SUBSTITUTE(D180,"_",REPT(" ",LEN(D180))),LEN(D180)))),
            "")))</f>
        <v/>
      </c>
      <c r="D180" s="26"/>
      <c r="E180" s="25"/>
      <c r="F180" s="25"/>
      <c r="G180" s="25"/>
      <c r="H180" s="25"/>
      <c r="I180" s="33"/>
      <c r="J180" s="25"/>
      <c r="K180" s="25"/>
      <c r="L180" s="191"/>
      <c r="M180" s="25"/>
      <c r="N180" s="33"/>
      <c r="O180" s="195"/>
      <c r="P180" s="192" t="str">
        <f t="shared" si="7"/>
        <v/>
      </c>
      <c r="Q180" s="79" t="str">
        <f t="shared" si="15"/>
        <v/>
      </c>
      <c r="R180" s="171">
        <f t="shared" si="16"/>
        <v>0</v>
      </c>
      <c r="S180" s="84">
        <f t="shared" si="40"/>
        <v>0</v>
      </c>
      <c r="T180" s="193">
        <f t="shared" si="10"/>
        <v>0</v>
      </c>
      <c r="U180" s="194">
        <f t="shared" si="11"/>
        <v>0</v>
      </c>
      <c r="V180" s="69" t="str">
        <f t="shared" si="17"/>
        <v/>
      </c>
      <c r="W180" s="69" t="str">
        <f t="shared" si="18"/>
        <v/>
      </c>
      <c r="X180" s="271" t="str">
        <f t="shared" si="41"/>
        <v/>
      </c>
      <c r="Y180" s="214">
        <f t="shared" si="39"/>
        <v>0</v>
      </c>
      <c r="Z180" s="32"/>
    </row>
    <row r="181" spans="1:26" ht="30" hidden="1" customHeight="1">
      <c r="A181" s="70" t="str">
        <f t="shared" si="13"/>
        <v/>
      </c>
      <c r="B181" s="70" t="str">
        <f t="shared" si="14"/>
        <v/>
      </c>
      <c r="C181" s="190" t="str">
        <f>IF(D181="","",
    IF(ISERR(SEARCH("_",D181)),
        IFERROR(_xlfn.AGGREGATE(14,6,$C$12:C180,1),0)+1,
        IFERROR(
            VALUE(TRIM(MID(SUBSTITUTE(D181,"_",REPT(" ",LEN(D181))), (LEN(D181)-LEN(SUBSTITUTE(D181,"_",""))-1)*LEN(D181)+1, LEN(D181))))
            &amp; "." &amp;
            VALUE(TRIM(RIGHT(SUBSTITUTE(D181,"_",REPT(" ",LEN(D181))),LEN(D181)))),
            "")))</f>
        <v/>
      </c>
      <c r="D181" s="26"/>
      <c r="E181" s="25"/>
      <c r="F181" s="25"/>
      <c r="G181" s="25"/>
      <c r="H181" s="25"/>
      <c r="I181" s="33"/>
      <c r="J181" s="25"/>
      <c r="K181" s="25"/>
      <c r="L181" s="191"/>
      <c r="M181" s="25"/>
      <c r="N181" s="33"/>
      <c r="O181" s="195"/>
      <c r="P181" s="192" t="str">
        <f t="shared" si="7"/>
        <v/>
      </c>
      <c r="Q181" s="79" t="str">
        <f t="shared" si="15"/>
        <v/>
      </c>
      <c r="R181" s="171">
        <f t="shared" si="16"/>
        <v>0</v>
      </c>
      <c r="S181" s="84">
        <f t="shared" si="40"/>
        <v>0</v>
      </c>
      <c r="T181" s="193">
        <f t="shared" si="10"/>
        <v>0</v>
      </c>
      <c r="U181" s="194">
        <f t="shared" si="11"/>
        <v>0</v>
      </c>
      <c r="V181" s="69" t="str">
        <f t="shared" si="17"/>
        <v/>
      </c>
      <c r="W181" s="69" t="str">
        <f t="shared" si="18"/>
        <v/>
      </c>
      <c r="X181" s="271" t="str">
        <f t="shared" si="41"/>
        <v/>
      </c>
      <c r="Y181" s="214">
        <f t="shared" si="39"/>
        <v>0</v>
      </c>
      <c r="Z181" s="32"/>
    </row>
    <row r="182" spans="1:26" ht="30" hidden="1" customHeight="1">
      <c r="A182" s="70" t="str">
        <f t="shared" si="13"/>
        <v/>
      </c>
      <c r="B182" s="70" t="str">
        <f t="shared" si="14"/>
        <v/>
      </c>
      <c r="C182" s="190" t="str">
        <f>IF(D182="","",
    IF(ISERR(SEARCH("_",D182)),
        IFERROR(_xlfn.AGGREGATE(14,6,$C$12:C181,1),0)+1,
        IFERROR(
            VALUE(TRIM(MID(SUBSTITUTE(D182,"_",REPT(" ",LEN(D182))), (LEN(D182)-LEN(SUBSTITUTE(D182,"_",""))-1)*LEN(D182)+1, LEN(D182))))
            &amp; "." &amp;
            VALUE(TRIM(RIGHT(SUBSTITUTE(D182,"_",REPT(" ",LEN(D182))),LEN(D182)))),
            "")))</f>
        <v/>
      </c>
      <c r="D182" s="26"/>
      <c r="E182" s="25"/>
      <c r="F182" s="25"/>
      <c r="G182" s="25"/>
      <c r="H182" s="25"/>
      <c r="I182" s="33"/>
      <c r="J182" s="25"/>
      <c r="K182" s="25"/>
      <c r="L182" s="191"/>
      <c r="M182" s="25"/>
      <c r="N182" s="33"/>
      <c r="O182" s="195"/>
      <c r="P182" s="192" t="str">
        <f t="shared" si="7"/>
        <v/>
      </c>
      <c r="Q182" s="79" t="str">
        <f t="shared" si="15"/>
        <v/>
      </c>
      <c r="R182" s="171">
        <f t="shared" si="16"/>
        <v>0</v>
      </c>
      <c r="S182" s="84">
        <f t="shared" si="40"/>
        <v>0</v>
      </c>
      <c r="T182" s="193">
        <f t="shared" si="10"/>
        <v>0</v>
      </c>
      <c r="U182" s="194">
        <f t="shared" si="11"/>
        <v>0</v>
      </c>
      <c r="V182" s="69" t="str">
        <f t="shared" si="17"/>
        <v/>
      </c>
      <c r="W182" s="69" t="str">
        <f t="shared" si="18"/>
        <v/>
      </c>
      <c r="X182" s="271" t="str">
        <f t="shared" si="41"/>
        <v/>
      </c>
      <c r="Y182" s="214">
        <f t="shared" si="39"/>
        <v>0</v>
      </c>
      <c r="Z182" s="32"/>
    </row>
    <row r="183" spans="1:26" ht="30" hidden="1" customHeight="1">
      <c r="A183" s="70" t="str">
        <f t="shared" si="13"/>
        <v/>
      </c>
      <c r="B183" s="70" t="str">
        <f t="shared" si="14"/>
        <v/>
      </c>
      <c r="C183" s="190" t="str">
        <f>IF(D183="","",
    IF(ISERR(SEARCH("_",D183)),
        IFERROR(_xlfn.AGGREGATE(14,6,$C$12:C182,1),0)+1,
        IFERROR(
            VALUE(TRIM(MID(SUBSTITUTE(D183,"_",REPT(" ",LEN(D183))), (LEN(D183)-LEN(SUBSTITUTE(D183,"_",""))-1)*LEN(D183)+1, LEN(D183))))
            &amp; "." &amp;
            VALUE(TRIM(RIGHT(SUBSTITUTE(D183,"_",REPT(" ",LEN(D183))),LEN(D183)))),
            "")))</f>
        <v/>
      </c>
      <c r="D183" s="26"/>
      <c r="E183" s="25"/>
      <c r="F183" s="25"/>
      <c r="G183" s="25"/>
      <c r="H183" s="25"/>
      <c r="I183" s="33"/>
      <c r="J183" s="25"/>
      <c r="K183" s="25"/>
      <c r="L183" s="191"/>
      <c r="M183" s="25"/>
      <c r="N183" s="33"/>
      <c r="O183" s="195"/>
      <c r="P183" s="192" t="str">
        <f t="shared" si="7"/>
        <v/>
      </c>
      <c r="Q183" s="79" t="str">
        <f t="shared" si="15"/>
        <v/>
      </c>
      <c r="R183" s="171">
        <f t="shared" si="16"/>
        <v>0</v>
      </c>
      <c r="S183" s="84">
        <f t="shared" si="40"/>
        <v>0</v>
      </c>
      <c r="T183" s="193">
        <f t="shared" si="10"/>
        <v>0</v>
      </c>
      <c r="U183" s="194">
        <f t="shared" si="11"/>
        <v>0</v>
      </c>
      <c r="V183" s="69" t="str">
        <f t="shared" si="17"/>
        <v/>
      </c>
      <c r="W183" s="69" t="str">
        <f t="shared" si="18"/>
        <v/>
      </c>
      <c r="X183" s="271" t="str">
        <f t="shared" si="41"/>
        <v/>
      </c>
      <c r="Y183" s="214">
        <f t="shared" si="39"/>
        <v>0</v>
      </c>
      <c r="Z183" s="32"/>
    </row>
    <row r="184" spans="1:26" ht="30" hidden="1" customHeight="1">
      <c r="A184" s="70" t="str">
        <f t="shared" si="13"/>
        <v/>
      </c>
      <c r="B184" s="70" t="str">
        <f t="shared" si="14"/>
        <v/>
      </c>
      <c r="C184" s="190" t="str">
        <f>IF(D184="","",
    IF(ISERR(SEARCH("_",D184)),
        IFERROR(_xlfn.AGGREGATE(14,6,$C$12:C183,1),0)+1,
        IFERROR(
            VALUE(TRIM(MID(SUBSTITUTE(D184,"_",REPT(" ",LEN(D184))), (LEN(D184)-LEN(SUBSTITUTE(D184,"_",""))-1)*LEN(D184)+1, LEN(D184))))
            &amp; "." &amp;
            VALUE(TRIM(RIGHT(SUBSTITUTE(D184,"_",REPT(" ",LEN(D184))),LEN(D184)))),
            "")))</f>
        <v/>
      </c>
      <c r="D184" s="26"/>
      <c r="E184" s="25"/>
      <c r="F184" s="25"/>
      <c r="G184" s="25"/>
      <c r="H184" s="25"/>
      <c r="I184" s="33"/>
      <c r="J184" s="25"/>
      <c r="K184" s="25"/>
      <c r="L184" s="191"/>
      <c r="M184" s="25"/>
      <c r="N184" s="33"/>
      <c r="O184" s="195"/>
      <c r="P184" s="192" t="str">
        <f t="shared" si="7"/>
        <v/>
      </c>
      <c r="Q184" s="79" t="str">
        <f t="shared" si="15"/>
        <v/>
      </c>
      <c r="R184" s="171">
        <f t="shared" si="16"/>
        <v>0</v>
      </c>
      <c r="S184" s="84">
        <f t="shared" si="40"/>
        <v>0</v>
      </c>
      <c r="T184" s="193">
        <f t="shared" si="10"/>
        <v>0</v>
      </c>
      <c r="U184" s="194">
        <f t="shared" si="11"/>
        <v>0</v>
      </c>
      <c r="V184" s="69" t="str">
        <f t="shared" si="17"/>
        <v/>
      </c>
      <c r="W184" s="69" t="str">
        <f t="shared" si="18"/>
        <v/>
      </c>
      <c r="X184" s="271" t="str">
        <f t="shared" si="41"/>
        <v/>
      </c>
      <c r="Y184" s="214">
        <f t="shared" si="39"/>
        <v>0</v>
      </c>
      <c r="Z184" s="32"/>
    </row>
    <row r="185" spans="1:26" ht="30" hidden="1" customHeight="1">
      <c r="A185" s="70" t="str">
        <f t="shared" si="13"/>
        <v/>
      </c>
      <c r="B185" s="70" t="str">
        <f t="shared" si="14"/>
        <v/>
      </c>
      <c r="C185" s="190" t="str">
        <f>IF(D185="","",
    IF(ISERR(SEARCH("_",D185)),
        IFERROR(_xlfn.AGGREGATE(14,6,$C$12:C184,1),0)+1,
        IFERROR(
            VALUE(TRIM(MID(SUBSTITUTE(D185,"_",REPT(" ",LEN(D185))), (LEN(D185)-LEN(SUBSTITUTE(D185,"_",""))-1)*LEN(D185)+1, LEN(D185))))
            &amp; "." &amp;
            VALUE(TRIM(RIGHT(SUBSTITUTE(D185,"_",REPT(" ",LEN(D185))),LEN(D185)))),
            "")))</f>
        <v/>
      </c>
      <c r="D185" s="26"/>
      <c r="E185" s="25"/>
      <c r="F185" s="25"/>
      <c r="G185" s="25"/>
      <c r="H185" s="25"/>
      <c r="I185" s="33"/>
      <c r="J185" s="25"/>
      <c r="K185" s="25"/>
      <c r="L185" s="191"/>
      <c r="M185" s="25"/>
      <c r="N185" s="33"/>
      <c r="O185" s="195"/>
      <c r="P185" s="192" t="str">
        <f t="shared" si="7"/>
        <v/>
      </c>
      <c r="Q185" s="79" t="str">
        <f t="shared" si="15"/>
        <v/>
      </c>
      <c r="R185" s="171">
        <f t="shared" si="16"/>
        <v>0</v>
      </c>
      <c r="S185" s="84">
        <f t="shared" si="40"/>
        <v>0</v>
      </c>
      <c r="T185" s="193">
        <f t="shared" si="10"/>
        <v>0</v>
      </c>
      <c r="U185" s="194">
        <f t="shared" si="11"/>
        <v>0</v>
      </c>
      <c r="V185" s="69" t="str">
        <f t="shared" si="17"/>
        <v/>
      </c>
      <c r="W185" s="69" t="str">
        <f t="shared" si="18"/>
        <v/>
      </c>
      <c r="X185" s="271" t="str">
        <f t="shared" si="41"/>
        <v/>
      </c>
      <c r="Y185" s="214">
        <f t="shared" si="39"/>
        <v>0</v>
      </c>
      <c r="Z185" s="32"/>
    </row>
    <row r="186" spans="1:26" ht="30" hidden="1" customHeight="1">
      <c r="A186" s="70" t="str">
        <f t="shared" si="13"/>
        <v/>
      </c>
      <c r="B186" s="70" t="str">
        <f t="shared" si="14"/>
        <v/>
      </c>
      <c r="C186" s="190" t="str">
        <f>IF(D186="","",
    IF(ISERR(SEARCH("_",D186)),
        IFERROR(_xlfn.AGGREGATE(14,6,$C$12:C185,1),0)+1,
        IFERROR(
            VALUE(TRIM(MID(SUBSTITUTE(D186,"_",REPT(" ",LEN(D186))), (LEN(D186)-LEN(SUBSTITUTE(D186,"_",""))-1)*LEN(D186)+1, LEN(D186))))
            &amp; "." &amp;
            VALUE(TRIM(RIGHT(SUBSTITUTE(D186,"_",REPT(" ",LEN(D186))),LEN(D186)))),
            "")))</f>
        <v/>
      </c>
      <c r="D186" s="26"/>
      <c r="E186" s="25"/>
      <c r="F186" s="25"/>
      <c r="G186" s="25"/>
      <c r="H186" s="25"/>
      <c r="I186" s="33"/>
      <c r="J186" s="25"/>
      <c r="K186" s="25"/>
      <c r="L186" s="191"/>
      <c r="M186" s="25"/>
      <c r="N186" s="33"/>
      <c r="O186" s="195"/>
      <c r="P186" s="192" t="str">
        <f t="shared" si="7"/>
        <v/>
      </c>
      <c r="Q186" s="79" t="str">
        <f t="shared" si="15"/>
        <v/>
      </c>
      <c r="R186" s="171">
        <f t="shared" si="16"/>
        <v>0</v>
      </c>
      <c r="S186" s="84">
        <f t="shared" si="40"/>
        <v>0</v>
      </c>
      <c r="T186" s="193">
        <f t="shared" si="10"/>
        <v>0</v>
      </c>
      <c r="U186" s="194">
        <f t="shared" si="11"/>
        <v>0</v>
      </c>
      <c r="V186" s="69" t="str">
        <f t="shared" si="17"/>
        <v/>
      </c>
      <c r="W186" s="69" t="str">
        <f t="shared" si="18"/>
        <v/>
      </c>
      <c r="X186" s="271" t="str">
        <f t="shared" si="41"/>
        <v/>
      </c>
      <c r="Y186" s="214">
        <f t="shared" si="39"/>
        <v>0</v>
      </c>
      <c r="Z186" s="32"/>
    </row>
    <row r="187" spans="1:26" ht="30" hidden="1" customHeight="1">
      <c r="A187" s="70" t="str">
        <f t="shared" si="13"/>
        <v/>
      </c>
      <c r="B187" s="70" t="str">
        <f t="shared" si="14"/>
        <v/>
      </c>
      <c r="C187" s="190" t="str">
        <f>IF(D187="","",
    IF(ISERR(SEARCH("_",D187)),
        IFERROR(_xlfn.AGGREGATE(14,6,$C$12:C186,1),0)+1,
        IFERROR(
            VALUE(TRIM(MID(SUBSTITUTE(D187,"_",REPT(" ",LEN(D187))), (LEN(D187)-LEN(SUBSTITUTE(D187,"_",""))-1)*LEN(D187)+1, LEN(D187))))
            &amp; "." &amp;
            VALUE(TRIM(RIGHT(SUBSTITUTE(D187,"_",REPT(" ",LEN(D187))),LEN(D187)))),
            "")))</f>
        <v/>
      </c>
      <c r="D187" s="26"/>
      <c r="E187" s="25"/>
      <c r="F187" s="25"/>
      <c r="G187" s="25"/>
      <c r="H187" s="25"/>
      <c r="I187" s="33"/>
      <c r="J187" s="25"/>
      <c r="K187" s="25"/>
      <c r="L187" s="191"/>
      <c r="M187" s="25"/>
      <c r="N187" s="33"/>
      <c r="O187" s="195"/>
      <c r="P187" s="192" t="str">
        <f t="shared" si="7"/>
        <v/>
      </c>
      <c r="Q187" s="79" t="str">
        <f t="shared" si="15"/>
        <v/>
      </c>
      <c r="R187" s="171">
        <f t="shared" si="16"/>
        <v>0</v>
      </c>
      <c r="S187" s="84">
        <f t="shared" si="40"/>
        <v>0</v>
      </c>
      <c r="T187" s="193">
        <f t="shared" si="10"/>
        <v>0</v>
      </c>
      <c r="U187" s="194">
        <f t="shared" si="11"/>
        <v>0</v>
      </c>
      <c r="V187" s="69" t="str">
        <f t="shared" si="17"/>
        <v/>
      </c>
      <c r="W187" s="69" t="str">
        <f t="shared" si="18"/>
        <v/>
      </c>
      <c r="X187" s="271" t="str">
        <f t="shared" si="41"/>
        <v/>
      </c>
      <c r="Y187" s="214">
        <f t="shared" si="39"/>
        <v>0</v>
      </c>
      <c r="Z187" s="32"/>
    </row>
    <row r="188" spans="1:26" ht="30" hidden="1" customHeight="1">
      <c r="A188" s="70" t="str">
        <f t="shared" si="13"/>
        <v/>
      </c>
      <c r="B188" s="70" t="str">
        <f t="shared" si="14"/>
        <v/>
      </c>
      <c r="C188" s="190" t="str">
        <f>IF(D188="","",
    IF(ISERR(SEARCH("_",D188)),
        IFERROR(_xlfn.AGGREGATE(14,6,$C$12:C187,1),0)+1,
        IFERROR(
            VALUE(TRIM(MID(SUBSTITUTE(D188,"_",REPT(" ",LEN(D188))), (LEN(D188)-LEN(SUBSTITUTE(D188,"_",""))-1)*LEN(D188)+1, LEN(D188))))
            &amp; "." &amp;
            VALUE(TRIM(RIGHT(SUBSTITUTE(D188,"_",REPT(" ",LEN(D188))),LEN(D188)))),
            "")))</f>
        <v/>
      </c>
      <c r="D188" s="26"/>
      <c r="E188" s="25"/>
      <c r="F188" s="25"/>
      <c r="G188" s="25"/>
      <c r="H188" s="25"/>
      <c r="I188" s="33"/>
      <c r="J188" s="25"/>
      <c r="K188" s="25"/>
      <c r="L188" s="191"/>
      <c r="M188" s="25"/>
      <c r="N188" s="33"/>
      <c r="O188" s="195"/>
      <c r="P188" s="192" t="str">
        <f t="shared" si="7"/>
        <v/>
      </c>
      <c r="Q188" s="79" t="str">
        <f t="shared" si="15"/>
        <v/>
      </c>
      <c r="R188" s="171">
        <f t="shared" si="16"/>
        <v>0</v>
      </c>
      <c r="S188" s="84">
        <f t="shared" si="40"/>
        <v>0</v>
      </c>
      <c r="T188" s="193">
        <f t="shared" si="10"/>
        <v>0</v>
      </c>
      <c r="U188" s="194">
        <f t="shared" si="11"/>
        <v>0</v>
      </c>
      <c r="V188" s="69" t="str">
        <f t="shared" si="17"/>
        <v/>
      </c>
      <c r="W188" s="69" t="str">
        <f t="shared" si="18"/>
        <v/>
      </c>
      <c r="X188" s="271" t="str">
        <f t="shared" si="41"/>
        <v/>
      </c>
      <c r="Y188" s="214">
        <f t="shared" si="39"/>
        <v>0</v>
      </c>
      <c r="Z188" s="32"/>
    </row>
    <row r="189" spans="1:26" ht="30" hidden="1" customHeight="1">
      <c r="A189" s="70" t="str">
        <f t="shared" si="13"/>
        <v/>
      </c>
      <c r="B189" s="70" t="str">
        <f t="shared" si="14"/>
        <v/>
      </c>
      <c r="C189" s="190" t="str">
        <f>IF(D189="","",
    IF(ISERR(SEARCH("_",D189)),
        IFERROR(_xlfn.AGGREGATE(14,6,$C$12:C188,1),0)+1,
        IFERROR(
            VALUE(TRIM(MID(SUBSTITUTE(D189,"_",REPT(" ",LEN(D189))), (LEN(D189)-LEN(SUBSTITUTE(D189,"_",""))-1)*LEN(D189)+1, LEN(D189))))
            &amp; "." &amp;
            VALUE(TRIM(RIGHT(SUBSTITUTE(D189,"_",REPT(" ",LEN(D189))),LEN(D189)))),
            "")))</f>
        <v/>
      </c>
      <c r="D189" s="26"/>
      <c r="E189" s="25"/>
      <c r="F189" s="25"/>
      <c r="G189" s="25"/>
      <c r="H189" s="25"/>
      <c r="I189" s="33"/>
      <c r="J189" s="25"/>
      <c r="K189" s="25"/>
      <c r="L189" s="191"/>
      <c r="M189" s="25"/>
      <c r="N189" s="33"/>
      <c r="O189" s="195"/>
      <c r="P189" s="192" t="str">
        <f t="shared" si="7"/>
        <v/>
      </c>
      <c r="Q189" s="79" t="str">
        <f t="shared" si="15"/>
        <v/>
      </c>
      <c r="R189" s="171">
        <f t="shared" si="16"/>
        <v>0</v>
      </c>
      <c r="S189" s="84">
        <f t="shared" si="40"/>
        <v>0</v>
      </c>
      <c r="T189" s="193">
        <f t="shared" si="10"/>
        <v>0</v>
      </c>
      <c r="U189" s="194">
        <f t="shared" si="11"/>
        <v>0</v>
      </c>
      <c r="V189" s="69" t="str">
        <f t="shared" si="17"/>
        <v/>
      </c>
      <c r="W189" s="69" t="str">
        <f t="shared" si="18"/>
        <v/>
      </c>
      <c r="X189" s="271" t="str">
        <f t="shared" si="41"/>
        <v/>
      </c>
      <c r="Y189" s="214">
        <f t="shared" si="39"/>
        <v>0</v>
      </c>
      <c r="Z189" s="32"/>
    </row>
    <row r="190" spans="1:26" ht="30" hidden="1" customHeight="1">
      <c r="A190" s="70" t="str">
        <f t="shared" si="13"/>
        <v/>
      </c>
      <c r="B190" s="70" t="str">
        <f t="shared" si="14"/>
        <v/>
      </c>
      <c r="C190" s="190" t="str">
        <f>IF(D190="","",
    IF(ISERR(SEARCH("_",D190)),
        IFERROR(_xlfn.AGGREGATE(14,6,$C$12:C189,1),0)+1,
        IFERROR(
            VALUE(TRIM(MID(SUBSTITUTE(D190,"_",REPT(" ",LEN(D190))), (LEN(D190)-LEN(SUBSTITUTE(D190,"_",""))-1)*LEN(D190)+1, LEN(D190))))
            &amp; "." &amp;
            VALUE(TRIM(RIGHT(SUBSTITUTE(D190,"_",REPT(" ",LEN(D190))),LEN(D190)))),
            "")))</f>
        <v/>
      </c>
      <c r="D190" s="26"/>
      <c r="E190" s="25"/>
      <c r="F190" s="25"/>
      <c r="G190" s="25"/>
      <c r="H190" s="25"/>
      <c r="I190" s="33"/>
      <c r="J190" s="25"/>
      <c r="K190" s="25"/>
      <c r="L190" s="191"/>
      <c r="M190" s="25"/>
      <c r="N190" s="33"/>
      <c r="O190" s="195"/>
      <c r="P190" s="192" t="str">
        <f t="shared" si="7"/>
        <v/>
      </c>
      <c r="Q190" s="79" t="str">
        <f t="shared" si="15"/>
        <v/>
      </c>
      <c r="R190" s="171">
        <f t="shared" si="16"/>
        <v>0</v>
      </c>
      <c r="S190" s="84">
        <f t="shared" si="40"/>
        <v>0</v>
      </c>
      <c r="T190" s="193">
        <f t="shared" si="10"/>
        <v>0</v>
      </c>
      <c r="U190" s="194">
        <f t="shared" si="11"/>
        <v>0</v>
      </c>
      <c r="V190" s="69" t="str">
        <f t="shared" si="17"/>
        <v/>
      </c>
      <c r="W190" s="69" t="str">
        <f t="shared" si="18"/>
        <v/>
      </c>
      <c r="X190" s="271" t="str">
        <f t="shared" si="41"/>
        <v/>
      </c>
      <c r="Y190" s="214">
        <f t="shared" si="39"/>
        <v>0</v>
      </c>
      <c r="Z190" s="32"/>
    </row>
    <row r="191" spans="1:26" ht="30" hidden="1" customHeight="1">
      <c r="A191" s="70" t="str">
        <f t="shared" si="13"/>
        <v/>
      </c>
      <c r="B191" s="70" t="str">
        <f t="shared" si="14"/>
        <v/>
      </c>
      <c r="C191" s="190" t="str">
        <f>IF(D191="","",
    IF(ISERR(SEARCH("_",D191)),
        IFERROR(_xlfn.AGGREGATE(14,6,$C$12:C190,1),0)+1,
        IFERROR(
            VALUE(TRIM(MID(SUBSTITUTE(D191,"_",REPT(" ",LEN(D191))), (LEN(D191)-LEN(SUBSTITUTE(D191,"_",""))-1)*LEN(D191)+1, LEN(D191))))
            &amp; "." &amp;
            VALUE(TRIM(RIGHT(SUBSTITUTE(D191,"_",REPT(" ",LEN(D191))),LEN(D191)))),
            "")))</f>
        <v/>
      </c>
      <c r="D191" s="26"/>
      <c r="E191" s="25"/>
      <c r="F191" s="25"/>
      <c r="G191" s="25"/>
      <c r="H191" s="25"/>
      <c r="I191" s="33"/>
      <c r="J191" s="25"/>
      <c r="K191" s="25"/>
      <c r="L191" s="191"/>
      <c r="M191" s="25"/>
      <c r="N191" s="33"/>
      <c r="O191" s="195"/>
      <c r="P191" s="192" t="str">
        <f t="shared" si="7"/>
        <v/>
      </c>
      <c r="Q191" s="79" t="str">
        <f t="shared" si="15"/>
        <v/>
      </c>
      <c r="R191" s="171">
        <f t="shared" si="16"/>
        <v>0</v>
      </c>
      <c r="S191" s="84">
        <f t="shared" si="40"/>
        <v>0</v>
      </c>
      <c r="T191" s="193">
        <f t="shared" si="10"/>
        <v>0</v>
      </c>
      <c r="U191" s="194">
        <f t="shared" si="11"/>
        <v>0</v>
      </c>
      <c r="V191" s="69" t="str">
        <f t="shared" si="17"/>
        <v/>
      </c>
      <c r="W191" s="69" t="str">
        <f t="shared" si="18"/>
        <v/>
      </c>
      <c r="X191" s="271" t="str">
        <f t="shared" si="41"/>
        <v/>
      </c>
      <c r="Y191" s="214">
        <f t="shared" si="39"/>
        <v>0</v>
      </c>
      <c r="Z191" s="32"/>
    </row>
    <row r="192" spans="1:26" ht="30" hidden="1" customHeight="1">
      <c r="A192" s="70" t="str">
        <f t="shared" si="13"/>
        <v/>
      </c>
      <c r="B192" s="70" t="str">
        <f t="shared" si="14"/>
        <v/>
      </c>
      <c r="C192" s="190" t="str">
        <f>IF(D192="","",
    IF(ISERR(SEARCH("_",D192)),
        IFERROR(_xlfn.AGGREGATE(14,6,$C$12:C191,1),0)+1,
        IFERROR(
            VALUE(TRIM(MID(SUBSTITUTE(D192,"_",REPT(" ",LEN(D192))), (LEN(D192)-LEN(SUBSTITUTE(D192,"_",""))-1)*LEN(D192)+1, LEN(D192))))
            &amp; "." &amp;
            VALUE(TRIM(RIGHT(SUBSTITUTE(D192,"_",REPT(" ",LEN(D192))),LEN(D192)))),
            "")))</f>
        <v/>
      </c>
      <c r="D192" s="33"/>
      <c r="E192" s="25"/>
      <c r="F192" s="25"/>
      <c r="G192" s="25"/>
      <c r="H192" s="25"/>
      <c r="I192" s="33"/>
      <c r="J192" s="25"/>
      <c r="K192" s="25"/>
      <c r="L192" s="191"/>
      <c r="M192" s="25"/>
      <c r="N192" s="33"/>
      <c r="O192" s="195"/>
      <c r="P192" s="192" t="str">
        <f t="shared" si="7"/>
        <v/>
      </c>
      <c r="Q192" s="79" t="str">
        <f t="shared" si="15"/>
        <v/>
      </c>
      <c r="R192" s="171">
        <f t="shared" si="16"/>
        <v>0</v>
      </c>
      <c r="S192" s="84">
        <f t="shared" si="40"/>
        <v>0</v>
      </c>
      <c r="T192" s="193">
        <f t="shared" si="10"/>
        <v>0</v>
      </c>
      <c r="U192" s="194">
        <f t="shared" si="11"/>
        <v>0</v>
      </c>
      <c r="V192" s="69" t="str">
        <f t="shared" si="17"/>
        <v/>
      </c>
      <c r="W192" s="69" t="str">
        <f t="shared" si="18"/>
        <v/>
      </c>
      <c r="X192" s="271" t="str">
        <f t="shared" si="41"/>
        <v/>
      </c>
      <c r="Y192" s="214">
        <f t="shared" si="39"/>
        <v>0</v>
      </c>
      <c r="Z192" s="32"/>
    </row>
    <row r="193" spans="1:26" ht="30" hidden="1" customHeight="1">
      <c r="A193" s="70" t="str">
        <f t="shared" si="13"/>
        <v/>
      </c>
      <c r="B193" s="70" t="str">
        <f t="shared" si="14"/>
        <v/>
      </c>
      <c r="C193" s="190" t="str">
        <f>IF(D193="","",
    IF(ISERR(SEARCH("_",D193)),
        IFERROR(_xlfn.AGGREGATE(14,6,$C$12:C192,1),0)+1,
        IFERROR(
            VALUE(TRIM(MID(SUBSTITUTE(D193,"_",REPT(" ",LEN(D193))), (LEN(D193)-LEN(SUBSTITUTE(D193,"_",""))-1)*LEN(D193)+1, LEN(D193))))
            &amp; "." &amp;
            VALUE(TRIM(RIGHT(SUBSTITUTE(D193,"_",REPT(" ",LEN(D193))),LEN(D193)))),
            "")))</f>
        <v/>
      </c>
      <c r="D193" s="26"/>
      <c r="E193" s="25"/>
      <c r="F193" s="25"/>
      <c r="G193" s="25"/>
      <c r="H193" s="25"/>
      <c r="I193" s="33"/>
      <c r="J193" s="25"/>
      <c r="K193" s="25"/>
      <c r="L193" s="191"/>
      <c r="M193" s="25"/>
      <c r="N193" s="33"/>
      <c r="O193" s="195"/>
      <c r="P193" s="192" t="str">
        <f t="shared" si="7"/>
        <v/>
      </c>
      <c r="Q193" s="79" t="str">
        <f t="shared" si="15"/>
        <v/>
      </c>
      <c r="R193" s="171">
        <f t="shared" si="16"/>
        <v>0</v>
      </c>
      <c r="S193" s="84">
        <f t="shared" si="40"/>
        <v>0</v>
      </c>
      <c r="T193" s="193">
        <f t="shared" si="10"/>
        <v>0</v>
      </c>
      <c r="U193" s="194">
        <f t="shared" si="11"/>
        <v>0</v>
      </c>
      <c r="V193" s="69" t="str">
        <f t="shared" si="17"/>
        <v/>
      </c>
      <c r="W193" s="69" t="str">
        <f t="shared" si="18"/>
        <v/>
      </c>
      <c r="X193" s="271" t="str">
        <f t="shared" si="41"/>
        <v/>
      </c>
      <c r="Y193" s="214">
        <f t="shared" si="39"/>
        <v>0</v>
      </c>
      <c r="Z193" s="32"/>
    </row>
    <row r="194" spans="1:26" ht="30" hidden="1" customHeight="1">
      <c r="A194" s="70" t="str">
        <f t="shared" ref="A194:A199" si="51">IF(W194="IN",$E$6,"")</f>
        <v/>
      </c>
      <c r="B194" s="70" t="str">
        <f t="shared" ref="B194:B199" si="52">IF(W194="IN","Muc "&amp;$E$7,"")</f>
        <v/>
      </c>
      <c r="C194" s="190" t="str">
        <f>IF(D194="","",
    IF(ISERR(SEARCH("_",D194)),
        IFERROR(_xlfn.AGGREGATE(14,6,$C$12:C193,1),0)+1,
        IFERROR(
            VALUE(TRIM(MID(SUBSTITUTE(D194,"_",REPT(" ",LEN(D194))), (LEN(D194)-LEN(SUBSTITUTE(D194,"_",""))-1)*LEN(D194)+1, LEN(D194))))
            &amp; "." &amp;
            VALUE(TRIM(RIGHT(SUBSTITUTE(D194,"_",REPT(" ",LEN(D194))),LEN(D194)))),
            "")))</f>
        <v/>
      </c>
      <c r="D194" s="26"/>
      <c r="E194" s="25"/>
      <c r="F194" s="25"/>
      <c r="G194" s="25"/>
      <c r="H194" s="25"/>
      <c r="I194" s="33"/>
      <c r="J194" s="25"/>
      <c r="K194" s="25"/>
      <c r="L194" s="191"/>
      <c r="M194" s="25"/>
      <c r="N194" s="33"/>
      <c r="O194" s="195"/>
      <c r="P194" s="192" t="str">
        <f t="shared" ref="P194:P199" si="53">IF(M194="","",IF(AND(LEFT(I194,2)="Gỗ",LEFT(RIGHT(I194,10),1)&lt;&gt;"C"),IF(LEFT(M194,4)="2M2D","1COM",IF(AND(G194&gt;1699,LEFT(M194,4)&lt;&gt;"2M2D"),"1COM","2COM")),""))</f>
        <v/>
      </c>
      <c r="Q194" s="79" t="str">
        <f t="shared" ref="Q194:Q199" si="54">IFERROR(IF(I194="","",IF(LEFT(I194,2)="Gỗ","M3","Tấm")),"")</f>
        <v/>
      </c>
      <c r="R194" s="171">
        <f t="shared" ref="R194:R199" si="55">IFERROR(IF(OR(Q194="Con",Q194="Cụm",Q194="Hệ",Q194="Thanh"),H194,IF(Q194="Tấm",(F194*G194*H194)/(1220*2440),IF(Q194="Md",G194*H194/1000,IF(Q194="M2",F194*G194*H194/10^6,IF(Q194="M3",E194*F194*G194*H194/10^9,0))))),"-")</f>
        <v>0</v>
      </c>
      <c r="S194" s="84">
        <f t="shared" si="40"/>
        <v>0</v>
      </c>
      <c r="T194" s="193">
        <f t="shared" ref="T194:T199" si="56">IFERROR(IF(ISERR(SEARCH("2m",M194)),IF(ISERR(SEARCH("1m",M194)),0,1),2)*$G194*$F194*$H194/10^6+IF(ISERR(SEARCH("2d",M194)),IF(ISERR(SEARCH("1d",M194)),0,1),2)*$G194*$E194*$H194/10^6+IF(ISERR(SEARCH("2r",M194)),IF(ISERR(SEARCH("1r",M194)),0,1),2)*$F194*$E194*$H194/10^6,"-")</f>
        <v>0</v>
      </c>
      <c r="U194" s="194">
        <f t="shared" ref="U194:U199" si="57">IFERROR(IF(ISERR(SEARCH("2m",N194)),IF(ISERR(SEARCH("1m",N194)),0,1),2)*$G194*$F194*$H194/10^6+IF(ISERR(SEARCH("2d",N194)),IF(ISERR(SEARCH("1d",N194)),0,1),2)*$G194*$E194*$H194/10^6+IF(ISERR(SEARCH("2r",N194)),IF(ISERR(SEARCH("1r",N194)),0,1),2)*$F194*$E194*$H194/10^6,"-")</f>
        <v>0</v>
      </c>
      <c r="V194" s="69" t="str">
        <f t="shared" ref="V194:V199" si="58">IF(W194="IN",$Y$3,"")</f>
        <v/>
      </c>
      <c r="W194" s="69" t="str">
        <f t="shared" ref="W194:W199" si="59">IF(OR(C194&lt;&gt;"",D194&lt;&gt;""),"IN","")</f>
        <v/>
      </c>
      <c r="X194" s="271" t="str">
        <f t="shared" si="41"/>
        <v/>
      </c>
      <c r="Y194" s="214">
        <f t="shared" si="39"/>
        <v>0</v>
      </c>
      <c r="Z194" s="32"/>
    </row>
    <row r="195" spans="1:26" ht="30" hidden="1" customHeight="1">
      <c r="A195" s="70" t="str">
        <f t="shared" si="51"/>
        <v/>
      </c>
      <c r="B195" s="70" t="str">
        <f t="shared" si="52"/>
        <v/>
      </c>
      <c r="C195" s="190" t="str">
        <f>IF(D195="","",
    IF(ISERR(SEARCH("_",D195)),
        IFERROR(_xlfn.AGGREGATE(14,6,$C$12:C194,1),0)+1,
        IFERROR(
            VALUE(TRIM(MID(SUBSTITUTE(D195,"_",REPT(" ",LEN(D195))), (LEN(D195)-LEN(SUBSTITUTE(D195,"_",""))-1)*LEN(D195)+1, LEN(D195))))
            &amp; "." &amp;
            VALUE(TRIM(RIGHT(SUBSTITUTE(D195,"_",REPT(" ",LEN(D195))),LEN(D195)))),
            "")))</f>
        <v/>
      </c>
      <c r="D195" s="26"/>
      <c r="E195" s="25"/>
      <c r="F195" s="25"/>
      <c r="G195" s="25"/>
      <c r="H195" s="25"/>
      <c r="I195" s="33"/>
      <c r="J195" s="25"/>
      <c r="K195" s="25"/>
      <c r="L195" s="191"/>
      <c r="M195" s="25"/>
      <c r="N195" s="33"/>
      <c r="O195" s="195"/>
      <c r="P195" s="192" t="str">
        <f t="shared" si="53"/>
        <v/>
      </c>
      <c r="Q195" s="79" t="str">
        <f t="shared" si="54"/>
        <v/>
      </c>
      <c r="R195" s="171">
        <f t="shared" si="55"/>
        <v>0</v>
      </c>
      <c r="S195" s="84">
        <f t="shared" si="40"/>
        <v>0</v>
      </c>
      <c r="T195" s="193">
        <f t="shared" si="56"/>
        <v>0</v>
      </c>
      <c r="U195" s="194">
        <f t="shared" si="57"/>
        <v>0</v>
      </c>
      <c r="V195" s="69" t="str">
        <f t="shared" si="58"/>
        <v/>
      </c>
      <c r="W195" s="69" t="str">
        <f t="shared" si="59"/>
        <v/>
      </c>
      <c r="X195" s="271" t="str">
        <f t="shared" si="41"/>
        <v/>
      </c>
      <c r="Y195" s="214">
        <f t="shared" si="39"/>
        <v>0</v>
      </c>
      <c r="Z195" s="32"/>
    </row>
    <row r="196" spans="1:26" ht="30" hidden="1" customHeight="1">
      <c r="A196" s="70" t="str">
        <f t="shared" si="51"/>
        <v/>
      </c>
      <c r="B196" s="70" t="str">
        <f t="shared" si="52"/>
        <v/>
      </c>
      <c r="C196" s="190" t="str">
        <f>IF(D196="","",
    IF(ISERR(SEARCH("_",D196)),
        IFERROR(_xlfn.AGGREGATE(14,6,$C$12:C195,1),0)+1,
        IFERROR(
            VALUE(TRIM(MID(SUBSTITUTE(D196,"_",REPT(" ",LEN(D196))), (LEN(D196)-LEN(SUBSTITUTE(D196,"_",""))-1)*LEN(D196)+1, LEN(D196))))
            &amp; "." &amp;
            VALUE(TRIM(RIGHT(SUBSTITUTE(D196,"_",REPT(" ",LEN(D196))),LEN(D196)))),
            "")))</f>
        <v/>
      </c>
      <c r="D196" s="26"/>
      <c r="E196" s="25"/>
      <c r="F196" s="25"/>
      <c r="G196" s="25"/>
      <c r="H196" s="25"/>
      <c r="I196" s="33"/>
      <c r="J196" s="25"/>
      <c r="K196" s="25"/>
      <c r="L196" s="191"/>
      <c r="M196" s="25"/>
      <c r="N196" s="33"/>
      <c r="O196" s="195"/>
      <c r="P196" s="192" t="str">
        <f t="shared" si="53"/>
        <v/>
      </c>
      <c r="Q196" s="79" t="str">
        <f t="shared" si="54"/>
        <v/>
      </c>
      <c r="R196" s="171">
        <f t="shared" si="55"/>
        <v>0</v>
      </c>
      <c r="S196" s="84">
        <f t="shared" si="40"/>
        <v>0</v>
      </c>
      <c r="T196" s="193">
        <f t="shared" si="56"/>
        <v>0</v>
      </c>
      <c r="U196" s="194">
        <f t="shared" si="57"/>
        <v>0</v>
      </c>
      <c r="V196" s="69" t="str">
        <f t="shared" si="58"/>
        <v/>
      </c>
      <c r="W196" s="69" t="str">
        <f t="shared" si="59"/>
        <v/>
      </c>
      <c r="X196" s="271" t="str">
        <f t="shared" si="41"/>
        <v/>
      </c>
      <c r="Y196" s="214">
        <f t="shared" si="39"/>
        <v>0</v>
      </c>
      <c r="Z196" s="32"/>
    </row>
    <row r="197" spans="1:26" ht="30" hidden="1" customHeight="1">
      <c r="A197" s="70" t="str">
        <f t="shared" si="51"/>
        <v/>
      </c>
      <c r="B197" s="70" t="str">
        <f t="shared" si="52"/>
        <v/>
      </c>
      <c r="C197" s="190" t="str">
        <f>IF(D197="","",
    IF(ISERR(SEARCH("_",D197)),
        IFERROR(_xlfn.AGGREGATE(14,6,$C$12:C196,1),0)+1,
        IFERROR(
            VALUE(TRIM(MID(SUBSTITUTE(D197,"_",REPT(" ",LEN(D197))), (LEN(D197)-LEN(SUBSTITUTE(D197,"_",""))-1)*LEN(D197)+1, LEN(D197))))
            &amp; "." &amp;
            VALUE(TRIM(RIGHT(SUBSTITUTE(D197,"_",REPT(" ",LEN(D197))),LEN(D197)))),
            "")))</f>
        <v/>
      </c>
      <c r="D197" s="26"/>
      <c r="E197" s="25"/>
      <c r="F197" s="25"/>
      <c r="G197" s="25"/>
      <c r="H197" s="25"/>
      <c r="I197" s="33"/>
      <c r="J197" s="25"/>
      <c r="K197" s="25"/>
      <c r="L197" s="191"/>
      <c r="M197" s="25"/>
      <c r="N197" s="33"/>
      <c r="O197" s="195"/>
      <c r="P197" s="192" t="str">
        <f t="shared" si="53"/>
        <v/>
      </c>
      <c r="Q197" s="79" t="str">
        <f t="shared" si="54"/>
        <v/>
      </c>
      <c r="R197" s="171">
        <f t="shared" si="55"/>
        <v>0</v>
      </c>
      <c r="S197" s="84">
        <f t="shared" si="40"/>
        <v>0</v>
      </c>
      <c r="T197" s="193">
        <f t="shared" si="56"/>
        <v>0</v>
      </c>
      <c r="U197" s="194">
        <f t="shared" si="57"/>
        <v>0</v>
      </c>
      <c r="V197" s="69" t="str">
        <f t="shared" si="58"/>
        <v/>
      </c>
      <c r="W197" s="69" t="str">
        <f t="shared" si="59"/>
        <v/>
      </c>
      <c r="X197" s="271" t="str">
        <f t="shared" si="41"/>
        <v/>
      </c>
      <c r="Y197" s="214">
        <f t="shared" si="39"/>
        <v>0</v>
      </c>
      <c r="Z197" s="32"/>
    </row>
    <row r="198" spans="1:26" ht="30" hidden="1" customHeight="1">
      <c r="A198" s="70" t="str">
        <f t="shared" si="51"/>
        <v/>
      </c>
      <c r="B198" s="70" t="str">
        <f t="shared" si="52"/>
        <v/>
      </c>
      <c r="C198" s="190" t="str">
        <f>IF(D198="","",
    IF(ISERR(SEARCH("_",D198)),
        IFERROR(_xlfn.AGGREGATE(14,6,$C$12:C197,1),0)+1,
        IFERROR(
            VALUE(TRIM(MID(SUBSTITUTE(D198,"_",REPT(" ",LEN(D198))), (LEN(D198)-LEN(SUBSTITUTE(D198,"_",""))-1)*LEN(D198)+1, LEN(D198))))
            &amp; "." &amp;
            VALUE(TRIM(RIGHT(SUBSTITUTE(D198,"_",REPT(" ",LEN(D198))),LEN(D198)))),
            "")))</f>
        <v/>
      </c>
      <c r="D198" s="26"/>
      <c r="E198" s="25"/>
      <c r="F198" s="25"/>
      <c r="G198" s="25"/>
      <c r="H198" s="25"/>
      <c r="I198" s="33"/>
      <c r="J198" s="25"/>
      <c r="K198" s="25"/>
      <c r="L198" s="191"/>
      <c r="M198" s="25"/>
      <c r="N198" s="33"/>
      <c r="O198" s="195"/>
      <c r="P198" s="192" t="str">
        <f t="shared" si="53"/>
        <v/>
      </c>
      <c r="Q198" s="79" t="str">
        <f t="shared" si="54"/>
        <v/>
      </c>
      <c r="R198" s="171">
        <f t="shared" si="55"/>
        <v>0</v>
      </c>
      <c r="S198" s="84">
        <f t="shared" si="40"/>
        <v>0</v>
      </c>
      <c r="T198" s="193">
        <f t="shared" si="56"/>
        <v>0</v>
      </c>
      <c r="U198" s="194">
        <f t="shared" si="57"/>
        <v>0</v>
      </c>
      <c r="V198" s="69" t="str">
        <f t="shared" si="58"/>
        <v/>
      </c>
      <c r="W198" s="69" t="str">
        <f t="shared" si="59"/>
        <v/>
      </c>
      <c r="X198" s="271" t="str">
        <f t="shared" si="41"/>
        <v/>
      </c>
      <c r="Y198" s="214">
        <f t="shared" si="39"/>
        <v>0</v>
      </c>
      <c r="Z198" s="32"/>
    </row>
    <row r="199" spans="1:26" ht="30" hidden="1" customHeight="1">
      <c r="A199" s="70" t="str">
        <f t="shared" si="51"/>
        <v/>
      </c>
      <c r="B199" s="70" t="str">
        <f t="shared" si="52"/>
        <v/>
      </c>
      <c r="C199" s="190" t="str">
        <f>IF(D199="","",
    IF(ISERR(SEARCH("_",D199)),
        IFERROR(_xlfn.AGGREGATE(14,6,$C$12:C198,1),0)+1,
        IFERROR(
            VALUE(TRIM(MID(SUBSTITUTE(D199,"_",REPT(" ",LEN(D199))), (LEN(D199)-LEN(SUBSTITUTE(D199,"_",""))-1)*LEN(D199)+1, LEN(D199))))
            &amp; "." &amp;
            VALUE(TRIM(RIGHT(SUBSTITUTE(D199,"_",REPT(" ",LEN(D199))),LEN(D199)))),
            "")))</f>
        <v/>
      </c>
      <c r="D199" s="26"/>
      <c r="E199" s="25"/>
      <c r="F199" s="25"/>
      <c r="G199" s="25"/>
      <c r="H199" s="25"/>
      <c r="I199" s="33"/>
      <c r="J199" s="25"/>
      <c r="K199" s="25"/>
      <c r="L199" s="191"/>
      <c r="M199" s="25"/>
      <c r="N199" s="33"/>
      <c r="O199" s="195"/>
      <c r="P199" s="192" t="str">
        <f t="shared" si="53"/>
        <v/>
      </c>
      <c r="Q199" s="79" t="str">
        <f t="shared" si="54"/>
        <v/>
      </c>
      <c r="R199" s="171">
        <f t="shared" si="55"/>
        <v>0</v>
      </c>
      <c r="S199" s="84">
        <f t="shared" si="40"/>
        <v>0</v>
      </c>
      <c r="T199" s="193">
        <f t="shared" si="56"/>
        <v>0</v>
      </c>
      <c r="U199" s="194">
        <f t="shared" si="57"/>
        <v>0</v>
      </c>
      <c r="V199" s="69" t="str">
        <f t="shared" si="58"/>
        <v/>
      </c>
      <c r="W199" s="69" t="str">
        <f t="shared" si="59"/>
        <v/>
      </c>
      <c r="X199" s="271" t="str">
        <f t="shared" si="41"/>
        <v/>
      </c>
      <c r="Y199" s="214">
        <f t="shared" si="39"/>
        <v>0</v>
      </c>
      <c r="Z199" s="32"/>
    </row>
    <row r="200" spans="1:26" ht="30" customHeight="1">
      <c r="A200" s="70" t="str">
        <f t="shared" si="2"/>
        <v>L01</v>
      </c>
      <c r="B200" s="70" t="str">
        <f t="shared" si="3"/>
        <v>Muc 1.1</v>
      </c>
      <c r="C200" s="162" t="s">
        <v>15</v>
      </c>
      <c r="D200" s="161" t="s">
        <v>59</v>
      </c>
      <c r="E200" s="108"/>
      <c r="F200" s="108"/>
      <c r="G200" s="108"/>
      <c r="H200" s="108"/>
      <c r="I200" s="87"/>
      <c r="J200" s="108"/>
      <c r="K200" s="108"/>
      <c r="L200" s="108"/>
      <c r="M200" s="108"/>
      <c r="N200" s="108"/>
      <c r="O200" s="197"/>
      <c r="P200" s="80"/>
      <c r="Q200" s="80"/>
      <c r="R200" s="85"/>
      <c r="S200" s="86"/>
      <c r="T200" s="86"/>
      <c r="U200" s="132"/>
      <c r="V200" s="69">
        <f t="shared" si="4"/>
        <v>1</v>
      </c>
      <c r="W200" s="69" t="str">
        <f t="shared" si="5"/>
        <v>IN</v>
      </c>
      <c r="X200" s="271"/>
      <c r="Y200" s="214">
        <f t="shared" ref="Y200:Y206" si="60">IFERROR((E200*F200*G200*H200*10^-9),"")</f>
        <v>0</v>
      </c>
      <c r="Z200" s="32"/>
    </row>
    <row r="201" spans="1:26" ht="30" hidden="1" customHeight="1">
      <c r="A201" s="70" t="str">
        <f t="shared" si="2"/>
        <v/>
      </c>
      <c r="B201" s="70" t="str">
        <f t="shared" si="3"/>
        <v/>
      </c>
      <c r="C201" s="190" t="str">
        <f>IF(D201="","",IFERROR((IF(LEFT(MID(D201,SEARCH("_",D201)+1,2),1)="0",(MID(D201,SEARCH("_",D201)+2,1)),MID(D201,SEARCH("_",D201)+1,2)))&amp;"."&amp;IF(LEFT(RIGHT(D201,2),1)="0",RIGHT(D201,1),RIGHT(D201,2)),MAX($C$12:$C200)+1))</f>
        <v/>
      </c>
      <c r="D201" s="183"/>
      <c r="E201" s="180"/>
      <c r="F201" s="180"/>
      <c r="G201" s="180"/>
      <c r="H201" s="180"/>
      <c r="I201" s="181"/>
      <c r="J201" s="180"/>
      <c r="K201" s="180"/>
      <c r="L201" s="180"/>
      <c r="M201" s="180"/>
      <c r="N201" s="26" t="str">
        <f t="shared" ref="N201:N206" si="61">IF(M201="","",IF(LEFT(M201,1)="2",0,IF(LEFT(M201,1)="1",1,IF(LEFT(M201,1)="0",2,"")))&amp;"m"&amp;IF(MID(M201,3,1)="2",0,IF(MID(M201,3,1)="1",1,IF(MID(M201,3,1)="0",2,"")))&amp;"d"&amp;IF(MID(M201,5,1)="2",0,IF(MID(M201,5,1)="1",1,IF(MID(M201,5,1)="0",2,"")))&amp;"n")</f>
        <v/>
      </c>
      <c r="O201" s="198"/>
      <c r="P201" s="192"/>
      <c r="Q201" s="182"/>
      <c r="R201" s="171">
        <f t="shared" ref="R201:R208" si="62">IF(OR(Q201="Con",Q201="Cụm",Q201="Hệ",Q201="Thanh"),H201,IF(Q201="Tấm",(F201*G201*H201)/(1600*2000),IF(Q201="Md",G201*H201/1000,IF(Q201="M2",F201*G201*H201/10^6,IF(Q201="M3",E201*F201*G201*H201/10^9,0)))))</f>
        <v>0</v>
      </c>
      <c r="S201" s="84">
        <f t="shared" ref="S201:S208" si="63">IF(ISERR(SEARCH("2d",K201)),IF(ISERR(SEARCH("1d",K201)),0,1),2)*($G201+80)*$H201/10^3+IF(ISERR(SEARCH("2n",K201)),IF(ISERR(SEARCH("1n",K201)),0,1),2)*($F201+80)*$H201/10^3</f>
        <v>0</v>
      </c>
      <c r="T201" s="84">
        <f t="shared" ref="T201:U208" si="64">IF(ISERR(SEARCH("2m",M201)),IF(ISERR(SEARCH("1m",M201)),0,1),2)*$G201*$F201*$H201/10^6+IF(ISERR(SEARCH("2d",M201)),IF(ISERR(SEARCH("1d",M201)),0,1),2)*$G201*$E201*$H201/10^6+IF(ISERR(SEARCH("2n",M201)),IF(ISERR(SEARCH("1n",M201)),0,1),2)*$F201*$E201*$H201/10^6</f>
        <v>0</v>
      </c>
      <c r="U201" s="133">
        <f t="shared" si="64"/>
        <v>0</v>
      </c>
      <c r="V201" s="69" t="str">
        <f t="shared" si="4"/>
        <v/>
      </c>
      <c r="W201" s="69" t="str">
        <f t="shared" si="5"/>
        <v/>
      </c>
      <c r="X201" s="271"/>
      <c r="Y201" s="214">
        <f t="shared" si="60"/>
        <v>0</v>
      </c>
      <c r="Z201" s="32"/>
    </row>
    <row r="202" spans="1:26" ht="30" hidden="1" customHeight="1">
      <c r="A202" s="70" t="str">
        <f t="shared" si="2"/>
        <v/>
      </c>
      <c r="B202" s="70" t="str">
        <f t="shared" si="3"/>
        <v/>
      </c>
      <c r="C202" s="190" t="str">
        <f>IF(D202="","",IFERROR((IF(LEFT(MID(D202,SEARCH("_",D202)+1,2),1)="0",(MID(D202,SEARCH("_",D202)+2,1)),MID(D202,SEARCH("_",D202)+1,2)))&amp;"."&amp;IF(LEFT(RIGHT(D202,2),1)="0",RIGHT(D202,1),RIGHT(D202,2)),MAX($C$12:$C201)+1))</f>
        <v/>
      </c>
      <c r="D202" s="183"/>
      <c r="E202" s="180"/>
      <c r="F202" s="180"/>
      <c r="G202" s="180"/>
      <c r="H202" s="180"/>
      <c r="J202" s="180"/>
      <c r="K202" s="180"/>
      <c r="L202" s="180"/>
      <c r="M202" s="180"/>
      <c r="N202" s="26" t="str">
        <f t="shared" si="61"/>
        <v/>
      </c>
      <c r="O202" s="198"/>
      <c r="P202" s="192"/>
      <c r="Q202" s="182"/>
      <c r="R202" s="171">
        <f t="shared" si="62"/>
        <v>0</v>
      </c>
      <c r="S202" s="84">
        <f t="shared" si="63"/>
        <v>0</v>
      </c>
      <c r="T202" s="84">
        <f t="shared" si="64"/>
        <v>0</v>
      </c>
      <c r="U202" s="133">
        <f t="shared" si="64"/>
        <v>0</v>
      </c>
      <c r="V202" s="69" t="str">
        <f t="shared" si="4"/>
        <v/>
      </c>
      <c r="W202" s="69" t="str">
        <f t="shared" si="5"/>
        <v/>
      </c>
      <c r="X202" s="271"/>
      <c r="Y202" s="214">
        <f t="shared" si="60"/>
        <v>0</v>
      </c>
      <c r="Z202" s="32"/>
    </row>
    <row r="203" spans="1:26" ht="30" hidden="1" customHeight="1">
      <c r="A203" s="70" t="str">
        <f t="shared" si="2"/>
        <v/>
      </c>
      <c r="B203" s="70" t="str">
        <f t="shared" si="3"/>
        <v/>
      </c>
      <c r="C203" s="190" t="str">
        <f>IF(D203="","",IFERROR((IF(LEFT(MID(D203,SEARCH("_",D203)+1,2),1)="0",(MID(D203,SEARCH("_",D203)+2,1)),MID(D203,SEARCH("_",D203)+1,2)))&amp;"."&amp;IF(LEFT(RIGHT(D203,2),1)="0",RIGHT(D203,1),RIGHT(D203,2)),MAX($C$12:$C202)+1))</f>
        <v/>
      </c>
      <c r="D203" s="183"/>
      <c r="E203" s="180"/>
      <c r="F203" s="180"/>
      <c r="G203" s="180"/>
      <c r="H203" s="180"/>
      <c r="I203" s="181"/>
      <c r="J203" s="180"/>
      <c r="K203" s="180"/>
      <c r="L203" s="180"/>
      <c r="M203" s="180"/>
      <c r="N203" s="26" t="str">
        <f t="shared" ref="N203:N204" si="65">IF(M203="","",IF(LEFT(M203,1)="2",0,IF(LEFT(M203,1)="1",1,IF(LEFT(M203,1)="0",2,"")))&amp;"m"&amp;IF(MID(M203,3,1)="2",0,IF(MID(M203,3,1)="1",1,IF(MID(M203,3,1)="0",2,"")))&amp;"d"&amp;IF(MID(M203,5,1)="2",0,IF(MID(M203,5,1)="1",1,IF(MID(M203,5,1)="0",2,"")))&amp;"n")</f>
        <v/>
      </c>
      <c r="O203" s="198"/>
      <c r="P203" s="192"/>
      <c r="Q203" s="182"/>
      <c r="R203" s="171">
        <f t="shared" si="62"/>
        <v>0</v>
      </c>
      <c r="S203" s="84">
        <f t="shared" si="63"/>
        <v>0</v>
      </c>
      <c r="T203" s="84">
        <f t="shared" si="64"/>
        <v>0</v>
      </c>
      <c r="U203" s="133">
        <f t="shared" si="64"/>
        <v>0</v>
      </c>
      <c r="V203" s="69" t="str">
        <f t="shared" si="4"/>
        <v/>
      </c>
      <c r="W203" s="69" t="str">
        <f t="shared" si="5"/>
        <v/>
      </c>
      <c r="X203" s="271"/>
      <c r="Y203" s="214">
        <f t="shared" ref="Y203:Y204" si="66">IFERROR((E203*F203*G203*H203*10^-9),"")</f>
        <v>0</v>
      </c>
      <c r="Z203" s="32"/>
    </row>
    <row r="204" spans="1:26" ht="30" hidden="1" customHeight="1">
      <c r="A204" s="70" t="str">
        <f t="shared" si="2"/>
        <v/>
      </c>
      <c r="B204" s="70" t="str">
        <f t="shared" si="3"/>
        <v/>
      </c>
      <c r="C204" s="190" t="str">
        <f>IF(D204="","",IFERROR((IF(LEFT(MID(D204,SEARCH("_",D204)+1,2),1)="0",(MID(D204,SEARCH("_",D204)+2,1)),MID(D204,SEARCH("_",D204)+1,2)))&amp;"."&amp;IF(LEFT(RIGHT(D204,2),1)="0",RIGHT(D204,1),RIGHT(D204,2)),MAX($C$12:$C203)+1))</f>
        <v/>
      </c>
      <c r="D204" s="183"/>
      <c r="E204" s="180"/>
      <c r="F204" s="180"/>
      <c r="G204" s="180"/>
      <c r="H204" s="180"/>
      <c r="I204" s="181"/>
      <c r="J204" s="180"/>
      <c r="K204" s="180"/>
      <c r="L204" s="180"/>
      <c r="M204" s="180"/>
      <c r="N204" s="26" t="str">
        <f t="shared" si="65"/>
        <v/>
      </c>
      <c r="O204" s="198"/>
      <c r="P204" s="192"/>
      <c r="Q204" s="182"/>
      <c r="R204" s="171">
        <f t="shared" si="62"/>
        <v>0</v>
      </c>
      <c r="S204" s="84">
        <f t="shared" si="63"/>
        <v>0</v>
      </c>
      <c r="T204" s="84">
        <f t="shared" si="64"/>
        <v>0</v>
      </c>
      <c r="U204" s="133">
        <f t="shared" si="64"/>
        <v>0</v>
      </c>
      <c r="V204" s="69" t="str">
        <f t="shared" si="4"/>
        <v/>
      </c>
      <c r="W204" s="69" t="str">
        <f t="shared" si="5"/>
        <v/>
      </c>
      <c r="X204" s="271"/>
      <c r="Y204" s="214">
        <f t="shared" si="66"/>
        <v>0</v>
      </c>
      <c r="Z204" s="32"/>
    </row>
    <row r="205" spans="1:26" ht="30" hidden="1" customHeight="1">
      <c r="A205" s="70" t="str">
        <f t="shared" ref="A205:A206" si="67">IF(W205="IN",$E$6,"")</f>
        <v/>
      </c>
      <c r="B205" s="70" t="str">
        <f t="shared" ref="B205:B206" si="68">IF(W205="IN","Muc "&amp;$E$7,"")</f>
        <v/>
      </c>
      <c r="C205" s="190" t="str">
        <f>IF(D205="","",IFERROR((IF(LEFT(MID(D205,SEARCH("_",D205)+1,2),1)="0",(MID(D205,SEARCH("_",D205)+2,1)),MID(D205,SEARCH("_",D205)+1,2)))&amp;"."&amp;IF(LEFT(RIGHT(D205,2),1)="0",RIGHT(D205,1),RIGHT(D205,2)),MAX($C$12:$C204)+1))</f>
        <v/>
      </c>
      <c r="D205" s="183"/>
      <c r="E205" s="180"/>
      <c r="F205" s="180"/>
      <c r="G205" s="180"/>
      <c r="H205" s="180"/>
      <c r="I205" s="181"/>
      <c r="J205" s="180"/>
      <c r="K205" s="180"/>
      <c r="L205" s="180"/>
      <c r="M205" s="180"/>
      <c r="N205" s="26" t="str">
        <f t="shared" si="61"/>
        <v/>
      </c>
      <c r="O205" s="198"/>
      <c r="P205" s="192"/>
      <c r="Q205" s="182"/>
      <c r="R205" s="171">
        <f t="shared" ref="R205:R206" si="69">IF(OR(Q205="Con",Q205="Cụm",Q205="Hệ",Q205="Thanh"),H205,IF(Q205="Tấm",(F205*G205*H205)/(1600*2000),IF(Q205="Md",G205*H205/1000,IF(Q205="M2",F205*G205*H205/10^6,IF(Q205="M3",E205*F205*G205*H205/10^9,0)))))</f>
        <v>0</v>
      </c>
      <c r="S205" s="84">
        <f t="shared" ref="S205:S206" si="70">IF(ISERR(SEARCH("2d",K205)),IF(ISERR(SEARCH("1d",K205)),0,1),2)*($G205+80)*$H205/10^3+IF(ISERR(SEARCH("2n",K205)),IF(ISERR(SEARCH("1n",K205)),0,1),2)*($F205+80)*$H205/10^3</f>
        <v>0</v>
      </c>
      <c r="T205" s="84">
        <f t="shared" ref="T205:T206" si="71">IF(ISERR(SEARCH("2m",M205)),IF(ISERR(SEARCH("1m",M205)),0,1),2)*$G205*$F205*$H205/10^6+IF(ISERR(SEARCH("2d",M205)),IF(ISERR(SEARCH("1d",M205)),0,1),2)*$G205*$E205*$H205/10^6+IF(ISERR(SEARCH("2n",M205)),IF(ISERR(SEARCH("1n",M205)),0,1),2)*$F205*$E205*$H205/10^6</f>
        <v>0</v>
      </c>
      <c r="U205" s="133">
        <f t="shared" ref="U205:U206" si="72">IF(ISERR(SEARCH("2m",N205)),IF(ISERR(SEARCH("1m",N205)),0,1),2)*$G205*$F205*$H205/10^6+IF(ISERR(SEARCH("2d",N205)),IF(ISERR(SEARCH("1d",N205)),0,1),2)*$G205*$E205*$H205/10^6+IF(ISERR(SEARCH("2n",N205)),IF(ISERR(SEARCH("1n",N205)),0,1),2)*$F205*$E205*$H205/10^6</f>
        <v>0</v>
      </c>
      <c r="V205" s="69" t="str">
        <f t="shared" ref="V205:V206" si="73">IF(W205="IN",$Y$3,"")</f>
        <v/>
      </c>
      <c r="W205" s="69" t="str">
        <f t="shared" ref="W205:W206" si="74">IF(OR(C205&lt;&gt;"",D205&lt;&gt;""),"IN","")</f>
        <v/>
      </c>
      <c r="X205" s="271"/>
      <c r="Y205" s="214">
        <f t="shared" si="60"/>
        <v>0</v>
      </c>
      <c r="Z205" s="32"/>
    </row>
    <row r="206" spans="1:26" ht="30" hidden="1" customHeight="1">
      <c r="A206" s="70" t="str">
        <f t="shared" si="67"/>
        <v/>
      </c>
      <c r="B206" s="70" t="str">
        <f t="shared" si="68"/>
        <v/>
      </c>
      <c r="C206" s="190" t="str">
        <f>IF(D206="","",IFERROR((IF(LEFT(MID(D206,SEARCH("_",D206)+1,2),1)="0",(MID(D206,SEARCH("_",D206)+2,1)),MID(D206,SEARCH("_",D206)+1,2)))&amp;"."&amp;IF(LEFT(RIGHT(D206,2),1)="0",RIGHT(D206,1),RIGHT(D206,2)),MAX($C$12:$C205)+1))</f>
        <v/>
      </c>
      <c r="D206" s="183"/>
      <c r="E206" s="180"/>
      <c r="F206" s="180"/>
      <c r="G206" s="180"/>
      <c r="H206" s="180"/>
      <c r="I206" s="181"/>
      <c r="J206" s="180"/>
      <c r="K206" s="180"/>
      <c r="L206" s="180"/>
      <c r="M206" s="180"/>
      <c r="N206" s="26" t="str">
        <f t="shared" si="61"/>
        <v/>
      </c>
      <c r="O206" s="198"/>
      <c r="P206" s="192"/>
      <c r="Q206" s="182"/>
      <c r="R206" s="171">
        <f t="shared" si="69"/>
        <v>0</v>
      </c>
      <c r="S206" s="84">
        <f t="shared" si="70"/>
        <v>0</v>
      </c>
      <c r="T206" s="84">
        <f t="shared" si="71"/>
        <v>0</v>
      </c>
      <c r="U206" s="133">
        <f t="shared" si="72"/>
        <v>0</v>
      </c>
      <c r="V206" s="69" t="str">
        <f t="shared" si="73"/>
        <v/>
      </c>
      <c r="W206" s="69" t="str">
        <f t="shared" si="74"/>
        <v/>
      </c>
      <c r="X206" s="271"/>
      <c r="Y206" s="214">
        <f t="shared" si="60"/>
        <v>0</v>
      </c>
      <c r="Z206" s="32"/>
    </row>
    <row r="207" spans="1:26" ht="30" hidden="1" customHeight="1">
      <c r="A207" s="70" t="str">
        <f t="shared" si="2"/>
        <v/>
      </c>
      <c r="B207" s="70" t="str">
        <f t="shared" si="3"/>
        <v/>
      </c>
      <c r="C207" s="190" t="str">
        <f>IF(D207="","",IFERROR((IF(LEFT(MID(D207,SEARCH("_",D207)+1,2),1)="0",(MID(D207,SEARCH("_",D207)+2,1)),MID(D207,SEARCH("_",D207)+1,2)))&amp;"."&amp;IF(LEFT(RIGHT(D207,2),1)="0",RIGHT(D207,1),RIGHT(D207,2)),MAX($C$12:$C206)+1))</f>
        <v/>
      </c>
      <c r="D207" s="183"/>
      <c r="E207" s="180"/>
      <c r="F207" s="180"/>
      <c r="G207" s="180"/>
      <c r="H207" s="180"/>
      <c r="I207" s="181"/>
      <c r="J207" s="180"/>
      <c r="K207" s="180"/>
      <c r="L207" s="180"/>
      <c r="M207" s="180"/>
      <c r="N207" s="26" t="str">
        <f t="shared" ref="N207:N210" si="75">IF(M207="","",IF(LEFT(M207,1)="2",0,IF(LEFT(M207,1)="1",1,IF(LEFT(M207,1)="0",2,"")))&amp;"m"&amp;IF(MID(M207,3,1)="2",0,IF(MID(M207,3,1)="1",1,IF(MID(M207,3,1)="0",2,"")))&amp;"d"&amp;IF(MID(M207,5,1)="2",0,IF(MID(M207,5,1)="1",1,IF(MID(M207,5,1)="0",2,"")))&amp;"n")</f>
        <v/>
      </c>
      <c r="O207" s="198"/>
      <c r="P207" s="192"/>
      <c r="Q207" s="182"/>
      <c r="R207" s="171">
        <f t="shared" si="62"/>
        <v>0</v>
      </c>
      <c r="S207" s="84">
        <f t="shared" si="63"/>
        <v>0</v>
      </c>
      <c r="T207" s="84">
        <f t="shared" si="64"/>
        <v>0</v>
      </c>
      <c r="U207" s="133">
        <f t="shared" si="64"/>
        <v>0</v>
      </c>
      <c r="V207" s="69" t="str">
        <f t="shared" si="4"/>
        <v/>
      </c>
      <c r="W207" s="69" t="str">
        <f t="shared" si="5"/>
        <v/>
      </c>
      <c r="X207" s="271"/>
      <c r="Y207" s="214">
        <f t="shared" ref="Y207:Y242" si="76">IFERROR((E207*F207*G207*H207*10^-9),"")</f>
        <v>0</v>
      </c>
      <c r="Z207" s="32"/>
    </row>
    <row r="208" spans="1:26" ht="30" hidden="1" customHeight="1">
      <c r="A208" s="70" t="str">
        <f t="shared" si="2"/>
        <v/>
      </c>
      <c r="B208" s="70" t="str">
        <f t="shared" si="3"/>
        <v/>
      </c>
      <c r="C208" s="190" t="str">
        <f>IF(D208="","",IFERROR((IF(LEFT(MID(D208,SEARCH("_",D208)+1,2),1)="0",(MID(D208,SEARCH("_",D208)+2,1)),MID(D208,SEARCH("_",D208)+1,2)))&amp;"."&amp;IF(LEFT(RIGHT(D208,2),1)="0",RIGHT(D208,1),RIGHT(D208,2)),MAX($C$12:$C207)+1))</f>
        <v/>
      </c>
      <c r="D208" s="183"/>
      <c r="E208" s="180"/>
      <c r="F208" s="180"/>
      <c r="G208" s="180"/>
      <c r="H208" s="180"/>
      <c r="I208" s="181"/>
      <c r="J208" s="180"/>
      <c r="K208" s="180"/>
      <c r="L208" s="180"/>
      <c r="M208" s="180"/>
      <c r="N208" s="26" t="str">
        <f t="shared" si="75"/>
        <v/>
      </c>
      <c r="O208" s="198"/>
      <c r="P208" s="192"/>
      <c r="Q208" s="182"/>
      <c r="R208" s="171">
        <f t="shared" si="62"/>
        <v>0</v>
      </c>
      <c r="S208" s="84">
        <f t="shared" si="63"/>
        <v>0</v>
      </c>
      <c r="T208" s="84">
        <f t="shared" si="64"/>
        <v>0</v>
      </c>
      <c r="U208" s="133">
        <f t="shared" si="64"/>
        <v>0</v>
      </c>
      <c r="V208" s="69" t="str">
        <f t="shared" si="4"/>
        <v/>
      </c>
      <c r="W208" s="69" t="str">
        <f t="shared" si="5"/>
        <v/>
      </c>
      <c r="X208" s="271"/>
      <c r="Y208" s="214">
        <f t="shared" si="76"/>
        <v>0</v>
      </c>
      <c r="Z208" s="32"/>
    </row>
    <row r="209" spans="1:26" ht="30" customHeight="1">
      <c r="A209" s="70" t="str">
        <f t="shared" si="2"/>
        <v>L01</v>
      </c>
      <c r="B209" s="70" t="str">
        <f t="shared" si="3"/>
        <v>Muc 1.1</v>
      </c>
      <c r="C209" s="162" t="s">
        <v>41</v>
      </c>
      <c r="D209" s="161" t="s">
        <v>72</v>
      </c>
      <c r="E209" s="108"/>
      <c r="F209" s="108"/>
      <c r="G209" s="108"/>
      <c r="H209" s="108"/>
      <c r="I209" s="87"/>
      <c r="J209" s="108"/>
      <c r="K209" s="108"/>
      <c r="L209" s="108"/>
      <c r="M209" s="108"/>
      <c r="N209" s="108"/>
      <c r="O209" s="197"/>
      <c r="P209" s="80"/>
      <c r="Q209" s="80"/>
      <c r="R209" s="85"/>
      <c r="S209" s="86"/>
      <c r="T209" s="86"/>
      <c r="U209" s="132"/>
      <c r="V209" s="69">
        <f t="shared" si="4"/>
        <v>1</v>
      </c>
      <c r="W209" s="69" t="str">
        <f t="shared" si="5"/>
        <v>IN</v>
      </c>
      <c r="X209" s="271"/>
      <c r="Y209" s="214">
        <f t="shared" si="76"/>
        <v>0</v>
      </c>
      <c r="Z209" s="32"/>
    </row>
    <row r="210" spans="1:26" ht="30" hidden="1" customHeight="1">
      <c r="A210" s="70" t="str">
        <f t="shared" si="2"/>
        <v/>
      </c>
      <c r="B210" s="70" t="str">
        <f t="shared" si="3"/>
        <v/>
      </c>
      <c r="C210" s="25" t="str">
        <f>IF(D210="","",IFERROR((IF(LEFT(MID(D210,SEARCH("_",D210)+1,2),1)="0",(MID(D210,SEARCH("_",D210)+2,1)),MID(D210,SEARCH("_",D210)+1,2)))&amp;"."&amp;IF(LEFT(RIGHT(D210,2),1)="0",RIGHT(D210,1),RIGHT(D210,2)),MAX($C$12:$C209)+1))</f>
        <v/>
      </c>
      <c r="D210" s="26"/>
      <c r="E210" s="25"/>
      <c r="F210" s="25"/>
      <c r="G210" s="25"/>
      <c r="H210" s="25"/>
      <c r="I210" s="25"/>
      <c r="J210" s="25"/>
      <c r="K210" s="25"/>
      <c r="L210" s="25"/>
      <c r="M210" s="25"/>
      <c r="N210" s="26" t="str">
        <f t="shared" si="75"/>
        <v/>
      </c>
      <c r="O210" s="196"/>
      <c r="P210" s="196"/>
      <c r="Q210" s="79"/>
      <c r="R210" s="199"/>
      <c r="S210" s="84">
        <f t="shared" ref="S210" si="77">IF(ISERR(SEARCH("2d",K210)),IF(ISERR(SEARCH("1d",K210)),0,1),2)*($G210+80)*$H210/10^3+IF(ISERR(SEARCH("2n",K210)),IF(ISERR(SEARCH("1n",K210)),0,1),2)*($F210+80)*$H210/10^3</f>
        <v>0</v>
      </c>
      <c r="T210" s="84">
        <f t="shared" ref="T210" si="78">IF(ISERR(SEARCH("2m",M210)),IF(ISERR(SEARCH("1m",M210)),0,1),2)*$G210*$F210*$H210/10^6+IF(ISERR(SEARCH("2d",M210)),IF(ISERR(SEARCH("1d",M210)),0,1),2)*$G210*$E210*$H210/10^6+IF(ISERR(SEARCH("2n",M210)),IF(ISERR(SEARCH("1n",M210)),0,1),2)*$F210*$E210*$H210/10^6</f>
        <v>0</v>
      </c>
      <c r="U210" s="133">
        <f t="shared" ref="U210" si="79">IF(ISERR(SEARCH("2m",N210)),IF(ISERR(SEARCH("1m",N210)),0,1),2)*$G210*$F210*$H210/10^6+IF(ISERR(SEARCH("2d",N210)),IF(ISERR(SEARCH("1d",N210)),0,1),2)*$G210*$E210*$H210/10^6+IF(ISERR(SEARCH("2n",N210)),IF(ISERR(SEARCH("1n",N210)),0,1),2)*$F210*$E210*$H210/10^6</f>
        <v>0</v>
      </c>
      <c r="V210" s="69" t="str">
        <f t="shared" si="4"/>
        <v/>
      </c>
      <c r="W210" s="69" t="str">
        <f t="shared" si="5"/>
        <v/>
      </c>
      <c r="X210" s="271"/>
      <c r="Y210" s="214">
        <f t="shared" si="76"/>
        <v>0</v>
      </c>
      <c r="Z210" s="32"/>
    </row>
    <row r="211" spans="1:26" ht="30" hidden="1" customHeight="1">
      <c r="A211" s="70" t="str">
        <f t="shared" ref="A211:A218" si="80">IF(W211="IN",$E$6,"")</f>
        <v/>
      </c>
      <c r="B211" s="70" t="str">
        <f t="shared" ref="B211:B218" si="81">IF(W211="IN","Muc "&amp;$E$7,"")</f>
        <v/>
      </c>
      <c r="C211" s="25" t="str">
        <f>IF(D211="","",IFERROR((IF(LEFT(MID(D211,SEARCH("_",D211)+1,2),1)="0",(MID(D211,SEARCH("_",D211)+2,1)),MID(D211,SEARCH("_",D211)+1,2)))&amp;"."&amp;IF(LEFT(RIGHT(D211,2),1)="0",RIGHT(D211,1),RIGHT(D211,2)),MAX($C$12:$C210)+1))</f>
        <v/>
      </c>
      <c r="D211" s="26"/>
      <c r="E211" s="25"/>
      <c r="F211" s="25"/>
      <c r="G211" s="25"/>
      <c r="H211" s="25"/>
      <c r="I211" s="25"/>
      <c r="J211" s="25"/>
      <c r="K211" s="25"/>
      <c r="L211" s="25"/>
      <c r="M211" s="25"/>
      <c r="N211" s="26"/>
      <c r="O211" s="196"/>
      <c r="P211" s="196"/>
      <c r="Q211" s="79"/>
      <c r="R211" s="199"/>
      <c r="S211" s="84">
        <f t="shared" ref="S211:S233" si="82">IF(ISERR(SEARCH("2d",K211)),IF(ISERR(SEARCH("1d",K211)),0,1),2)*($G211+80)*$H211/10^3+IF(ISERR(SEARCH("2n",K211)),IF(ISERR(SEARCH("1n",K211)),0,1),2)*($F211+80)*$H211/10^3</f>
        <v>0</v>
      </c>
      <c r="T211" s="84">
        <f t="shared" ref="T211:T233" si="83">IF(ISERR(SEARCH("2m",M211)),IF(ISERR(SEARCH("1m",M211)),0,1),2)*$G211*$F211*$H211/10^6+IF(ISERR(SEARCH("2d",M211)),IF(ISERR(SEARCH("1d",M211)),0,1),2)*$G211*$E211*$H211/10^6+IF(ISERR(SEARCH("2n",M211)),IF(ISERR(SEARCH("1n",M211)),0,1),2)*$F211*$E211*$H211/10^6</f>
        <v>0</v>
      </c>
      <c r="U211" s="133">
        <f t="shared" ref="U211:U233" si="84">IF(ISERR(SEARCH("2m",N211)),IF(ISERR(SEARCH("1m",N211)),0,1),2)*$G211*$F211*$H211/10^6+IF(ISERR(SEARCH("2d",N211)),IF(ISERR(SEARCH("1d",N211)),0,1),2)*$G211*$E211*$H211/10^6+IF(ISERR(SEARCH("2n",N211)),IF(ISERR(SEARCH("1n",N211)),0,1),2)*$F211*$E211*$H211/10^6</f>
        <v>0</v>
      </c>
      <c r="V211" s="69" t="str">
        <f t="shared" ref="V211:V218" si="85">IF(W211="IN",$Y$3,"")</f>
        <v/>
      </c>
      <c r="W211" s="69" t="str">
        <f t="shared" ref="W211:W218" si="86">IF(OR(C211&lt;&gt;"",D211&lt;&gt;""),"IN","")</f>
        <v/>
      </c>
      <c r="X211" s="271"/>
      <c r="Y211" s="214">
        <f t="shared" si="76"/>
        <v>0</v>
      </c>
      <c r="Z211" s="32"/>
    </row>
    <row r="212" spans="1:26" ht="30" hidden="1" customHeight="1">
      <c r="A212" s="70" t="str">
        <f t="shared" si="80"/>
        <v/>
      </c>
      <c r="B212" s="70" t="str">
        <f t="shared" si="81"/>
        <v/>
      </c>
      <c r="C212" s="25" t="str">
        <f>IF(D212="","",IFERROR((IF(LEFT(MID(D212,SEARCH("_",D212)+1,2),1)="0",(MID(D212,SEARCH("_",D212)+2,1)),MID(D212,SEARCH("_",D212)+1,2)))&amp;"."&amp;IF(LEFT(RIGHT(D212,2),1)="0",RIGHT(D212,1),RIGHT(D212,2)),MAX($C$12:$C211)+1))</f>
        <v/>
      </c>
      <c r="D212" s="26"/>
      <c r="E212" s="25"/>
      <c r="F212" s="25"/>
      <c r="G212" s="25"/>
      <c r="H212" s="25"/>
      <c r="I212" s="25"/>
      <c r="J212" s="25"/>
      <c r="K212" s="25"/>
      <c r="L212" s="25"/>
      <c r="M212" s="25"/>
      <c r="N212" s="26"/>
      <c r="O212" s="196"/>
      <c r="P212" s="196"/>
      <c r="Q212" s="79"/>
      <c r="R212" s="199"/>
      <c r="S212" s="84">
        <f t="shared" si="82"/>
        <v>0</v>
      </c>
      <c r="T212" s="84">
        <f t="shared" si="83"/>
        <v>0</v>
      </c>
      <c r="U212" s="133">
        <f t="shared" si="84"/>
        <v>0</v>
      </c>
      <c r="V212" s="69" t="str">
        <f t="shared" si="85"/>
        <v/>
      </c>
      <c r="W212" s="69" t="str">
        <f t="shared" si="86"/>
        <v/>
      </c>
      <c r="X212" s="271"/>
      <c r="Y212" s="214">
        <f t="shared" si="76"/>
        <v>0</v>
      </c>
      <c r="Z212" s="32"/>
    </row>
    <row r="213" spans="1:26" ht="30" hidden="1" customHeight="1">
      <c r="A213" s="70" t="str">
        <f t="shared" si="80"/>
        <v/>
      </c>
      <c r="B213" s="70" t="str">
        <f t="shared" si="81"/>
        <v/>
      </c>
      <c r="C213" s="25" t="str">
        <f>IF(D213="","",IFERROR((IF(LEFT(MID(D213,SEARCH("_",D213)+1,2),1)="0",(MID(D213,SEARCH("_",D213)+2,1)),MID(D213,SEARCH("_",D213)+1,2)))&amp;"."&amp;IF(LEFT(RIGHT(D213,2),1)="0",RIGHT(D213,1),RIGHT(D213,2)),MAX($C$12:$C212)+1))</f>
        <v/>
      </c>
      <c r="D213" s="26"/>
      <c r="E213" s="25"/>
      <c r="F213" s="25"/>
      <c r="G213" s="25"/>
      <c r="H213" s="25"/>
      <c r="I213" s="25"/>
      <c r="J213" s="25"/>
      <c r="K213" s="25"/>
      <c r="L213" s="25"/>
      <c r="M213" s="25"/>
      <c r="N213" s="26"/>
      <c r="O213" s="196"/>
      <c r="P213" s="196"/>
      <c r="Q213" s="79"/>
      <c r="R213" s="199"/>
      <c r="S213" s="84">
        <f t="shared" si="82"/>
        <v>0</v>
      </c>
      <c r="T213" s="84">
        <f t="shared" si="83"/>
        <v>0</v>
      </c>
      <c r="U213" s="133">
        <f t="shared" si="84"/>
        <v>0</v>
      </c>
      <c r="V213" s="69" t="str">
        <f t="shared" si="85"/>
        <v/>
      </c>
      <c r="W213" s="69" t="str">
        <f t="shared" si="86"/>
        <v/>
      </c>
      <c r="X213" s="271"/>
      <c r="Y213" s="214">
        <f t="shared" si="76"/>
        <v>0</v>
      </c>
      <c r="Z213" s="32"/>
    </row>
    <row r="214" spans="1:26" ht="30" hidden="1" customHeight="1">
      <c r="A214" s="70" t="str">
        <f t="shared" si="80"/>
        <v/>
      </c>
      <c r="B214" s="70" t="str">
        <f t="shared" si="81"/>
        <v/>
      </c>
      <c r="C214" s="25" t="str">
        <f>IF(D214="","",IFERROR((IF(LEFT(MID(D214,SEARCH("_",D214)+1,2),1)="0",(MID(D214,SEARCH("_",D214)+2,1)),MID(D214,SEARCH("_",D214)+1,2)))&amp;"."&amp;IF(LEFT(RIGHT(D214,2),1)="0",RIGHT(D214,1),RIGHT(D214,2)),MAX($C$12:$C213)+1))</f>
        <v/>
      </c>
      <c r="D214" s="26"/>
      <c r="E214" s="25"/>
      <c r="F214" s="25"/>
      <c r="G214" s="25"/>
      <c r="H214" s="25"/>
      <c r="I214" s="25"/>
      <c r="J214" s="25"/>
      <c r="K214" s="25"/>
      <c r="L214" s="25"/>
      <c r="M214" s="25"/>
      <c r="N214" s="26"/>
      <c r="O214" s="196"/>
      <c r="P214" s="196"/>
      <c r="Q214" s="79"/>
      <c r="R214" s="199"/>
      <c r="S214" s="84">
        <f t="shared" si="82"/>
        <v>0</v>
      </c>
      <c r="T214" s="84">
        <f t="shared" si="83"/>
        <v>0</v>
      </c>
      <c r="U214" s="133">
        <f t="shared" si="84"/>
        <v>0</v>
      </c>
      <c r="V214" s="69" t="str">
        <f t="shared" si="85"/>
        <v/>
      </c>
      <c r="W214" s="69" t="str">
        <f t="shared" si="86"/>
        <v/>
      </c>
      <c r="X214" s="271"/>
      <c r="Y214" s="214">
        <f t="shared" si="76"/>
        <v>0</v>
      </c>
      <c r="Z214" s="32"/>
    </row>
    <row r="215" spans="1:26" ht="30" hidden="1" customHeight="1">
      <c r="A215" s="70" t="str">
        <f t="shared" si="80"/>
        <v/>
      </c>
      <c r="B215" s="70" t="str">
        <f t="shared" si="81"/>
        <v/>
      </c>
      <c r="C215" s="25" t="str">
        <f>IF(D215="","",IFERROR((IF(LEFT(MID(D215,SEARCH("_",D215)+1,2),1)="0",(MID(D215,SEARCH("_",D215)+2,1)),MID(D215,SEARCH("_",D215)+1,2)))&amp;"."&amp;IF(LEFT(RIGHT(D215,2),1)="0",RIGHT(D215,1),RIGHT(D215,2)),MAX($C$12:$C214)+1))</f>
        <v/>
      </c>
      <c r="D215" s="26"/>
      <c r="E215" s="25"/>
      <c r="F215" s="25"/>
      <c r="G215" s="25"/>
      <c r="H215" s="25"/>
      <c r="I215" s="25"/>
      <c r="J215" s="25"/>
      <c r="K215" s="25"/>
      <c r="L215" s="25"/>
      <c r="M215" s="25"/>
      <c r="N215" s="26"/>
      <c r="O215" s="196"/>
      <c r="P215" s="196"/>
      <c r="Q215" s="79"/>
      <c r="R215" s="199"/>
      <c r="S215" s="84">
        <f t="shared" si="82"/>
        <v>0</v>
      </c>
      <c r="T215" s="84">
        <f t="shared" si="83"/>
        <v>0</v>
      </c>
      <c r="U215" s="133">
        <f t="shared" si="84"/>
        <v>0</v>
      </c>
      <c r="V215" s="69" t="str">
        <f t="shared" si="85"/>
        <v/>
      </c>
      <c r="W215" s="69" t="str">
        <f t="shared" si="86"/>
        <v/>
      </c>
      <c r="X215" s="271"/>
      <c r="Y215" s="214">
        <f t="shared" si="76"/>
        <v>0</v>
      </c>
      <c r="Z215" s="32"/>
    </row>
    <row r="216" spans="1:26" ht="30" hidden="1" customHeight="1">
      <c r="A216" s="70" t="str">
        <f t="shared" ref="A216" si="87">IF(W216="IN",$E$6,"")</f>
        <v/>
      </c>
      <c r="B216" s="70" t="str">
        <f t="shared" ref="B216" si="88">IF(W216="IN","Muc "&amp;$E$7,"")</f>
        <v/>
      </c>
      <c r="C216" s="25" t="str">
        <f>IF(D216="","",IFERROR((IF(LEFT(MID(D216,SEARCH("_",D216)+1,2),1)="0",(MID(D216,SEARCH("_",D216)+2,1)),MID(D216,SEARCH("_",D216)+1,2)))&amp;"."&amp;IF(LEFT(RIGHT(D216,2),1)="0",RIGHT(D216,1),RIGHT(D216,2)),MAX($C$12:$C215)+1))</f>
        <v/>
      </c>
      <c r="D216" s="26"/>
      <c r="E216" s="25"/>
      <c r="F216" s="25"/>
      <c r="G216" s="25"/>
      <c r="H216" s="25"/>
      <c r="I216" s="25"/>
      <c r="J216" s="25"/>
      <c r="K216" s="25"/>
      <c r="L216" s="25"/>
      <c r="M216" s="25"/>
      <c r="N216" s="26"/>
      <c r="O216" s="196"/>
      <c r="P216" s="196"/>
      <c r="Q216" s="79"/>
      <c r="R216" s="199"/>
      <c r="S216" s="84">
        <f t="shared" ref="S216" si="89">IF(ISERR(SEARCH("2d",K216)),IF(ISERR(SEARCH("1d",K216)),0,1),2)*($G216+80)*$H216/10^3+IF(ISERR(SEARCH("2n",K216)),IF(ISERR(SEARCH("1n",K216)),0,1),2)*($F216+80)*$H216/10^3</f>
        <v>0</v>
      </c>
      <c r="T216" s="84">
        <f t="shared" ref="T216" si="90">IF(ISERR(SEARCH("2m",M216)),IF(ISERR(SEARCH("1m",M216)),0,1),2)*$G216*$F216*$H216/10^6+IF(ISERR(SEARCH("2d",M216)),IF(ISERR(SEARCH("1d",M216)),0,1),2)*$G216*$E216*$H216/10^6+IF(ISERR(SEARCH("2n",M216)),IF(ISERR(SEARCH("1n",M216)),0,1),2)*$F216*$E216*$H216/10^6</f>
        <v>0</v>
      </c>
      <c r="U216" s="133">
        <f t="shared" ref="U216" si="91">IF(ISERR(SEARCH("2m",N216)),IF(ISERR(SEARCH("1m",N216)),0,1),2)*$G216*$F216*$H216/10^6+IF(ISERR(SEARCH("2d",N216)),IF(ISERR(SEARCH("1d",N216)),0,1),2)*$G216*$E216*$H216/10^6+IF(ISERR(SEARCH("2n",N216)),IF(ISERR(SEARCH("1n",N216)),0,1),2)*$F216*$E216*$H216/10^6</f>
        <v>0</v>
      </c>
      <c r="V216" s="69" t="str">
        <f t="shared" ref="V216" si="92">IF(W216="IN",$Y$3,"")</f>
        <v/>
      </c>
      <c r="W216" s="69" t="str">
        <f t="shared" ref="W216" si="93">IF(OR(C216&lt;&gt;"",D216&lt;&gt;""),"IN","")</f>
        <v/>
      </c>
      <c r="X216" s="271"/>
      <c r="Y216" s="214">
        <f t="shared" si="76"/>
        <v>0</v>
      </c>
      <c r="Z216" s="32"/>
    </row>
    <row r="217" spans="1:26" ht="30" hidden="1" customHeight="1">
      <c r="A217" s="70" t="str">
        <f t="shared" si="80"/>
        <v/>
      </c>
      <c r="B217" s="70" t="str">
        <f t="shared" si="81"/>
        <v/>
      </c>
      <c r="C217" s="25" t="str">
        <f>IF(D217="","",IFERROR((IF(LEFT(MID(D217,SEARCH("_",D217)+1,2),1)="0",(MID(D217,SEARCH("_",D217)+2,1)),MID(D217,SEARCH("_",D217)+1,2)))&amp;"."&amp;IF(LEFT(RIGHT(D217,2),1)="0",RIGHT(D217,1),RIGHT(D217,2)),MAX($C$12:$C216)+1))</f>
        <v/>
      </c>
      <c r="D217" s="26"/>
      <c r="E217" s="25"/>
      <c r="F217" s="25"/>
      <c r="G217" s="25"/>
      <c r="H217" s="25"/>
      <c r="I217" s="25"/>
      <c r="J217" s="25"/>
      <c r="K217" s="25"/>
      <c r="L217" s="25"/>
      <c r="M217" s="25"/>
      <c r="N217" s="26"/>
      <c r="O217" s="196"/>
      <c r="P217" s="196"/>
      <c r="Q217" s="79"/>
      <c r="R217" s="199"/>
      <c r="S217" s="84">
        <f t="shared" si="82"/>
        <v>0</v>
      </c>
      <c r="T217" s="84">
        <f t="shared" si="83"/>
        <v>0</v>
      </c>
      <c r="U217" s="133">
        <f t="shared" si="84"/>
        <v>0</v>
      </c>
      <c r="V217" s="69" t="str">
        <f t="shared" si="85"/>
        <v/>
      </c>
      <c r="W217" s="69" t="str">
        <f t="shared" si="86"/>
        <v/>
      </c>
      <c r="X217" s="271"/>
      <c r="Y217" s="214">
        <f t="shared" si="76"/>
        <v>0</v>
      </c>
      <c r="Z217" s="32"/>
    </row>
    <row r="218" spans="1:26" ht="30" hidden="1" customHeight="1">
      <c r="A218" s="70" t="str">
        <f t="shared" si="80"/>
        <v/>
      </c>
      <c r="B218" s="70" t="str">
        <f t="shared" si="81"/>
        <v/>
      </c>
      <c r="C218" s="25" t="str">
        <f>IF(D218="","",IFERROR((IF(LEFT(MID(D218,SEARCH("_",D218)+1,2),1)="0",(MID(D218,SEARCH("_",D218)+2,1)),MID(D218,SEARCH("_",D218)+1,2)))&amp;"."&amp;IF(LEFT(RIGHT(D218,2),1)="0",RIGHT(D218,1),RIGHT(D218,2)),MAX($C$12:$C217)+1))</f>
        <v/>
      </c>
      <c r="D218" s="26"/>
      <c r="E218" s="25"/>
      <c r="F218" s="25"/>
      <c r="G218" s="25"/>
      <c r="H218" s="25"/>
      <c r="I218" s="25"/>
      <c r="J218" s="25"/>
      <c r="K218" s="25"/>
      <c r="L218" s="25"/>
      <c r="M218" s="25"/>
      <c r="N218" s="26" t="str">
        <f t="shared" ref="N218:N233" si="94">IF(M218="","",IF(LEFT(M218,1)="2",0,IF(LEFT(M218,1)="1",1,IF(LEFT(M218,1)="0",2,"")))&amp;"m"&amp;IF(MID(M218,3,1)="2",0,IF(MID(M218,3,1)="1",1,IF(MID(M218,3,1)="0",2,"")))&amp;"d"&amp;IF(MID(M218,5,1)="2",0,IF(MID(M218,5,1)="1",1,IF(MID(M218,5,1)="0",2,"")))&amp;"n")</f>
        <v/>
      </c>
      <c r="O218" s="196"/>
      <c r="P218" s="196"/>
      <c r="Q218" s="79"/>
      <c r="R218" s="199"/>
      <c r="S218" s="84">
        <f t="shared" si="82"/>
        <v>0</v>
      </c>
      <c r="T218" s="84">
        <f t="shared" si="83"/>
        <v>0</v>
      </c>
      <c r="U218" s="133">
        <f t="shared" si="84"/>
        <v>0</v>
      </c>
      <c r="V218" s="69" t="str">
        <f t="shared" si="85"/>
        <v/>
      </c>
      <c r="W218" s="69" t="str">
        <f t="shared" si="86"/>
        <v/>
      </c>
      <c r="X218" s="271"/>
      <c r="Y218" s="214">
        <f t="shared" si="76"/>
        <v>0</v>
      </c>
      <c r="Z218" s="32"/>
    </row>
    <row r="219" spans="1:26" ht="30" hidden="1" customHeight="1">
      <c r="A219" s="70" t="str">
        <f t="shared" si="2"/>
        <v/>
      </c>
      <c r="B219" s="70" t="str">
        <f t="shared" si="3"/>
        <v/>
      </c>
      <c r="C219" s="25" t="str">
        <f>IF(D219="","",IFERROR((IF(LEFT(MID(D219,SEARCH("_",D219)+1,2),1)="0",(MID(D219,SEARCH("_",D219)+2,1)),MID(D219,SEARCH("_",D219)+1,2)))&amp;"."&amp;IF(LEFT(RIGHT(D219,2),1)="0",RIGHT(D219,1),RIGHT(D219,2)),MAX($C$12:$C218)+1))</f>
        <v/>
      </c>
      <c r="D219" s="26"/>
      <c r="E219" s="25"/>
      <c r="F219" s="25"/>
      <c r="G219" s="25"/>
      <c r="H219" s="25"/>
      <c r="I219" s="25"/>
      <c r="J219" s="25"/>
      <c r="K219" s="25"/>
      <c r="L219" s="25"/>
      <c r="M219" s="25"/>
      <c r="N219" s="26" t="str">
        <f t="shared" si="94"/>
        <v/>
      </c>
      <c r="O219" s="196"/>
      <c r="P219" s="196"/>
      <c r="Q219" s="79"/>
      <c r="R219" s="199"/>
      <c r="S219" s="84">
        <f t="shared" si="82"/>
        <v>0</v>
      </c>
      <c r="T219" s="84">
        <f t="shared" si="83"/>
        <v>0</v>
      </c>
      <c r="U219" s="133">
        <f t="shared" si="84"/>
        <v>0</v>
      </c>
      <c r="V219" s="69" t="str">
        <f t="shared" si="4"/>
        <v/>
      </c>
      <c r="W219" s="69" t="str">
        <f t="shared" si="5"/>
        <v/>
      </c>
      <c r="X219" s="271"/>
      <c r="Y219" s="214">
        <f t="shared" si="76"/>
        <v>0</v>
      </c>
      <c r="Z219" s="32"/>
    </row>
    <row r="220" spans="1:26" ht="30" hidden="1" customHeight="1">
      <c r="A220" s="70" t="str">
        <f t="shared" si="2"/>
        <v/>
      </c>
      <c r="B220" s="70" t="str">
        <f t="shared" si="3"/>
        <v/>
      </c>
      <c r="C220" s="25" t="str">
        <f>IF(D220="","",IFERROR((IF(LEFT(MID(D220,SEARCH("_",D220)+1,2),1)="0",(MID(D220,SEARCH("_",D220)+2,1)),MID(D220,SEARCH("_",D220)+1,2)))&amp;"."&amp;IF(LEFT(RIGHT(D220,2),1)="0",RIGHT(D220,1),RIGHT(D220,2)),MAX($C$12:$C219)+1))</f>
        <v/>
      </c>
      <c r="D220" s="26"/>
      <c r="E220" s="25"/>
      <c r="F220" s="25"/>
      <c r="G220" s="25"/>
      <c r="H220" s="25"/>
      <c r="I220" s="25"/>
      <c r="J220" s="25"/>
      <c r="K220" s="25"/>
      <c r="L220" s="25"/>
      <c r="M220" s="25"/>
      <c r="N220" s="26" t="str">
        <f t="shared" si="94"/>
        <v/>
      </c>
      <c r="O220" s="196"/>
      <c r="P220" s="196"/>
      <c r="Q220" s="79"/>
      <c r="R220" s="199"/>
      <c r="S220" s="84">
        <f t="shared" si="82"/>
        <v>0</v>
      </c>
      <c r="T220" s="84">
        <f t="shared" si="83"/>
        <v>0</v>
      </c>
      <c r="U220" s="133">
        <f t="shared" si="84"/>
        <v>0</v>
      </c>
      <c r="V220" s="69" t="str">
        <f t="shared" si="4"/>
        <v/>
      </c>
      <c r="W220" s="69" t="str">
        <f t="shared" si="5"/>
        <v/>
      </c>
      <c r="X220" s="271"/>
      <c r="Y220" s="214">
        <f t="shared" si="76"/>
        <v>0</v>
      </c>
      <c r="Z220" s="32"/>
    </row>
    <row r="221" spans="1:26" ht="30" hidden="1" customHeight="1">
      <c r="A221" s="70" t="str">
        <f t="shared" si="2"/>
        <v/>
      </c>
      <c r="B221" s="70" t="str">
        <f t="shared" si="3"/>
        <v/>
      </c>
      <c r="C221" s="25" t="str">
        <f>IF(D221="","",IFERROR((IF(LEFT(MID(D221,SEARCH("_",D221)+1,2),1)="0",(MID(D221,SEARCH("_",D221)+2,1)),MID(D221,SEARCH("_",D221)+1,2)))&amp;"."&amp;IF(LEFT(RIGHT(D221,2),1)="0",RIGHT(D221,1),RIGHT(D221,2)),MAX($C$12:$C220)+1))</f>
        <v/>
      </c>
      <c r="D221" s="26"/>
      <c r="E221" s="25"/>
      <c r="F221" s="25"/>
      <c r="G221" s="25"/>
      <c r="H221" s="25"/>
      <c r="I221" s="25"/>
      <c r="J221" s="25"/>
      <c r="K221" s="25"/>
      <c r="L221" s="25"/>
      <c r="M221" s="25"/>
      <c r="N221" s="26" t="str">
        <f t="shared" si="94"/>
        <v/>
      </c>
      <c r="O221" s="196"/>
      <c r="P221" s="196"/>
      <c r="Q221" s="79"/>
      <c r="R221" s="199"/>
      <c r="S221" s="84">
        <f t="shared" si="82"/>
        <v>0</v>
      </c>
      <c r="T221" s="84">
        <f t="shared" si="83"/>
        <v>0</v>
      </c>
      <c r="U221" s="133">
        <f t="shared" si="84"/>
        <v>0</v>
      </c>
      <c r="V221" s="69" t="str">
        <f t="shared" si="4"/>
        <v/>
      </c>
      <c r="W221" s="69" t="str">
        <f t="shared" si="5"/>
        <v/>
      </c>
      <c r="X221" s="271"/>
      <c r="Y221" s="214">
        <f t="shared" si="76"/>
        <v>0</v>
      </c>
      <c r="Z221" s="32"/>
    </row>
    <row r="222" spans="1:26" ht="30" hidden="1" customHeight="1">
      <c r="A222" s="70" t="str">
        <f t="shared" si="2"/>
        <v/>
      </c>
      <c r="B222" s="70" t="str">
        <f t="shared" si="3"/>
        <v/>
      </c>
      <c r="C222" s="25" t="str">
        <f>IF(D222="","",IFERROR((IF(LEFT(MID(D222,SEARCH("_",D222)+1,2),1)="0",(MID(D222,SEARCH("_",D222)+2,1)),MID(D222,SEARCH("_",D222)+1,2)))&amp;"."&amp;IF(LEFT(RIGHT(D222,2),1)="0",RIGHT(D222,1),RIGHT(D222,2)),MAX($C$12:$C221)+1))</f>
        <v/>
      </c>
      <c r="D222" s="26"/>
      <c r="E222" s="25"/>
      <c r="F222" s="25"/>
      <c r="G222" s="25"/>
      <c r="H222" s="25"/>
      <c r="I222" s="25"/>
      <c r="J222" s="25"/>
      <c r="K222" s="25"/>
      <c r="L222" s="25"/>
      <c r="M222" s="25"/>
      <c r="N222" s="26" t="str">
        <f t="shared" si="94"/>
        <v/>
      </c>
      <c r="O222" s="196"/>
      <c r="P222" s="196"/>
      <c r="Q222" s="79"/>
      <c r="R222" s="199"/>
      <c r="S222" s="84">
        <f t="shared" si="82"/>
        <v>0</v>
      </c>
      <c r="T222" s="84">
        <f t="shared" si="83"/>
        <v>0</v>
      </c>
      <c r="U222" s="133">
        <f t="shared" si="84"/>
        <v>0</v>
      </c>
      <c r="V222" s="69" t="str">
        <f t="shared" si="4"/>
        <v/>
      </c>
      <c r="W222" s="69" t="str">
        <f t="shared" si="5"/>
        <v/>
      </c>
      <c r="X222" s="271"/>
      <c r="Y222" s="214">
        <f t="shared" si="76"/>
        <v>0</v>
      </c>
      <c r="Z222" s="32"/>
    </row>
    <row r="223" spans="1:26" ht="30" hidden="1" customHeight="1">
      <c r="A223" s="70" t="str">
        <f t="shared" ref="A223:A225" si="95">IF(W223="IN",$E$6,"")</f>
        <v/>
      </c>
      <c r="B223" s="70" t="str">
        <f t="shared" ref="B223:B225" si="96">IF(W223="IN","Muc "&amp;$E$7,"")</f>
        <v/>
      </c>
      <c r="C223" s="25" t="str">
        <f>IF(D223="","",IFERROR((IF(LEFT(MID(D223,SEARCH("_",D223)+1,2),1)="0",(MID(D223,SEARCH("_",D223)+2,1)),MID(D223,SEARCH("_",D223)+1,2)))&amp;"."&amp;IF(LEFT(RIGHT(D223,2),1)="0",RIGHT(D223,1),RIGHT(D223,2)),MAX($C$12:$C222)+1))</f>
        <v/>
      </c>
      <c r="D223" s="26"/>
      <c r="E223" s="25"/>
      <c r="F223" s="25"/>
      <c r="G223" s="25"/>
      <c r="H223" s="25"/>
      <c r="I223" s="25"/>
      <c r="J223" s="25"/>
      <c r="K223" s="25"/>
      <c r="L223" s="25"/>
      <c r="M223" s="25"/>
      <c r="N223" s="26" t="str">
        <f t="shared" si="94"/>
        <v/>
      </c>
      <c r="O223" s="196"/>
      <c r="P223" s="196"/>
      <c r="Q223" s="79"/>
      <c r="R223" s="199"/>
      <c r="S223" s="84">
        <f t="shared" si="82"/>
        <v>0</v>
      </c>
      <c r="T223" s="84">
        <f t="shared" si="83"/>
        <v>0</v>
      </c>
      <c r="U223" s="133">
        <f t="shared" si="84"/>
        <v>0</v>
      </c>
      <c r="V223" s="69" t="str">
        <f t="shared" ref="V223:V225" si="97">IF(W223="IN",$Y$3,"")</f>
        <v/>
      </c>
      <c r="W223" s="69" t="str">
        <f t="shared" ref="W223:W225" si="98">IF(OR(C223&lt;&gt;"",D223&lt;&gt;""),"IN","")</f>
        <v/>
      </c>
      <c r="X223" s="271"/>
      <c r="Y223" s="214">
        <f t="shared" si="76"/>
        <v>0</v>
      </c>
      <c r="Z223" s="32"/>
    </row>
    <row r="224" spans="1:26" ht="30" hidden="1" customHeight="1">
      <c r="A224" s="70" t="str">
        <f t="shared" si="95"/>
        <v/>
      </c>
      <c r="B224" s="70" t="str">
        <f t="shared" si="96"/>
        <v/>
      </c>
      <c r="C224" s="25" t="str">
        <f>IF(D224="","",IFERROR((IF(LEFT(MID(D224,SEARCH("_",D224)+1,2),1)="0",(MID(D224,SEARCH("_",D224)+2,1)),MID(D224,SEARCH("_",D224)+1,2)))&amp;"."&amp;IF(LEFT(RIGHT(D224,2),1)="0",RIGHT(D224,1),RIGHT(D224,2)),MAX($C$12:$C223)+1))</f>
        <v/>
      </c>
      <c r="D224" s="26"/>
      <c r="E224" s="25"/>
      <c r="F224" s="25"/>
      <c r="G224" s="25"/>
      <c r="H224" s="25"/>
      <c r="I224" s="25"/>
      <c r="J224" s="25"/>
      <c r="K224" s="25"/>
      <c r="L224" s="25"/>
      <c r="M224" s="25"/>
      <c r="N224" s="26" t="str">
        <f t="shared" si="94"/>
        <v/>
      </c>
      <c r="O224" s="196"/>
      <c r="P224" s="196"/>
      <c r="Q224" s="79"/>
      <c r="R224" s="199"/>
      <c r="S224" s="84">
        <f t="shared" si="82"/>
        <v>0</v>
      </c>
      <c r="T224" s="84">
        <f t="shared" si="83"/>
        <v>0</v>
      </c>
      <c r="U224" s="133">
        <f t="shared" si="84"/>
        <v>0</v>
      </c>
      <c r="V224" s="69" t="str">
        <f t="shared" si="97"/>
        <v/>
      </c>
      <c r="W224" s="69" t="str">
        <f t="shared" si="98"/>
        <v/>
      </c>
      <c r="X224" s="271"/>
      <c r="Y224" s="214">
        <f t="shared" si="76"/>
        <v>0</v>
      </c>
      <c r="Z224" s="32"/>
    </row>
    <row r="225" spans="1:26" ht="30" hidden="1" customHeight="1">
      <c r="A225" s="70" t="str">
        <f t="shared" si="95"/>
        <v/>
      </c>
      <c r="B225" s="70" t="str">
        <f t="shared" si="96"/>
        <v/>
      </c>
      <c r="C225" s="25" t="str">
        <f>IF(D225="","",IFERROR((IF(LEFT(MID(D225,SEARCH("_",D225)+1,2),1)="0",(MID(D225,SEARCH("_",D225)+2,1)),MID(D225,SEARCH("_",D225)+1,2)))&amp;"."&amp;IF(LEFT(RIGHT(D225,2),1)="0",RIGHT(D225,1),RIGHT(D225,2)),MAX($C$12:$C224)+1))</f>
        <v/>
      </c>
      <c r="D225" s="26"/>
      <c r="E225" s="25"/>
      <c r="F225" s="25"/>
      <c r="G225" s="25"/>
      <c r="H225" s="25"/>
      <c r="I225" s="25"/>
      <c r="J225" s="25"/>
      <c r="K225" s="25"/>
      <c r="L225" s="25"/>
      <c r="M225" s="25"/>
      <c r="N225" s="26" t="str">
        <f t="shared" si="94"/>
        <v/>
      </c>
      <c r="O225" s="196"/>
      <c r="P225" s="196"/>
      <c r="Q225" s="79"/>
      <c r="R225" s="199"/>
      <c r="S225" s="84">
        <f t="shared" si="82"/>
        <v>0</v>
      </c>
      <c r="T225" s="84">
        <f t="shared" si="83"/>
        <v>0</v>
      </c>
      <c r="U225" s="133">
        <f t="shared" si="84"/>
        <v>0</v>
      </c>
      <c r="V225" s="69" t="str">
        <f t="shared" si="97"/>
        <v/>
      </c>
      <c r="W225" s="69" t="str">
        <f t="shared" si="98"/>
        <v/>
      </c>
      <c r="X225" s="271"/>
      <c r="Y225" s="214">
        <f t="shared" si="76"/>
        <v>0</v>
      </c>
      <c r="Z225" s="32"/>
    </row>
    <row r="226" spans="1:26" ht="30" hidden="1" customHeight="1">
      <c r="A226" s="70" t="str">
        <f t="shared" ref="A226:A229" si="99">IF(W226="IN",$E$6,"")</f>
        <v/>
      </c>
      <c r="B226" s="70" t="str">
        <f t="shared" ref="B226:B229" si="100">IF(W226="IN","Muc "&amp;$E$7,"")</f>
        <v/>
      </c>
      <c r="C226" s="25" t="str">
        <f>IF(D226="","",IFERROR((IF(LEFT(MID(D226,SEARCH("_",D226)+1,2),1)="0",(MID(D226,SEARCH("_",D226)+2,1)),MID(D226,SEARCH("_",D226)+1,2)))&amp;"."&amp;IF(LEFT(RIGHT(D226,2),1)="0",RIGHT(D226,1),RIGHT(D226,2)),MAX($C$12:$C225)+1))</f>
        <v/>
      </c>
      <c r="D226" s="26"/>
      <c r="E226" s="25"/>
      <c r="F226" s="25"/>
      <c r="G226" s="25"/>
      <c r="H226" s="25"/>
      <c r="I226" s="25"/>
      <c r="J226" s="25"/>
      <c r="K226" s="25"/>
      <c r="L226" s="25"/>
      <c r="M226" s="25"/>
      <c r="N226" s="26" t="str">
        <f t="shared" si="94"/>
        <v/>
      </c>
      <c r="O226" s="196"/>
      <c r="P226" s="196"/>
      <c r="Q226" s="79"/>
      <c r="R226" s="199"/>
      <c r="S226" s="84">
        <f t="shared" si="82"/>
        <v>0</v>
      </c>
      <c r="T226" s="84">
        <f t="shared" si="83"/>
        <v>0</v>
      </c>
      <c r="U226" s="133">
        <f t="shared" si="84"/>
        <v>0</v>
      </c>
      <c r="V226" s="69" t="str">
        <f t="shared" ref="V226:V229" si="101">IF(W226="IN",$Y$3,"")</f>
        <v/>
      </c>
      <c r="W226" s="69" t="str">
        <f t="shared" ref="W226:W229" si="102">IF(OR(C226&lt;&gt;"",D226&lt;&gt;""),"IN","")</f>
        <v/>
      </c>
      <c r="X226" s="271"/>
      <c r="Y226" s="214">
        <f t="shared" si="76"/>
        <v>0</v>
      </c>
      <c r="Z226" s="32"/>
    </row>
    <row r="227" spans="1:26" ht="30" hidden="1" customHeight="1">
      <c r="A227" s="70" t="str">
        <f t="shared" si="99"/>
        <v/>
      </c>
      <c r="B227" s="70" t="str">
        <f t="shared" si="100"/>
        <v/>
      </c>
      <c r="C227" s="25" t="str">
        <f>IF(D227="","",IFERROR((IF(LEFT(MID(D227,SEARCH("_",D227)+1,2),1)="0",(MID(D227,SEARCH("_",D227)+2,1)),MID(D227,SEARCH("_",D227)+1,2)))&amp;"."&amp;IF(LEFT(RIGHT(D227,2),1)="0",RIGHT(D227,1),RIGHT(D227,2)),MAX($C$12:$C226)+1))</f>
        <v/>
      </c>
      <c r="D227" s="26"/>
      <c r="E227" s="25"/>
      <c r="F227" s="25"/>
      <c r="G227" s="25"/>
      <c r="H227" s="25"/>
      <c r="I227" s="25"/>
      <c r="J227" s="25"/>
      <c r="K227" s="25"/>
      <c r="L227" s="25"/>
      <c r="M227" s="25"/>
      <c r="N227" s="26" t="str">
        <f t="shared" si="94"/>
        <v/>
      </c>
      <c r="O227" s="196"/>
      <c r="P227" s="196"/>
      <c r="Q227" s="79"/>
      <c r="R227" s="199"/>
      <c r="S227" s="84">
        <f t="shared" si="82"/>
        <v>0</v>
      </c>
      <c r="T227" s="84">
        <f t="shared" si="83"/>
        <v>0</v>
      </c>
      <c r="U227" s="133">
        <f t="shared" si="84"/>
        <v>0</v>
      </c>
      <c r="V227" s="69" t="str">
        <f t="shared" si="101"/>
        <v/>
      </c>
      <c r="W227" s="69" t="str">
        <f t="shared" si="102"/>
        <v/>
      </c>
      <c r="X227" s="271"/>
      <c r="Y227" s="214">
        <f t="shared" si="76"/>
        <v>0</v>
      </c>
      <c r="Z227" s="32"/>
    </row>
    <row r="228" spans="1:26" ht="30" hidden="1" customHeight="1">
      <c r="A228" s="70" t="str">
        <f t="shared" si="99"/>
        <v/>
      </c>
      <c r="B228" s="70" t="str">
        <f t="shared" si="100"/>
        <v/>
      </c>
      <c r="C228" s="25" t="str">
        <f>IF(D228="","",IFERROR((IF(LEFT(MID(D228,SEARCH("_",D228)+1,2),1)="0",(MID(D228,SEARCH("_",D228)+2,1)),MID(D228,SEARCH("_",D228)+1,2)))&amp;"."&amp;IF(LEFT(RIGHT(D228,2),1)="0",RIGHT(D228,1),RIGHT(D228,2)),MAX($C$12:$C227)+1))</f>
        <v/>
      </c>
      <c r="D228" s="26"/>
      <c r="E228" s="25"/>
      <c r="F228" s="25"/>
      <c r="G228" s="25"/>
      <c r="H228" s="25"/>
      <c r="I228" s="25"/>
      <c r="J228" s="25"/>
      <c r="K228" s="25"/>
      <c r="L228" s="25"/>
      <c r="M228" s="25"/>
      <c r="N228" s="26" t="str">
        <f t="shared" si="94"/>
        <v/>
      </c>
      <c r="O228" s="196"/>
      <c r="P228" s="196"/>
      <c r="Q228" s="79"/>
      <c r="R228" s="199"/>
      <c r="S228" s="84">
        <f t="shared" si="82"/>
        <v>0</v>
      </c>
      <c r="T228" s="84">
        <f t="shared" si="83"/>
        <v>0</v>
      </c>
      <c r="U228" s="133">
        <f t="shared" si="84"/>
        <v>0</v>
      </c>
      <c r="V228" s="69" t="str">
        <f t="shared" si="101"/>
        <v/>
      </c>
      <c r="W228" s="69" t="str">
        <f t="shared" si="102"/>
        <v/>
      </c>
      <c r="X228" s="271"/>
      <c r="Y228" s="214">
        <f t="shared" si="76"/>
        <v>0</v>
      </c>
      <c r="Z228" s="32"/>
    </row>
    <row r="229" spans="1:26" ht="30" hidden="1" customHeight="1">
      <c r="A229" s="70" t="str">
        <f t="shared" si="99"/>
        <v/>
      </c>
      <c r="B229" s="70" t="str">
        <f t="shared" si="100"/>
        <v/>
      </c>
      <c r="C229" s="25" t="str">
        <f>IF(D229="","",IFERROR((IF(LEFT(MID(D229,SEARCH("_",D229)+1,2),1)="0",(MID(D229,SEARCH("_",D229)+2,1)),MID(D229,SEARCH("_",D229)+1,2)))&amp;"."&amp;IF(LEFT(RIGHT(D229,2),1)="0",RIGHT(D229,1),RIGHT(D229,2)),MAX($C$12:$C228)+1))</f>
        <v/>
      </c>
      <c r="D229" s="26"/>
      <c r="E229" s="25"/>
      <c r="F229" s="25"/>
      <c r="G229" s="25"/>
      <c r="H229" s="25"/>
      <c r="I229" s="25"/>
      <c r="J229" s="25"/>
      <c r="K229" s="25"/>
      <c r="L229" s="25"/>
      <c r="M229" s="25"/>
      <c r="N229" s="26" t="str">
        <f t="shared" si="94"/>
        <v/>
      </c>
      <c r="O229" s="196"/>
      <c r="P229" s="196"/>
      <c r="Q229" s="79"/>
      <c r="R229" s="199"/>
      <c r="S229" s="84">
        <f t="shared" si="82"/>
        <v>0</v>
      </c>
      <c r="T229" s="84">
        <f t="shared" si="83"/>
        <v>0</v>
      </c>
      <c r="U229" s="133">
        <f t="shared" si="84"/>
        <v>0</v>
      </c>
      <c r="V229" s="69" t="str">
        <f t="shared" si="101"/>
        <v/>
      </c>
      <c r="W229" s="69" t="str">
        <f t="shared" si="102"/>
        <v/>
      </c>
      <c r="X229" s="271"/>
      <c r="Y229" s="214">
        <f t="shared" si="76"/>
        <v>0</v>
      </c>
      <c r="Z229" s="32"/>
    </row>
    <row r="230" spans="1:26" ht="30" hidden="1" customHeight="1">
      <c r="A230" s="70" t="str">
        <f t="shared" si="2"/>
        <v/>
      </c>
      <c r="B230" s="70" t="str">
        <f t="shared" si="3"/>
        <v/>
      </c>
      <c r="C230" s="25" t="str">
        <f>IF(D230="","",IFERROR((IF(LEFT(MID(D230,SEARCH("_",D230)+1,2),1)="0",(MID(D230,SEARCH("_",D230)+2,1)),MID(D230,SEARCH("_",D230)+1,2)))&amp;"."&amp;IF(LEFT(RIGHT(D230,2),1)="0",RIGHT(D230,1),RIGHT(D230,2)),MAX($C$12:$C229)+1))</f>
        <v/>
      </c>
      <c r="D230" s="26"/>
      <c r="E230" s="25"/>
      <c r="F230" s="25"/>
      <c r="G230" s="25"/>
      <c r="H230" s="25"/>
      <c r="I230" s="25"/>
      <c r="J230" s="25"/>
      <c r="K230" s="25"/>
      <c r="L230" s="25"/>
      <c r="M230" s="25"/>
      <c r="N230" s="26" t="str">
        <f t="shared" si="94"/>
        <v/>
      </c>
      <c r="O230" s="196"/>
      <c r="P230" s="196"/>
      <c r="Q230" s="79"/>
      <c r="R230" s="199"/>
      <c r="S230" s="84">
        <f t="shared" si="82"/>
        <v>0</v>
      </c>
      <c r="T230" s="84">
        <f t="shared" si="83"/>
        <v>0</v>
      </c>
      <c r="U230" s="133">
        <f t="shared" si="84"/>
        <v>0</v>
      </c>
      <c r="V230" s="69" t="str">
        <f t="shared" si="4"/>
        <v/>
      </c>
      <c r="W230" s="69" t="str">
        <f t="shared" si="5"/>
        <v/>
      </c>
      <c r="X230" s="271"/>
      <c r="Y230" s="214">
        <f t="shared" si="76"/>
        <v>0</v>
      </c>
      <c r="Z230" s="32"/>
    </row>
    <row r="231" spans="1:26" ht="30" hidden="1" customHeight="1">
      <c r="A231" s="70" t="str">
        <f t="shared" si="2"/>
        <v/>
      </c>
      <c r="B231" s="70" t="str">
        <f t="shared" si="3"/>
        <v/>
      </c>
      <c r="C231" s="25" t="str">
        <f>IF(D231="","",IFERROR((IF(LEFT(MID(D231,SEARCH("_",D231)+1,2),1)="0",(MID(D231,SEARCH("_",D231)+2,1)),MID(D231,SEARCH("_",D231)+1,2)))&amp;"."&amp;IF(LEFT(RIGHT(D231,2),1)="0",RIGHT(D231,1),RIGHT(D231,2)),MAX($C$12:$C230)+1))</f>
        <v/>
      </c>
      <c r="D231" s="26"/>
      <c r="E231" s="25"/>
      <c r="F231" s="25"/>
      <c r="G231" s="25"/>
      <c r="H231" s="25"/>
      <c r="I231" s="25"/>
      <c r="J231" s="25"/>
      <c r="K231" s="25"/>
      <c r="L231" s="25"/>
      <c r="M231" s="25"/>
      <c r="N231" s="26" t="str">
        <f t="shared" si="94"/>
        <v/>
      </c>
      <c r="O231" s="196"/>
      <c r="P231" s="196"/>
      <c r="Q231" s="79"/>
      <c r="R231" s="199"/>
      <c r="S231" s="84">
        <f t="shared" si="82"/>
        <v>0</v>
      </c>
      <c r="T231" s="84">
        <f t="shared" si="83"/>
        <v>0</v>
      </c>
      <c r="U231" s="133">
        <f t="shared" si="84"/>
        <v>0</v>
      </c>
      <c r="V231" s="69" t="str">
        <f t="shared" si="4"/>
        <v/>
      </c>
      <c r="W231" s="69" t="str">
        <f t="shared" si="5"/>
        <v/>
      </c>
      <c r="X231" s="271"/>
      <c r="Y231" s="214">
        <f t="shared" si="76"/>
        <v>0</v>
      </c>
      <c r="Z231" s="32"/>
    </row>
    <row r="232" spans="1:26" ht="30" hidden="1" customHeight="1">
      <c r="A232" s="70" t="str">
        <f t="shared" si="2"/>
        <v/>
      </c>
      <c r="B232" s="70" t="str">
        <f t="shared" si="3"/>
        <v/>
      </c>
      <c r="C232" s="25" t="str">
        <f>IF(D232="","",IFERROR((IF(LEFT(MID(D232,SEARCH("_",D232)+1,2),1)="0",(MID(D232,SEARCH("_",D232)+2,1)),MID(D232,SEARCH("_",D232)+1,2)))&amp;"."&amp;IF(LEFT(RIGHT(D232,2),1)="0",RIGHT(D232,1),RIGHT(D232,2)),MAX($C$12:$C231)+1))</f>
        <v/>
      </c>
      <c r="D232" s="26"/>
      <c r="E232" s="25"/>
      <c r="F232" s="25"/>
      <c r="G232" s="25"/>
      <c r="H232" s="25"/>
      <c r="I232" s="25"/>
      <c r="J232" s="25"/>
      <c r="K232" s="25"/>
      <c r="L232" s="25"/>
      <c r="M232" s="25"/>
      <c r="N232" s="26" t="str">
        <f t="shared" si="94"/>
        <v/>
      </c>
      <c r="O232" s="196"/>
      <c r="P232" s="196"/>
      <c r="Q232" s="79"/>
      <c r="R232" s="199"/>
      <c r="S232" s="84">
        <f t="shared" si="82"/>
        <v>0</v>
      </c>
      <c r="T232" s="84">
        <f t="shared" si="83"/>
        <v>0</v>
      </c>
      <c r="U232" s="133">
        <f t="shared" si="84"/>
        <v>0</v>
      </c>
      <c r="V232" s="69" t="str">
        <f t="shared" si="4"/>
        <v/>
      </c>
      <c r="W232" s="69" t="str">
        <f t="shared" si="5"/>
        <v/>
      </c>
      <c r="X232" s="271"/>
      <c r="Y232" s="214">
        <f t="shared" si="76"/>
        <v>0</v>
      </c>
      <c r="Z232" s="32"/>
    </row>
    <row r="233" spans="1:26" ht="30" hidden="1" customHeight="1">
      <c r="A233" s="70" t="str">
        <f t="shared" si="2"/>
        <v/>
      </c>
      <c r="B233" s="70" t="str">
        <f t="shared" si="3"/>
        <v/>
      </c>
      <c r="C233" s="25" t="str">
        <f>IF(D233="","",IFERROR((IF(LEFT(MID(D233,SEARCH("_",D233)+1,2),1)="0",(MID(D233,SEARCH("_",D233)+2,1)),MID(D233,SEARCH("_",D233)+1,2)))&amp;"."&amp;IF(LEFT(RIGHT(D233,2),1)="0",RIGHT(D233,1),RIGHT(D233,2)),MAX($C$12:$C232)+1))</f>
        <v/>
      </c>
      <c r="D233" s="26"/>
      <c r="E233" s="25"/>
      <c r="F233" s="25"/>
      <c r="G233" s="25"/>
      <c r="H233" s="25"/>
      <c r="I233" s="25"/>
      <c r="J233" s="25"/>
      <c r="K233" s="25"/>
      <c r="L233" s="25"/>
      <c r="M233" s="25"/>
      <c r="N233" s="26" t="str">
        <f t="shared" si="94"/>
        <v/>
      </c>
      <c r="O233" s="196"/>
      <c r="P233" s="196"/>
      <c r="Q233" s="79"/>
      <c r="R233" s="199"/>
      <c r="S233" s="84">
        <f t="shared" si="82"/>
        <v>0</v>
      </c>
      <c r="T233" s="84">
        <f t="shared" si="83"/>
        <v>0</v>
      </c>
      <c r="U233" s="133">
        <f t="shared" si="84"/>
        <v>0</v>
      </c>
      <c r="V233" s="69" t="str">
        <f t="shared" si="4"/>
        <v/>
      </c>
      <c r="W233" s="69" t="str">
        <f t="shared" si="5"/>
        <v/>
      </c>
      <c r="X233" s="271"/>
      <c r="Y233" s="214">
        <f t="shared" si="76"/>
        <v>0</v>
      </c>
      <c r="Z233" s="32"/>
    </row>
    <row r="234" spans="1:26" ht="27" customHeight="1" thickBot="1">
      <c r="A234" s="70" t="str">
        <f t="shared" si="2"/>
        <v>L01</v>
      </c>
      <c r="B234" s="70" t="str">
        <f t="shared" si="3"/>
        <v>Muc 1.1</v>
      </c>
      <c r="C234" s="134"/>
      <c r="D234" s="139" t="s">
        <v>38</v>
      </c>
      <c r="E234" s="140"/>
      <c r="F234" s="140"/>
      <c r="G234" s="140"/>
      <c r="H234" s="140"/>
      <c r="I234" s="141"/>
      <c r="J234" s="142"/>
      <c r="K234" s="142"/>
      <c r="L234" s="142"/>
      <c r="M234" s="135"/>
      <c r="N234" s="135"/>
      <c r="O234" s="143"/>
      <c r="P234" s="135"/>
      <c r="Q234" s="135"/>
      <c r="R234" s="135"/>
      <c r="S234" s="136">
        <f>SUM(S12:S233)</f>
        <v>95.24499999999999</v>
      </c>
      <c r="T234" s="136">
        <f>SUM(T12:T233)</f>
        <v>0</v>
      </c>
      <c r="U234" s="137">
        <f>SUM(U12:U233)</f>
        <v>2.6376019999999998</v>
      </c>
      <c r="V234" s="69">
        <f t="shared" si="4"/>
        <v>1</v>
      </c>
      <c r="W234" s="69" t="str">
        <f t="shared" si="5"/>
        <v>IN</v>
      </c>
      <c r="X234" s="271"/>
      <c r="Y234" s="214">
        <f t="shared" si="76"/>
        <v>0</v>
      </c>
      <c r="Z234" s="32"/>
    </row>
    <row r="235" spans="1:26" ht="27" customHeight="1">
      <c r="D235" s="82" t="s">
        <v>45</v>
      </c>
      <c r="E235" s="34"/>
      <c r="F235" s="34"/>
      <c r="G235" s="34"/>
      <c r="H235" s="34"/>
      <c r="I235" s="34"/>
      <c r="J235" s="34"/>
      <c r="K235" s="8"/>
      <c r="L235" s="8"/>
      <c r="M235" s="7"/>
      <c r="N235" s="7"/>
      <c r="O235" s="8"/>
      <c r="P235" s="8"/>
      <c r="Q235" s="34"/>
      <c r="R235" s="34"/>
      <c r="S235" s="7"/>
      <c r="U235" s="7"/>
      <c r="V235" s="8"/>
      <c r="W235" s="69" t="s">
        <v>75</v>
      </c>
      <c r="X235" s="32"/>
      <c r="Y235" s="214">
        <f t="shared" si="76"/>
        <v>0</v>
      </c>
      <c r="Z235" s="32"/>
    </row>
    <row r="236" spans="1:26" ht="25.35" customHeight="1">
      <c r="C236" s="3"/>
      <c r="D236" s="35"/>
      <c r="E236" s="9"/>
      <c r="F236" s="36"/>
      <c r="G236" s="37"/>
      <c r="H236" s="36"/>
      <c r="I236" s="36"/>
      <c r="J236" s="38"/>
      <c r="L236" s="39"/>
      <c r="M236" s="8"/>
      <c r="N236" s="8"/>
      <c r="O236" s="11"/>
      <c r="P236" s="71" t="str">
        <f ca="1">"Ngày "&amp;DAY(NOW())&amp;" tháng "&amp;MONTH(NOW())&amp;" năm "&amp;YEAR(NOW())</f>
        <v>Ngày 17 tháng 6 năm 2026</v>
      </c>
      <c r="Q236" s="8"/>
      <c r="R236" s="8"/>
      <c r="S236" s="40"/>
      <c r="T236" s="3"/>
      <c r="U236" s="41"/>
      <c r="V236" s="11"/>
      <c r="W236" s="69" t="s">
        <v>75</v>
      </c>
      <c r="X236" s="32"/>
      <c r="Y236" s="214">
        <f t="shared" si="76"/>
        <v>0</v>
      </c>
      <c r="Z236" s="32"/>
    </row>
    <row r="237" spans="1:26" ht="25.35" customHeight="1">
      <c r="C237" s="3"/>
      <c r="D237" s="3"/>
      <c r="E237" s="9"/>
      <c r="F237" s="36"/>
      <c r="G237" s="71" t="s">
        <v>49</v>
      </c>
      <c r="H237" s="36"/>
      <c r="I237" s="36"/>
      <c r="J237" s="38"/>
      <c r="L237" s="39"/>
      <c r="M237" s="8"/>
      <c r="N237" s="8"/>
      <c r="O237" s="11"/>
      <c r="P237" s="71" t="s">
        <v>57</v>
      </c>
      <c r="Q237" s="8"/>
      <c r="R237" s="8"/>
      <c r="S237" s="40"/>
      <c r="T237" s="3"/>
      <c r="U237" s="41"/>
      <c r="V237" s="11"/>
      <c r="W237" s="69" t="s">
        <v>75</v>
      </c>
      <c r="X237" s="32"/>
      <c r="Y237" s="214" t="str">
        <f t="shared" si="76"/>
        <v/>
      </c>
      <c r="Z237" s="32"/>
    </row>
    <row r="238" spans="1:26" ht="25.35" customHeight="1">
      <c r="C238" s="3"/>
      <c r="D238" s="3"/>
      <c r="E238" s="9"/>
      <c r="F238" s="36"/>
      <c r="G238" s="42"/>
      <c r="H238" s="36"/>
      <c r="I238" s="36"/>
      <c r="J238" s="38"/>
      <c r="L238" s="39"/>
      <c r="M238" s="8"/>
      <c r="N238" s="8"/>
      <c r="O238" s="11"/>
      <c r="P238" s="37"/>
      <c r="Q238" s="8"/>
      <c r="R238" s="8"/>
      <c r="S238" s="40"/>
      <c r="T238" s="3"/>
      <c r="U238" s="41"/>
      <c r="V238" s="11"/>
      <c r="W238" s="69" t="s">
        <v>75</v>
      </c>
      <c r="X238" s="32"/>
      <c r="Y238" s="214">
        <f t="shared" si="76"/>
        <v>0</v>
      </c>
      <c r="Z238" s="32"/>
    </row>
    <row r="239" spans="1:26" ht="25.35" customHeight="1">
      <c r="C239" s="3"/>
      <c r="D239" s="3"/>
      <c r="E239" s="9"/>
      <c r="F239" s="36"/>
      <c r="G239" s="42"/>
      <c r="H239" s="36"/>
      <c r="I239" s="36"/>
      <c r="J239" s="38"/>
      <c r="L239" s="39"/>
      <c r="M239" s="8"/>
      <c r="N239" s="8"/>
      <c r="O239" s="11"/>
      <c r="P239" s="37"/>
      <c r="Q239" s="8"/>
      <c r="R239" s="8"/>
      <c r="S239" s="40"/>
      <c r="T239" s="3"/>
      <c r="U239" s="41"/>
      <c r="V239" s="11"/>
      <c r="W239" s="69" t="s">
        <v>75</v>
      </c>
      <c r="X239" s="32"/>
      <c r="Y239" s="214">
        <f t="shared" si="76"/>
        <v>0</v>
      </c>
      <c r="Z239" s="32"/>
    </row>
    <row r="240" spans="1:26" ht="25.35" customHeight="1">
      <c r="C240" s="3"/>
      <c r="D240" s="3"/>
      <c r="E240" s="9"/>
      <c r="F240" s="36"/>
      <c r="G240" s="38"/>
      <c r="H240" s="36"/>
      <c r="I240" s="38"/>
      <c r="J240" s="38"/>
      <c r="L240" s="39"/>
      <c r="M240" s="8"/>
      <c r="N240" s="8"/>
      <c r="O240" s="11"/>
      <c r="P240" s="37"/>
      <c r="Q240" s="8"/>
      <c r="R240" s="8"/>
      <c r="S240" s="40"/>
      <c r="T240" s="3"/>
      <c r="U240" s="41"/>
      <c r="V240" s="11"/>
      <c r="W240" s="69" t="s">
        <v>75</v>
      </c>
      <c r="X240" s="32"/>
      <c r="Y240" s="214">
        <f t="shared" si="76"/>
        <v>0</v>
      </c>
      <c r="Z240" s="32"/>
    </row>
    <row r="241" spans="3:26" ht="25.35" customHeight="1">
      <c r="C241" s="3"/>
      <c r="D241" s="3"/>
      <c r="E241" s="9"/>
      <c r="F241" s="36"/>
      <c r="G241" s="37" t="s">
        <v>46</v>
      </c>
      <c r="H241" s="36"/>
      <c r="I241" s="40"/>
      <c r="J241" s="39"/>
      <c r="K241" s="38"/>
      <c r="L241" s="39"/>
      <c r="M241" s="8"/>
      <c r="N241" s="8"/>
      <c r="O241" s="11"/>
      <c r="P241" s="37" t="s">
        <v>65</v>
      </c>
      <c r="Q241" s="8"/>
      <c r="R241" s="8"/>
      <c r="S241" s="40"/>
      <c r="T241" s="3"/>
      <c r="U241" s="41"/>
      <c r="V241" s="11"/>
      <c r="W241" s="69" t="s">
        <v>75</v>
      </c>
      <c r="X241" s="32"/>
      <c r="Y241" s="214" t="str">
        <f t="shared" si="76"/>
        <v/>
      </c>
      <c r="Z241" s="32"/>
    </row>
    <row r="242" spans="3:26" ht="25.35" customHeight="1">
      <c r="C242" s="3"/>
      <c r="D242" s="3"/>
      <c r="E242" s="9"/>
      <c r="F242" s="36"/>
      <c r="G242" s="37"/>
      <c r="H242" s="36"/>
      <c r="I242" s="36"/>
      <c r="J242" s="39"/>
      <c r="K242" s="38"/>
      <c r="L242" s="39"/>
      <c r="M242" s="8"/>
      <c r="N242" s="8"/>
      <c r="O242" s="11"/>
      <c r="P242" s="36"/>
      <c r="Q242" s="8"/>
      <c r="R242" s="8"/>
      <c r="S242" s="40"/>
      <c r="T242" s="37"/>
      <c r="U242" s="41"/>
      <c r="V242" s="11"/>
      <c r="Y242" s="214">
        <f t="shared" si="76"/>
        <v>0</v>
      </c>
    </row>
    <row r="243" spans="3:26" ht="25.35" customHeight="1">
      <c r="C243" s="43"/>
      <c r="D243" s="43"/>
      <c r="E243" s="9"/>
      <c r="F243" s="36"/>
      <c r="G243" s="37"/>
      <c r="H243" s="36"/>
      <c r="I243" s="36"/>
      <c r="J243" s="39"/>
      <c r="K243" s="38"/>
      <c r="L243" s="39"/>
      <c r="M243" s="8"/>
      <c r="N243" s="7"/>
      <c r="O243" s="11"/>
      <c r="P243" s="36"/>
      <c r="Q243" s="8"/>
      <c r="R243" s="8"/>
      <c r="S243" s="40"/>
      <c r="T243" s="37"/>
      <c r="U243" s="41"/>
      <c r="V243" s="11"/>
    </row>
    <row r="244" spans="3:26" ht="25.35" customHeight="1">
      <c r="C244" s="3"/>
      <c r="D244" s="3"/>
      <c r="E244" s="9"/>
      <c r="F244" s="36"/>
      <c r="G244" s="37"/>
      <c r="H244" s="36"/>
      <c r="I244" s="36"/>
      <c r="J244" s="39"/>
      <c r="K244" s="38"/>
      <c r="L244" s="39"/>
      <c r="M244" s="8"/>
      <c r="N244" s="7"/>
      <c r="O244" s="11"/>
      <c r="P244" s="36"/>
      <c r="Q244" s="8"/>
      <c r="R244" s="8"/>
      <c r="S244" s="40"/>
      <c r="T244" s="37"/>
      <c r="U244" s="41"/>
      <c r="V244" s="11"/>
    </row>
    <row r="245" spans="3:26" ht="25.35" customHeight="1">
      <c r="C245" s="3"/>
      <c r="D245" s="3"/>
      <c r="E245" s="9"/>
      <c r="F245" s="44"/>
      <c r="G245" s="99"/>
      <c r="H245" s="44"/>
      <c r="I245" s="8"/>
      <c r="J245" s="44"/>
      <c r="K245" s="99"/>
      <c r="L245" s="44"/>
      <c r="M245" s="8"/>
      <c r="N245" s="7"/>
      <c r="O245" s="45"/>
      <c r="P245" s="44"/>
      <c r="Q245" s="8"/>
      <c r="R245" s="8"/>
      <c r="S245" s="388"/>
      <c r="T245" s="388"/>
      <c r="U245" s="388"/>
      <c r="V245" s="45"/>
    </row>
  </sheetData>
  <sheetProtection formatCells="0" formatColumns="0" formatRows="0" insertColumns="0" insertRows="0" insertHyperlinks="0" deleteColumns="0" deleteRows="0" sort="0" autoFilter="0" pivotTables="0"/>
  <autoFilter ref="C11:W241" xr:uid="{842A61C4-7B4F-41B1-8FE6-0A0C645AF4DB}">
    <filterColumn colId="20">
      <customFilters>
        <customFilter operator="notEqual" val=" "/>
      </customFilters>
    </filterColumn>
  </autoFilter>
  <dataConsolidate>
    <dataRefs count="1">
      <dataRef ref="V2:V7" sheet="BOM_Phan II" r:id="rId1"/>
    </dataRefs>
  </dataConsolidate>
  <mergeCells count="28">
    <mergeCell ref="Q1:U1"/>
    <mergeCell ref="Q2:U2"/>
    <mergeCell ref="Q3:U3"/>
    <mergeCell ref="F1:O3"/>
    <mergeCell ref="V10:V11"/>
    <mergeCell ref="A10:A11"/>
    <mergeCell ref="B10:B11"/>
    <mergeCell ref="X1:Z2"/>
    <mergeCell ref="C8:D8"/>
    <mergeCell ref="P10:P11"/>
    <mergeCell ref="E10:G10"/>
    <mergeCell ref="H10:H11"/>
    <mergeCell ref="C9:U9"/>
    <mergeCell ref="C1:E3"/>
    <mergeCell ref="C10:C11"/>
    <mergeCell ref="D10:D11"/>
    <mergeCell ref="J10:K10"/>
    <mergeCell ref="L10:N10"/>
    <mergeCell ref="C4:D4"/>
    <mergeCell ref="C5:D5"/>
    <mergeCell ref="C6:D6"/>
    <mergeCell ref="C7:D7"/>
    <mergeCell ref="S245:U245"/>
    <mergeCell ref="O10:O11"/>
    <mergeCell ref="T10:U10"/>
    <mergeCell ref="Q10:Q11"/>
    <mergeCell ref="R10:R11"/>
    <mergeCell ref="S10:S11"/>
  </mergeCells>
  <phoneticPr fontId="24" type="noConversion"/>
  <conditionalFormatting sqref="L13:L199">
    <cfRule type="expression" dxfId="100" priority="52">
      <formula>$L13&lt;&gt;""</formula>
    </cfRule>
  </conditionalFormatting>
  <conditionalFormatting sqref="P207:P209 Q207:Q233 P13:Q206">
    <cfRule type="cellIs" dxfId="99" priority="57" operator="equal">
      <formula>"LỖI DỮ LIỆU"</formula>
    </cfRule>
  </conditionalFormatting>
  <conditionalFormatting sqref="Q207:U233 P207:P209 P13:U206">
    <cfRule type="cellIs" dxfId="98" priority="56" operator="equal">
      <formula>0</formula>
    </cfRule>
  </conditionalFormatting>
  <conditionalFormatting sqref="R13:R233">
    <cfRule type="cellIs" dxfId="97" priority="60" operator="equal">
      <formula>0</formula>
    </cfRule>
    <cfRule type="cellIs" dxfId="96" priority="62" operator="equal">
      <formula>0</formula>
    </cfRule>
  </conditionalFormatting>
  <conditionalFormatting sqref="S13:U233">
    <cfRule type="cellIs" dxfId="95" priority="64" operator="equal">
      <formula>0</formula>
    </cfRule>
  </conditionalFormatting>
  <conditionalFormatting sqref="C10:O11 Q10:U11 C236:U242 C12:U12 D27:J31 E26:J26 D33:J45 E32:J32 D47:J59 D61:J72 D74:J89 D91:J102 D104:J120 D122:J140 D142:J151 D153:J175 D177:J184 D186:J197 E46:J46 E60:J60 E73:J73 E90:J90 E103:J103 E121:J121 E141:J141 E152:J152 E176:J176 E185:J185 E198:J198 C234:P235 D26:D28 D13:D18 C13:C199 D14:J25 C210:C233 Q207:U235 D207:P233 D203:U206 C201:C208 D202:H202 J202:O202 D200:O201 D199:J199 P13:U202 E13:K13 K14:K199 L53:O199 L52:N52 L13:O51">
    <cfRule type="expression" dxfId="94" priority="46">
      <formula>AND(ROW()=CELL("row"),COLUMN()=CELL("col"))</formula>
    </cfRule>
    <cfRule type="expression" dxfId="93" priority="47">
      <formula>(ROW()=CELL("row"))</formula>
    </cfRule>
  </conditionalFormatting>
  <conditionalFormatting sqref="D210:U233">
    <cfRule type="expression" dxfId="92" priority="45">
      <formula>$I210&lt;&gt;""</formula>
    </cfRule>
  </conditionalFormatting>
  <conditionalFormatting sqref="P10:P11">
    <cfRule type="expression" dxfId="91" priority="42">
      <formula>AND(ROW()=CELL("row"),COLUMN()=CELL("col"))</formula>
    </cfRule>
    <cfRule type="expression" dxfId="90" priority="43">
      <formula>(ROW()=CELL("row"))</formula>
    </cfRule>
  </conditionalFormatting>
  <conditionalFormatting sqref="C13:J199 L13:U50 L53:U199 L51:N52 P51:U52">
    <cfRule type="expression" dxfId="89" priority="36">
      <formula>AND(ISNUMBER($C13), $C13=INT($C13), $C13&gt;0)</formula>
    </cfRule>
  </conditionalFormatting>
  <conditionalFormatting sqref="D26:D27">
    <cfRule type="expression" dxfId="88" priority="33">
      <formula>IF(OR($C26="I",$C26="II",$C26="III",$C26="IV",$C26="V",$C26="VI",$C26="VII",$C26="VIII",$C26="IX",$C26="X",$C26="XI",$C26="XII",$C26="XIII",$C26="XIV",$C26="XV",$C26="XVI",$C26="XVII",$C26="XVIII",$C26="XIX",$C26="XX",$C26="XXI",$C26="XXII",$C26="XXIII",$C26="XXIV",$C26="XXV",$C26="XXVI",$C26="XXVII",$C26="XXVII",$C26="XXIX",$C26="XXX"),1,"")</formula>
    </cfRule>
  </conditionalFormatting>
  <conditionalFormatting sqref="D26:D27">
    <cfRule type="expression" dxfId="87" priority="31">
      <formula>AND(ROW()=CELL("row"),COLUMN()=CELL("col"))</formula>
    </cfRule>
    <cfRule type="expression" dxfId="86" priority="32">
      <formula>(ROW()=CELL("row"))</formula>
    </cfRule>
  </conditionalFormatting>
  <conditionalFormatting sqref="D32 D46 D60">
    <cfRule type="expression" dxfId="85" priority="30">
      <formula>IF(OR($C32="I",$C32="II",$C32="III",$C32="IV",$C32="V",$C32="VI",$C32="VII",$C32="VIII",$C32="IX",$C32="X",$C32="XI",$C32="XII",$C32="XIII",$C32="XIV",$C32="XV",$C32="XVI",$C32="XVII",$C32="XVIII",$C32="XIX",$C32="XX",$C32="XXI",$C32="XXII",$C32="XXIII",$C32="XXIV",$C32="XXV",$C32="XXVI",$C32="XXVII",$C32="XXVII",$C32="XXIX",$C32="XXX"),1,"")</formula>
    </cfRule>
  </conditionalFormatting>
  <conditionalFormatting sqref="D32 D46 D60">
    <cfRule type="expression" dxfId="84" priority="28">
      <formula>AND(ROW()=CELL("row"),COLUMN()=CELL("col"))</formula>
    </cfRule>
    <cfRule type="expression" dxfId="83" priority="29">
      <formula>(ROW()=CELL("row"))</formula>
    </cfRule>
  </conditionalFormatting>
  <conditionalFormatting sqref="D73">
    <cfRule type="expression" dxfId="82" priority="27">
      <formula>IF(OR($C73="I",$C73="II",$C73="III",$C73="IV",$C73="V",$C73="VI",$C73="VII",$C73="VIII",$C73="IX",$C73="X",$C73="XI",$C73="XII",$C73="XIII",$C73="XIV",$C73="XV",$C73="XVI",$C73="XVII",$C73="XVIII",$C73="XIX",$C73="XX",$C73="XXI",$C73="XXII",$C73="XXIII",$C73="XXIV",$C73="XXV",$C73="XXVI",$C73="XXVII",$C73="XXVII",$C73="XXIX",$C73="XXX"),1,"")</formula>
    </cfRule>
  </conditionalFormatting>
  <conditionalFormatting sqref="D73">
    <cfRule type="expression" dxfId="81" priority="25">
      <formula>AND(ROW()=CELL("row"),COLUMN()=CELL("col"))</formula>
    </cfRule>
    <cfRule type="expression" dxfId="80" priority="26">
      <formula>(ROW()=CELL("row"))</formula>
    </cfRule>
  </conditionalFormatting>
  <conditionalFormatting sqref="D90">
    <cfRule type="expression" dxfId="79" priority="24">
      <formula>IF(OR($C90="I",$C90="II",$C90="III",$C90="IV",$C90="V",$C90="VI",$C90="VII",$C90="VIII",$C90="IX",$C90="X",$C90="XI",$C90="XII",$C90="XIII",$C90="XIV",$C90="XV",$C90="XVI",$C90="XVII",$C90="XVIII",$C90="XIX",$C90="XX",$C90="XXI",$C90="XXII",$C90="XXIII",$C90="XXIV",$C90="XXV",$C90="XXVI",$C90="XXVII",$C90="XXVII",$C90="XXIX",$C90="XXX"),1,"")</formula>
    </cfRule>
  </conditionalFormatting>
  <conditionalFormatting sqref="D90">
    <cfRule type="expression" dxfId="78" priority="22">
      <formula>AND(ROW()=CELL("row"),COLUMN()=CELL("col"))</formula>
    </cfRule>
    <cfRule type="expression" dxfId="77" priority="23">
      <formula>(ROW()=CELL("row"))</formula>
    </cfRule>
  </conditionalFormatting>
  <conditionalFormatting sqref="D103 D121">
    <cfRule type="expression" dxfId="76" priority="21">
      <formula>IF(OR($C103="I",$C103="II",$C103="III",$C103="IV",$C103="V",$C103="VI",$C103="VII",$C103="VIII",$C103="IX",$C103="X",$C103="XI",$C103="XII",$C103="XIII",$C103="XIV",$C103="XV",$C103="XVI",$C103="XVII",$C103="XVIII",$C103="XIX",$C103="XX",$C103="XXI",$C103="XXII",$C103="XXIII",$C103="XXIV",$C103="XXV",$C103="XXVI",$C103="XXVII",$C103="XXVII",$C103="XXIX",$C103="XXX"),1,"")</formula>
    </cfRule>
  </conditionalFormatting>
  <conditionalFormatting sqref="D103 D121">
    <cfRule type="expression" dxfId="75" priority="19">
      <formula>AND(ROW()=CELL("row"),COLUMN()=CELL("col"))</formula>
    </cfRule>
    <cfRule type="expression" dxfId="74" priority="20">
      <formula>(ROW()=CELL("row"))</formula>
    </cfRule>
  </conditionalFormatting>
  <conditionalFormatting sqref="D141">
    <cfRule type="expression" dxfId="73" priority="18">
      <formula>IF(OR($C141="I",$C141="II",$C141="III",$C141="IV",$C141="V",$C141="VI",$C141="VII",$C141="VIII",$C141="IX",$C141="X",$C141="XI",$C141="XII",$C141="XIII",$C141="XIV",$C141="XV",$C141="XVI",$C141="XVII",$C141="XVIII",$C141="XIX",$C141="XX",$C141="XXI",$C141="XXII",$C141="XXIII",$C141="XXIV",$C141="XXV",$C141="XXVI",$C141="XXVII",$C141="XXVII",$C141="XXIX",$C141="XXX"),1,"")</formula>
    </cfRule>
  </conditionalFormatting>
  <conditionalFormatting sqref="D141">
    <cfRule type="expression" dxfId="72" priority="16">
      <formula>AND(ROW()=CELL("row"),COLUMN()=CELL("col"))</formula>
    </cfRule>
    <cfRule type="expression" dxfId="71" priority="17">
      <formula>(ROW()=CELL("row"))</formula>
    </cfRule>
  </conditionalFormatting>
  <conditionalFormatting sqref="D152 D176 D185 D198">
    <cfRule type="expression" dxfId="70" priority="15">
      <formula>IF(OR($C152="I",$C152="II",$C152="III",$C152="IV",$C152="V",$C152="VI",$C152="VII",$C152="VIII",$C152="IX",$C152="X",$C152="XI",$C152="XII",$C152="XIII",$C152="XIV",$C152="XV",$C152="XVI",$C152="XVII",$C152="XVIII",$C152="XIX",$C152="XX",$C152="XXI",$C152="XXII",$C152="XXIII",$C152="XXIV",$C152="XXV",$C152="XXVI",$C152="XXVII",$C152="XXVII",$C152="XXIX",$C152="XXX"),1,"")</formula>
    </cfRule>
  </conditionalFormatting>
  <conditionalFormatting sqref="D152 D176 D185 D198">
    <cfRule type="expression" dxfId="69" priority="13">
      <formula>AND(ROW()=CELL("row"),COLUMN()=CELL("col"))</formula>
    </cfRule>
    <cfRule type="expression" dxfId="68" priority="14">
      <formula>(ROW()=CELL("row"))</formula>
    </cfRule>
  </conditionalFormatting>
  <conditionalFormatting sqref="C200">
    <cfRule type="expression" dxfId="67" priority="11">
      <formula>AND(ROW()=CELL("row"),COLUMN()=CELL("col"))</formula>
    </cfRule>
    <cfRule type="expression" dxfId="66" priority="12">
      <formula>(ROW()=CELL("row"))</formula>
    </cfRule>
  </conditionalFormatting>
  <conditionalFormatting sqref="C209">
    <cfRule type="expression" dxfId="65" priority="9">
      <formula>AND(ROW()=CELL("row"),COLUMN()=CELL("col"))</formula>
    </cfRule>
    <cfRule type="expression" dxfId="64" priority="10">
      <formula>(ROW()=CELL("row"))</formula>
    </cfRule>
  </conditionalFormatting>
  <conditionalFormatting sqref="C210:C233">
    <cfRule type="expression" dxfId="63" priority="5">
      <formula>$I210&lt;&gt;""</formula>
    </cfRule>
  </conditionalFormatting>
  <conditionalFormatting sqref="Q21:U25">
    <cfRule type="expression" dxfId="62" priority="108">
      <formula>IF(OR(#REF!="I",#REF!="II",#REF!="III",#REF!="IV",#REF!="V",#REF!="VI",#REF!="VII",#REF!="VIII",#REF!="IX",#REF!="X",#REF!="XI",#REF!="XII",#REF!="XIII",#REF!="XIV",#REF!="XV",#REF!="XVI",#REF!="XVII",#REF!="XVIII",#REF!="XIX",#REF!="XX",#REF!="XXI",#REF!="XXII",#REF!="XXIII",#REF!="XXIV",#REF!="XXV",#REF!="XXVI",#REF!="XXVII",#REF!="XXVII",#REF!="XXIX",#REF!="XXX"),1,"")</formula>
    </cfRule>
  </conditionalFormatting>
  <conditionalFormatting sqref="K13:K199">
    <cfRule type="expression" dxfId="61" priority="1">
      <formula>AND(ISNUMBER($C13), $C13=INT($C13), $C13&gt;0)</formula>
    </cfRule>
  </conditionalFormatting>
  <conditionalFormatting sqref="O51">
    <cfRule type="expression" dxfId="60" priority="114">
      <formula>AND(ISNUMBER($C52), $C52=INT($C52), $C52&gt;0)</formula>
    </cfRule>
  </conditionalFormatting>
  <dataValidations count="15">
    <dataValidation type="list" allowBlank="1" showInputMessage="1" showErrorMessage="1" sqref="K245" xr:uid="{00000000-0002-0000-0100-000000000000}">
      <formula1>#REF!</formula1>
    </dataValidation>
    <dataValidation type="list" allowBlank="1" showInputMessage="1" showErrorMessage="1" sqref="G241" xr:uid="{62296A84-3BC5-49B9-9D31-4D2D22972FE2}">
      <formula1>$AG$2:$AG$3</formula1>
    </dataValidation>
    <dataValidation type="list" allowBlank="1" showInputMessage="1" showErrorMessage="1" sqref="P234:Q234" xr:uid="{24B01432-FCD2-4F42-A745-8398FF0D4DC3}">
      <formula1>$AE$2:$AE$9</formula1>
    </dataValidation>
    <dataValidation type="list" allowBlank="1" showInputMessage="1" showErrorMessage="1" sqref="Q210:Q233" xr:uid="{9B991D15-C1A5-47F0-9BF6-CFD347D1266D}">
      <formula1>$AH$4:$AH$6</formula1>
    </dataValidation>
    <dataValidation type="list" allowBlank="1" showInputMessage="1" showErrorMessage="1" sqref="M210:M234 N234 M201:M208" xr:uid="{5340FD33-2E6F-4646-AEAF-B95FA08F2868}">
      <formula1>"2m2d2n,2m2d1n,2m2d0n,2m1d0n,2m0d2n,2m0d1n,2m0d0n,1m2d2n,2m1d2n,2m1d1n,1m2d1n,1m2d0n,1m1d2n,1m1d1n,1m1d0n,1m0d2n,1m0d1n,1m0d0n,0m2d2n,0m2d1n,0m2d0n,0m1d2n,0m1d1n,0m1d0n,0m0d2n,0m0d1n,0m0d0n"</formula1>
    </dataValidation>
    <dataValidation type="list" allowBlank="1" showInputMessage="1" showErrorMessage="1" sqref="P241" xr:uid="{2081E80B-1953-451D-B142-C4D1A50C4947}">
      <formula1>$AF$2:$AF$11</formula1>
    </dataValidation>
    <dataValidation type="list" allowBlank="1" showInputMessage="1" showErrorMessage="1" sqref="J10:K10" xr:uid="{7958C1D5-948D-4EED-BDDF-31247DC2685A}">
      <formula1>$AE$1:$AE$4</formula1>
    </dataValidation>
    <dataValidation allowBlank="1" showInputMessage="1" showErrorMessage="1" promptTitle="Đổi Md thành Sf" prompt="=((Rộng*Dài*Slg)*10^-6)*1.6*10.764" sqref="R210" xr:uid="{F170F2EA-04D7-4920-8644-23ECECD32055}"/>
    <dataValidation type="list" allowBlank="1" showInputMessage="1" showErrorMessage="1" sqref="K200:K233" xr:uid="{058C9A3A-42D9-4593-9770-2D4707A4B4C7}">
      <formula1>"2d2n,2d1n,2d0n,1d2n,0d2n,1d1n,1d0n,0d1n"</formula1>
    </dataValidation>
    <dataValidation type="list" allowBlank="1" showInputMessage="1" showErrorMessage="1" sqref="K13:K199" xr:uid="{7B62C4DF-6615-4AF0-AE60-56AAAC5F8BA2}">
      <formula1>"2d2r,2d1r,2d0r,1d2r,0d2r,1d1r,1d0r,0d1r"</formula1>
    </dataValidation>
    <dataValidation type="list" allowBlank="1" showInputMessage="1" showErrorMessage="1" sqref="N127:N128 N19:N25 N38:N39 N52:N53 N66:N67 N78:N79 N96:N97 N109:N110 N156 N85 N74 M13:M199" xr:uid="{E7C28065-9D85-418C-8A3A-87B7849974BD}">
      <formula1>"2m2d2r,2m2d1r,2m2d0r,2m1d0r,2m0d2r,2m0d1r,2m0d0r,1m2d2r,2m1d2r,2m1d1r,1m2d1r,1m2d0r,1m1d2r,1m1d1r,1m1d0r,1m0d2r,1m0d1r,1m0d0r,0m2d2r,0m2d1r,0m2d0r,0m1d2r,0m1d1r,0m1d0r,0m0d2r,0m0d1r,0m0d0r"</formula1>
    </dataValidation>
    <dataValidation type="list" allowBlank="1" showInputMessage="1" showErrorMessage="1" sqref="Q7" xr:uid="{853AD7A4-1304-4960-AF43-CCF9D41986B1}">
      <formula1>"CỬA CHỐNG CHÁY,CỬA THƯỜNG"</formula1>
    </dataValidation>
    <dataValidation type="list" allowBlank="1" showInputMessage="1" showErrorMessage="1" sqref="L13:L199" xr:uid="{DED41D28-29BA-45FD-A5D3-2DFC1F11B08E}">
      <formula1>$V$2:$V$8</formula1>
    </dataValidation>
    <dataValidation type="list" allowBlank="1" showInputMessage="1" showErrorMessage="1" sqref="I10" xr:uid="{03B35179-5BEA-428E-9F51-B9B0D66C139E}">
      <formula1>$AD$1:$AD$199</formula1>
    </dataValidation>
    <dataValidation type="list" showInputMessage="1" sqref="O53:O199 O13:O51" xr:uid="{49D46076-09E5-42A7-A499-60AF5247E3BE}">
      <formula1>"HOÀN THIỆN ĐI MODULE,GIAO RỜI"</formula1>
    </dataValidation>
  </dataValidations>
  <printOptions horizontalCentered="1"/>
  <pageMargins left="0" right="0" top="0.25" bottom="0.25" header="0" footer="0"/>
  <pageSetup paperSize="9" scale="51" orientation="landscape" r:id="rId2"/>
  <headerFooter scaleWithDoc="0" alignWithMargins="0">
    <oddFooter>Page &amp;P of &amp;N</oddFooter>
  </headerFooter>
  <colBreaks count="1" manualBreakCount="1">
    <brk id="21" max="738" man="1"/>
  </colBreaks>
  <drawing r:id="rId3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 filterMode="1">
    <tabColor rgb="FFFFFF00"/>
  </sheetPr>
  <dimension ref="A1:U106"/>
  <sheetViews>
    <sheetView view="pageBreakPreview" zoomScale="70" zoomScaleNormal="70" zoomScaleSheetLayoutView="70" workbookViewId="0">
      <pane xSplit="2" ySplit="11" topLeftCell="C61" activePane="bottomRight" state="frozen"/>
      <selection activeCell="Z1" sqref="Z1"/>
      <selection pane="topRight" activeCell="Z1" sqref="Z1"/>
      <selection pane="bottomLeft" activeCell="Z1" sqref="Z1"/>
      <selection pane="bottomRight" activeCell="I100" sqref="I100"/>
    </sheetView>
  </sheetViews>
  <sheetFormatPr defaultColWidth="4.7109375" defaultRowHeight="25.35" customHeight="1"/>
  <cols>
    <col min="1" max="1" width="5.7109375" style="3" customWidth="1"/>
    <col min="2" max="2" width="6" style="3" customWidth="1"/>
    <col min="3" max="3" width="10.28515625" style="14" bestFit="1" customWidth="1"/>
    <col min="4" max="4" width="31.28515625" style="3" customWidth="1"/>
    <col min="5" max="5" width="54.7109375" style="3" customWidth="1"/>
    <col min="6" max="6" width="10.42578125" style="14" bestFit="1" customWidth="1"/>
    <col min="7" max="7" width="16.42578125" style="15" customWidth="1"/>
    <col min="8" max="8" width="15" style="15" customWidth="1"/>
    <col min="9" max="9" width="14.42578125" style="15" customWidth="1"/>
    <col min="10" max="10" width="12.42578125" style="15" customWidth="1"/>
    <col min="11" max="11" width="13.28515625" style="15" customWidth="1"/>
    <col min="12" max="12" width="12.28515625" style="15" customWidth="1"/>
    <col min="13" max="13" width="31.28515625" style="15" customWidth="1"/>
    <col min="14" max="14" width="37.28515625" style="3" customWidth="1"/>
    <col min="15" max="15" width="4.42578125" style="3" customWidth="1"/>
    <col min="16" max="16" width="10.42578125" style="3" bestFit="1" customWidth="1"/>
    <col min="17" max="17" width="18" style="3" bestFit="1" customWidth="1"/>
    <col min="18" max="18" width="11.85546875" style="3" customWidth="1"/>
    <col min="19" max="19" width="11.42578125" style="3" customWidth="1"/>
    <col min="20" max="20" width="14.7109375" style="3" customWidth="1"/>
    <col min="21" max="21" width="12.85546875" style="296" customWidth="1"/>
    <col min="22" max="16384" width="4.7109375" style="3"/>
  </cols>
  <sheetData>
    <row r="1" spans="1:19" ht="21" customHeight="1">
      <c r="C1" s="405"/>
      <c r="D1" s="406"/>
      <c r="E1" s="432" t="s">
        <v>82</v>
      </c>
      <c r="F1" s="433"/>
      <c r="G1" s="433"/>
      <c r="H1" s="433"/>
      <c r="I1" s="433"/>
      <c r="J1" s="434"/>
      <c r="K1" s="152" t="str">
        <f>'BOM_Phan II'!$P$1</f>
        <v>Số hiệu:</v>
      </c>
      <c r="L1" s="338" t="s">
        <v>44</v>
      </c>
      <c r="M1" s="339"/>
      <c r="N1" s="401"/>
      <c r="O1" s="110"/>
    </row>
    <row r="2" spans="1:19" ht="24" customHeight="1">
      <c r="C2" s="407"/>
      <c r="D2" s="408"/>
      <c r="E2" s="435"/>
      <c r="F2" s="436"/>
      <c r="G2" s="436"/>
      <c r="H2" s="436"/>
      <c r="I2" s="436"/>
      <c r="J2" s="437"/>
      <c r="K2" s="68" t="str">
        <f>'BOM_Phan II'!$P$2</f>
        <v>Lần ban hành:</v>
      </c>
      <c r="L2" s="429"/>
      <c r="M2" s="430"/>
      <c r="N2" s="431"/>
      <c r="O2" s="111"/>
    </row>
    <row r="3" spans="1:19" ht="28.5" customHeight="1">
      <c r="C3" s="409"/>
      <c r="D3" s="410"/>
      <c r="E3" s="438"/>
      <c r="F3" s="439"/>
      <c r="G3" s="439"/>
      <c r="H3" s="439"/>
      <c r="I3" s="439"/>
      <c r="J3" s="440"/>
      <c r="K3" s="68" t="str">
        <f>'BOM_Phan II'!$P$3</f>
        <v>Ngày hiệu lực:</v>
      </c>
      <c r="L3" s="429"/>
      <c r="M3" s="430"/>
      <c r="N3" s="431"/>
      <c r="O3" s="112"/>
    </row>
    <row r="4" spans="1:19" ht="20.100000000000001" customHeight="1">
      <c r="C4" s="411" t="str">
        <f>'BOM_Phan II'!$C$4:$E$4</f>
        <v>Dự án :</v>
      </c>
      <c r="D4" s="412"/>
      <c r="E4" s="119" t="str">
        <f>'BOM_Phan II'!E4</f>
        <v>LAGOME_BURNLEY MALTINGS</v>
      </c>
      <c r="F4" s="88"/>
      <c r="G4" s="122"/>
      <c r="H4" s="122"/>
      <c r="I4" s="122"/>
      <c r="J4" s="119" t="str">
        <f>'BOM_Phan II'!$O$4</f>
        <v>Đơn hàng :</v>
      </c>
      <c r="K4" s="119" t="str">
        <f>'BOM_Phan II'!P4</f>
        <v>2573_LAGOME_CT07</v>
      </c>
      <c r="L4" s="89"/>
      <c r="M4" s="176"/>
      <c r="N4" s="153"/>
    </row>
    <row r="5" spans="1:19" ht="20.100000000000001" customHeight="1">
      <c r="C5" s="413" t="str">
        <f>'BOM_Phan II'!$C$5:$E$5</f>
        <v>Tên Sản phẩm:</v>
      </c>
      <c r="D5" s="414"/>
      <c r="E5" s="107" t="str">
        <f>'BOM_Phan II'!E5</f>
        <v>Laundry_ (TH 11)</v>
      </c>
      <c r="F5" s="90"/>
      <c r="G5" s="124"/>
      <c r="H5" s="124"/>
      <c r="I5" s="124"/>
      <c r="J5" s="120" t="str">
        <f>'BOM_Phan II'!$O$5</f>
        <v>Kích thước :</v>
      </c>
      <c r="K5" s="120" t="str">
        <f>'BOM_Phan II'!P5</f>
        <v>Theo bản vẽ</v>
      </c>
      <c r="L5" s="91"/>
      <c r="M5" s="177"/>
      <c r="N5" s="154"/>
    </row>
    <row r="6" spans="1:19" ht="20.100000000000001" customHeight="1">
      <c r="C6" s="415" t="str">
        <f>'BOM_Phan II'!$C$6:$E$6</f>
        <v>Mã sản phẩm :</v>
      </c>
      <c r="D6" s="416"/>
      <c r="E6" s="107" t="str">
        <f>'BOM_Phan II'!E6</f>
        <v>L01</v>
      </c>
      <c r="F6" s="90"/>
      <c r="G6" s="124"/>
      <c r="H6" s="124"/>
      <c r="I6" s="124"/>
      <c r="J6" s="120" t="str">
        <f>'BOM_Phan II'!$O$6</f>
        <v>Số lượng :</v>
      </c>
      <c r="K6" s="120" t="str">
        <f>'BOM_Phan II'!P6</f>
        <v>1 Hệ</v>
      </c>
      <c r="L6" s="91"/>
      <c r="M6" s="177"/>
      <c r="N6" s="154"/>
    </row>
    <row r="7" spans="1:19" ht="20.100000000000001" customHeight="1">
      <c r="C7" s="415" t="str">
        <f>'BOM_Phan II'!C7:$E$7</f>
        <v>Mục số :</v>
      </c>
      <c r="D7" s="416"/>
      <c r="E7" s="107">
        <f>'BOM_Phan II'!E7</f>
        <v>1.1000000000000001</v>
      </c>
      <c r="F7" s="90"/>
      <c r="G7" s="124"/>
      <c r="H7" s="124"/>
      <c r="I7" s="124"/>
      <c r="J7" s="120" t="str">
        <f>'BOM_Phan II'!$O$7</f>
        <v>Kết cấu :</v>
      </c>
      <c r="K7" s="120" t="str">
        <f>'BOM_Phan II'!P7</f>
        <v>Theo module và giao rời</v>
      </c>
      <c r="L7" s="91"/>
      <c r="M7" s="177"/>
      <c r="N7" s="154"/>
    </row>
    <row r="8" spans="1:19" ht="20.100000000000001" customHeight="1">
      <c r="C8" s="403" t="str">
        <f>'BOM_Phan II'!$C$8:$E$8</f>
        <v>Vật liệu:</v>
      </c>
      <c r="D8" s="404"/>
      <c r="E8" s="118" t="str">
        <f>'BOM_Phan II'!E8</f>
        <v xml:space="preserve">PB E1 chống ẩm 2M Melamine MEL1: MS 024T
</v>
      </c>
      <c r="F8" s="96"/>
      <c r="G8" s="126"/>
      <c r="H8" s="126"/>
      <c r="I8" s="126"/>
      <c r="J8" s="118" t="str">
        <f>'BOM_Phan II'!$O$8</f>
        <v>Hoàn thiện :</v>
      </c>
      <c r="K8" s="118" t="str">
        <f>'BOM_Phan II'!P8</f>
        <v>MEL01,Đồng màu MEL1</v>
      </c>
      <c r="L8" s="97"/>
      <c r="M8" s="178"/>
      <c r="N8" s="155"/>
    </row>
    <row r="9" spans="1:19" ht="20.100000000000001" customHeight="1" thickBot="1">
      <c r="C9" s="420"/>
      <c r="D9" s="421"/>
      <c r="E9" s="421"/>
      <c r="F9" s="421"/>
      <c r="G9" s="421"/>
      <c r="H9" s="421"/>
      <c r="I9" s="421"/>
      <c r="J9" s="421"/>
      <c r="K9" s="421"/>
      <c r="L9" s="421"/>
      <c r="M9" s="421"/>
      <c r="N9" s="422"/>
      <c r="O9" s="159"/>
    </row>
    <row r="10" spans="1:19" ht="18.75">
      <c r="A10" s="418" t="s">
        <v>73</v>
      </c>
      <c r="B10" s="418" t="s">
        <v>74</v>
      </c>
      <c r="C10" s="424" t="s">
        <v>10</v>
      </c>
      <c r="D10" s="301" t="s">
        <v>61</v>
      </c>
      <c r="E10" s="317" t="s">
        <v>62</v>
      </c>
      <c r="F10" s="301" t="s">
        <v>47</v>
      </c>
      <c r="G10" s="301" t="s">
        <v>70</v>
      </c>
      <c r="H10" s="301" t="s">
        <v>16</v>
      </c>
      <c r="I10" s="301" t="s">
        <v>58</v>
      </c>
      <c r="J10" s="441" t="s">
        <v>68</v>
      </c>
      <c r="K10" s="441"/>
      <c r="L10" s="441"/>
      <c r="M10" s="427" t="s">
        <v>83</v>
      </c>
      <c r="N10" s="442" t="s">
        <v>84</v>
      </c>
      <c r="O10" s="417" t="s">
        <v>78</v>
      </c>
    </row>
    <row r="11" spans="1:19" ht="28.5">
      <c r="A11" s="419"/>
      <c r="B11" s="419"/>
      <c r="C11" s="425"/>
      <c r="D11" s="302"/>
      <c r="E11" s="426"/>
      <c r="F11" s="302"/>
      <c r="G11" s="302"/>
      <c r="H11" s="302"/>
      <c r="I11" s="302"/>
      <c r="J11" s="148" t="s">
        <v>79</v>
      </c>
      <c r="K11" s="149" t="s">
        <v>81</v>
      </c>
      <c r="L11" s="147" t="s">
        <v>80</v>
      </c>
      <c r="M11" s="428"/>
      <c r="N11" s="443"/>
      <c r="O11" s="417"/>
      <c r="P11" s="31" t="s">
        <v>56</v>
      </c>
    </row>
    <row r="12" spans="1:19" ht="27" customHeight="1">
      <c r="A12" s="70" t="str">
        <f>IF(P12="IN",$E$6,"")</f>
        <v>L01</v>
      </c>
      <c r="B12" s="70" t="str">
        <f>IF(P12="IN","Muc "&amp;$E$7,"")</f>
        <v>Muc 1.1</v>
      </c>
      <c r="C12" s="156" t="s">
        <v>14</v>
      </c>
      <c r="D12" s="151" t="s">
        <v>52</v>
      </c>
      <c r="E12" s="163"/>
      <c r="F12" s="164"/>
      <c r="G12" s="172"/>
      <c r="H12" s="172"/>
      <c r="I12" s="172"/>
      <c r="J12" s="164"/>
      <c r="K12" s="164"/>
      <c r="L12" s="164"/>
      <c r="M12" s="185"/>
      <c r="N12" s="165"/>
      <c r="O12" s="70">
        <f>IF(P12="IN",'BOM_Phan II'!$Y$3,"")</f>
        <v>1</v>
      </c>
      <c r="P12" s="69" t="str">
        <f>IF(OR(E12&lt;&gt;"",D12&lt;&gt;""),"IN","")</f>
        <v>IN</v>
      </c>
      <c r="Q12" t="e" vm="1">
        <v>#VALUE!</v>
      </c>
      <c r="R12"/>
      <c r="S12"/>
    </row>
    <row r="13" spans="1:19" ht="27" hidden="1" customHeight="1">
      <c r="A13" s="70" t="str">
        <f t="shared" ref="A13:A17" si="0">IF(P13="IN",$E$6,"")</f>
        <v/>
      </c>
      <c r="B13" s="70" t="str">
        <f t="shared" ref="B13:B17" si="1">IF(P13="IN","Muc "&amp;$E$7,"")</f>
        <v/>
      </c>
      <c r="C13" s="157">
        <f>IF(P13="IN",MAX($C12:$C$12)+1,0)</f>
        <v>0</v>
      </c>
      <c r="D13" s="83"/>
      <c r="E13" s="26" t="str">
        <f t="shared" ref="E13:E22" si="2">IF(AND(Q13&lt;&gt;"",Q13&lt;&gt;"(blank)"),Q13,"")</f>
        <v/>
      </c>
      <c r="F13" s="79" t="str">
        <f>IF(E13&lt;&gt;"","Md","")</f>
        <v/>
      </c>
      <c r="G13" s="173"/>
      <c r="H13" s="173"/>
      <c r="I13" s="173"/>
      <c r="J13" s="150" t="str">
        <f>IF(E13&lt;&gt;"",SUMIF('BOM_Phan II'!$J:$J,'BOM_Phan III'!E13,'BOM_Phan II'!$S:$S),"")</f>
        <v/>
      </c>
      <c r="K13" s="150"/>
      <c r="L13" s="150"/>
      <c r="M13" s="186"/>
      <c r="N13" s="83"/>
      <c r="O13" s="70" t="str">
        <f>IF(P13="IN",'BOM_Phan II'!$Y$3,"")</f>
        <v/>
      </c>
      <c r="P13" s="69" t="str">
        <f t="shared" ref="P13:P17" si="3">IF(OR(E13&lt;&gt;"",D13&lt;&gt;""),"IN","")</f>
        <v/>
      </c>
      <c r="Q13"/>
      <c r="R13"/>
      <c r="S13"/>
    </row>
    <row r="14" spans="1:19" ht="27" customHeight="1">
      <c r="A14" s="70" t="str">
        <f t="shared" si="0"/>
        <v>L01</v>
      </c>
      <c r="B14" s="70" t="str">
        <f t="shared" si="1"/>
        <v>Muc 1.1</v>
      </c>
      <c r="C14" s="157">
        <f>IF(P14="IN",MAX($C$12:$C13)+1,0)</f>
        <v>1</v>
      </c>
      <c r="D14" s="83"/>
      <c r="E14" s="26" t="str">
        <f t="shared" si="2"/>
        <v>Chỉ nhựa MS 024T - 0.8x21 (mm)</v>
      </c>
      <c r="F14" s="79" t="str">
        <f t="shared" ref="F14:F22" si="4">IF(E14&lt;&gt;"","Md","")</f>
        <v>Md</v>
      </c>
      <c r="G14" s="173"/>
      <c r="H14" s="173"/>
      <c r="I14" s="173"/>
      <c r="J14" s="150">
        <f>IF(E14&lt;&gt;"",SUMIF('BOM_Phan II'!$J:$J,'BOM_Phan III'!E14,'BOM_Phan II'!$S:$S),"")</f>
        <v>95.24499999999999</v>
      </c>
      <c r="K14" s="150"/>
      <c r="L14" s="150"/>
      <c r="M14" s="186"/>
      <c r="N14" s="83"/>
      <c r="O14" s="70">
        <f>IF(P14="IN",'BOM_Phan II'!$Y$3,"")</f>
        <v>1</v>
      </c>
      <c r="P14" s="69" t="str">
        <f t="shared" si="3"/>
        <v>IN</v>
      </c>
      <c r="Q14" t="s">
        <v>232</v>
      </c>
      <c r="R14"/>
      <c r="S14"/>
    </row>
    <row r="15" spans="1:19" ht="27" customHeight="1">
      <c r="A15" s="70" t="str">
        <f t="shared" si="0"/>
        <v>L01</v>
      </c>
      <c r="B15" s="70" t="str">
        <f t="shared" si="1"/>
        <v>Muc 1.1</v>
      </c>
      <c r="C15" s="157">
        <f>IF(P15="IN",MAX($C$12:$C14)+1,0)</f>
        <v>2</v>
      </c>
      <c r="D15" s="83"/>
      <c r="E15" s="26" t="str">
        <f t="shared" si="2"/>
        <v>Chỉ nhựa MS 024T - 0.8x28 (mm)</v>
      </c>
      <c r="F15" s="79" t="str">
        <f t="shared" si="4"/>
        <v>Md</v>
      </c>
      <c r="G15" s="173"/>
      <c r="H15" s="173"/>
      <c r="I15" s="173"/>
      <c r="J15" s="150">
        <f>IF(E15&lt;&gt;"",SUMIF('BOM_Phan II'!$J:$J,'BOM_Phan III'!E15,'BOM_Phan II'!$S:$S),"")+2.5</f>
        <v>2.5</v>
      </c>
      <c r="K15" s="150"/>
      <c r="L15" s="150"/>
      <c r="M15" s="186" t="s">
        <v>386</v>
      </c>
      <c r="N15" s="184"/>
      <c r="O15" s="70">
        <f>IF(P15="IN",'BOM_Phan II'!$Y$3,"")</f>
        <v>1</v>
      </c>
      <c r="P15" s="69" t="str">
        <f t="shared" si="3"/>
        <v>IN</v>
      </c>
      <c r="Q15" t="s">
        <v>307</v>
      </c>
      <c r="R15"/>
      <c r="S15"/>
    </row>
    <row r="16" spans="1:19" ht="27" hidden="1" customHeight="1">
      <c r="A16" s="70" t="str">
        <f t="shared" si="0"/>
        <v/>
      </c>
      <c r="B16" s="70" t="str">
        <f t="shared" si="1"/>
        <v/>
      </c>
      <c r="C16" s="157">
        <f>IF(P16="IN",MAX($C$12:$C15)+1,0)</f>
        <v>0</v>
      </c>
      <c r="D16" s="83"/>
      <c r="E16" s="26" t="str">
        <f t="shared" si="2"/>
        <v/>
      </c>
      <c r="F16" s="79" t="str">
        <f t="shared" si="4"/>
        <v/>
      </c>
      <c r="G16" s="173"/>
      <c r="H16" s="173"/>
      <c r="I16" s="173"/>
      <c r="J16" s="150" t="str">
        <f>IF(E16&lt;&gt;"",SUMIF('BOM_Phan II'!$J:$J,'BOM_Phan III'!E16,'BOM_Phan II'!$S:$S),"")</f>
        <v/>
      </c>
      <c r="K16" s="150"/>
      <c r="L16" s="150"/>
      <c r="M16" s="186"/>
      <c r="N16" s="83"/>
      <c r="O16" s="70" t="str">
        <f>IF(P16="IN",'BOM_Phan II'!$Y$3,"")</f>
        <v/>
      </c>
      <c r="P16" s="69" t="str">
        <f t="shared" si="3"/>
        <v/>
      </c>
      <c r="Q16"/>
      <c r="R16"/>
      <c r="S16"/>
    </row>
    <row r="17" spans="1:19" ht="27" hidden="1" customHeight="1">
      <c r="A17" s="70" t="str">
        <f t="shared" si="0"/>
        <v/>
      </c>
      <c r="B17" s="70" t="str">
        <f t="shared" si="1"/>
        <v/>
      </c>
      <c r="C17" s="157">
        <f>IF(P17="IN",MAX($C$12:$C16)+1,0)</f>
        <v>0</v>
      </c>
      <c r="D17" s="83"/>
      <c r="E17" s="26" t="str">
        <f t="shared" si="2"/>
        <v/>
      </c>
      <c r="F17" s="79" t="str">
        <f t="shared" si="4"/>
        <v/>
      </c>
      <c r="G17" s="173"/>
      <c r="H17" s="173"/>
      <c r="I17" s="173"/>
      <c r="J17" s="150" t="str">
        <f>IF(E17&lt;&gt;"",SUMIF('BOM_Phan II'!$J:$J,'BOM_Phan III'!E17,'BOM_Phan II'!$S:$S),"")</f>
        <v/>
      </c>
      <c r="K17" s="150"/>
      <c r="L17" s="150"/>
      <c r="M17" s="186"/>
      <c r="N17" s="83"/>
      <c r="O17" s="70" t="str">
        <f>IF(P17="IN",'BOM_Phan II'!$Y$3,"")</f>
        <v/>
      </c>
      <c r="P17" s="69" t="str">
        <f t="shared" si="3"/>
        <v/>
      </c>
      <c r="Q17"/>
      <c r="R17"/>
      <c r="S17"/>
    </row>
    <row r="18" spans="1:19" ht="27" hidden="1" customHeight="1">
      <c r="A18" s="70" t="str">
        <f t="shared" ref="A18:A22" si="5">IF(P18="IN",$E$6,"")</f>
        <v/>
      </c>
      <c r="B18" s="70" t="str">
        <f t="shared" ref="B18:B22" si="6">IF(P18="IN","Muc "&amp;$E$7,"")</f>
        <v/>
      </c>
      <c r="C18" s="157">
        <f>IF(P18="IN",MAX($C7:$C$12)+1,0)</f>
        <v>0</v>
      </c>
      <c r="D18" s="83"/>
      <c r="E18" s="26" t="str">
        <f t="shared" si="2"/>
        <v/>
      </c>
      <c r="F18" s="79" t="str">
        <f t="shared" si="4"/>
        <v/>
      </c>
      <c r="G18" s="173"/>
      <c r="H18" s="173"/>
      <c r="I18" s="173"/>
      <c r="J18" s="150" t="str">
        <f>IF(E18&lt;&gt;"",SUMIF('BOM_Phan II'!$J:$J,'BOM_Phan III'!E18,'BOM_Phan II'!$S:$S),"")</f>
        <v/>
      </c>
      <c r="K18" s="150"/>
      <c r="L18" s="150"/>
      <c r="M18" s="186"/>
      <c r="N18" s="83"/>
      <c r="O18" s="70" t="str">
        <f>IF(P18="IN",'BOM_Phan II'!$Y$3,"")</f>
        <v/>
      </c>
      <c r="P18" s="69" t="str">
        <f t="shared" ref="P18:P22" si="7">IF(OR(E18&lt;&gt;"",D18&lt;&gt;""),"IN","")</f>
        <v/>
      </c>
      <c r="Q18"/>
      <c r="R18"/>
      <c r="S18"/>
    </row>
    <row r="19" spans="1:19" ht="27" hidden="1" customHeight="1">
      <c r="A19" s="70" t="str">
        <f t="shared" si="5"/>
        <v/>
      </c>
      <c r="B19" s="70" t="str">
        <f t="shared" si="6"/>
        <v/>
      </c>
      <c r="C19" s="157">
        <f>IF(P19="IN",MAX($C$12:$C18)+1,0)</f>
        <v>0</v>
      </c>
      <c r="D19" s="83"/>
      <c r="E19" s="26" t="str">
        <f t="shared" si="2"/>
        <v/>
      </c>
      <c r="F19" s="79" t="str">
        <f t="shared" si="4"/>
        <v/>
      </c>
      <c r="G19" s="173"/>
      <c r="H19" s="173"/>
      <c r="I19" s="173"/>
      <c r="J19" s="150" t="str">
        <f>IF(E19&lt;&gt;"",SUMIF('BOM_Phan II'!$J:$J,'BOM_Phan III'!E19,'BOM_Phan II'!$S:$S),"")</f>
        <v/>
      </c>
      <c r="K19" s="150"/>
      <c r="L19" s="150"/>
      <c r="M19" s="186"/>
      <c r="N19" s="83"/>
      <c r="O19" s="70" t="str">
        <f>IF(P19="IN",'BOM_Phan II'!$Y$3,"")</f>
        <v/>
      </c>
      <c r="P19" s="69" t="str">
        <f t="shared" si="7"/>
        <v/>
      </c>
      <c r="Q19"/>
      <c r="R19"/>
      <c r="S19"/>
    </row>
    <row r="20" spans="1:19" ht="27" hidden="1" customHeight="1">
      <c r="A20" s="70" t="str">
        <f t="shared" si="5"/>
        <v/>
      </c>
      <c r="B20" s="70" t="str">
        <f t="shared" si="6"/>
        <v/>
      </c>
      <c r="C20" s="157">
        <f>IF(P20="IN",MAX($C$12:$C19)+1,0)</f>
        <v>0</v>
      </c>
      <c r="D20" s="83"/>
      <c r="E20" s="26" t="str">
        <f t="shared" si="2"/>
        <v/>
      </c>
      <c r="F20" s="79" t="str">
        <f t="shared" si="4"/>
        <v/>
      </c>
      <c r="G20" s="173"/>
      <c r="H20" s="173"/>
      <c r="I20" s="173"/>
      <c r="J20" s="150" t="str">
        <f>IF(E20&lt;&gt;"",SUMIF('BOM_Phan II'!$J:$J,'BOM_Phan III'!E20,'BOM_Phan II'!$S:$S),"")</f>
        <v/>
      </c>
      <c r="K20" s="150"/>
      <c r="L20" s="150"/>
      <c r="M20" s="186"/>
      <c r="N20" s="184"/>
      <c r="O20" s="70" t="str">
        <f>IF(P20="IN",'BOM_Phan II'!$Y$3,"")</f>
        <v/>
      </c>
      <c r="P20" s="69" t="str">
        <f t="shared" si="7"/>
        <v/>
      </c>
      <c r="Q20"/>
      <c r="R20"/>
      <c r="S20"/>
    </row>
    <row r="21" spans="1:19" ht="27" hidden="1" customHeight="1">
      <c r="A21" s="70" t="str">
        <f t="shared" si="5"/>
        <v/>
      </c>
      <c r="B21" s="70" t="str">
        <f t="shared" si="6"/>
        <v/>
      </c>
      <c r="C21" s="157">
        <f>IF(P21="IN",MAX($C$12:$C20)+1,0)</f>
        <v>0</v>
      </c>
      <c r="D21" s="83"/>
      <c r="E21" s="26" t="str">
        <f t="shared" si="2"/>
        <v/>
      </c>
      <c r="F21" s="79" t="str">
        <f t="shared" si="4"/>
        <v/>
      </c>
      <c r="G21" s="173"/>
      <c r="H21" s="173"/>
      <c r="I21" s="173"/>
      <c r="J21" s="150" t="str">
        <f>IF(E21&lt;&gt;"",SUMIF('BOM_Phan II'!$J:$J,'BOM_Phan III'!E21,'BOM_Phan II'!$S:$S),"")</f>
        <v/>
      </c>
      <c r="K21" s="150"/>
      <c r="L21" s="150"/>
      <c r="M21" s="186"/>
      <c r="N21" s="83"/>
      <c r="O21" s="70" t="str">
        <f>IF(P21="IN",'BOM_Phan II'!$Y$3,"")</f>
        <v/>
      </c>
      <c r="P21" s="69" t="str">
        <f t="shared" si="7"/>
        <v/>
      </c>
      <c r="Q21"/>
      <c r="R21"/>
      <c r="S21"/>
    </row>
    <row r="22" spans="1:19" ht="27" hidden="1" customHeight="1">
      <c r="A22" s="70" t="str">
        <f t="shared" si="5"/>
        <v/>
      </c>
      <c r="B22" s="70" t="str">
        <f t="shared" si="6"/>
        <v/>
      </c>
      <c r="C22" s="157">
        <f>IF(P22="IN",MAX($C$12:$C21)+1,0)</f>
        <v>0</v>
      </c>
      <c r="D22" s="83"/>
      <c r="E22" s="26" t="str">
        <f t="shared" si="2"/>
        <v/>
      </c>
      <c r="F22" s="79" t="str">
        <f t="shared" si="4"/>
        <v/>
      </c>
      <c r="G22" s="173"/>
      <c r="H22" s="173"/>
      <c r="I22" s="173"/>
      <c r="J22" s="150" t="str">
        <f>IF(E22&lt;&gt;"",SUMIF('BOM_Phan II'!$J:$J,'BOM_Phan III'!E22,'BOM_Phan II'!$S:$S),"")</f>
        <v/>
      </c>
      <c r="K22" s="150"/>
      <c r="L22" s="150"/>
      <c r="M22" s="186"/>
      <c r="N22" s="83"/>
      <c r="O22" s="70" t="str">
        <f>IF(P22="IN",'BOM_Phan II'!$Y$3,"")</f>
        <v/>
      </c>
      <c r="P22" s="69" t="str">
        <f t="shared" si="7"/>
        <v/>
      </c>
      <c r="Q22"/>
      <c r="R22"/>
      <c r="S22"/>
    </row>
    <row r="23" spans="1:19" ht="27" customHeight="1">
      <c r="A23" s="70" t="str">
        <f t="shared" ref="A23:A25" si="8">IF(P23="IN",$E$6,"")</f>
        <v>L01</v>
      </c>
      <c r="B23" s="70" t="str">
        <f t="shared" ref="B23:B25" si="9">IF(P23="IN","Muc "&amp;$E$7,"")</f>
        <v>Muc 1.1</v>
      </c>
      <c r="C23" s="156" t="s">
        <v>15</v>
      </c>
      <c r="D23" s="151" t="s">
        <v>119</v>
      </c>
      <c r="E23" s="163"/>
      <c r="F23" s="164"/>
      <c r="G23" s="172"/>
      <c r="H23" s="172"/>
      <c r="I23" s="172"/>
      <c r="J23" s="166"/>
      <c r="K23" s="166"/>
      <c r="L23" s="166"/>
      <c r="M23" s="187"/>
      <c r="N23" s="165"/>
      <c r="O23" s="70">
        <f>IF(P23="IN",'BOM_Phan II'!$Y$3,"")</f>
        <v>1</v>
      </c>
      <c r="P23" s="69" t="str">
        <f t="shared" ref="P23:P30" si="10">IF(OR(E23&lt;&gt;"",D23&lt;&gt;""),"IN","")</f>
        <v>IN</v>
      </c>
      <c r="Q23"/>
      <c r="R23"/>
      <c r="S23"/>
    </row>
    <row r="24" spans="1:19" ht="27" customHeight="1">
      <c r="A24" s="70" t="str">
        <f t="shared" si="8"/>
        <v>L01</v>
      </c>
      <c r="B24" s="70" t="str">
        <f t="shared" si="9"/>
        <v>Muc 1.1</v>
      </c>
      <c r="C24" s="156" t="s">
        <v>39</v>
      </c>
      <c r="D24" s="151" t="s">
        <v>120</v>
      </c>
      <c r="E24" s="163"/>
      <c r="F24" s="164"/>
      <c r="G24" s="172"/>
      <c r="H24" s="172"/>
      <c r="I24" s="172"/>
      <c r="J24" s="166"/>
      <c r="K24" s="166"/>
      <c r="L24" s="166"/>
      <c r="M24" s="187"/>
      <c r="N24" s="165"/>
      <c r="O24" s="70">
        <f>IF(P24="IN",'BOM_Phan II'!$Y$3,"")</f>
        <v>1</v>
      </c>
      <c r="P24" s="69" t="str">
        <f t="shared" si="10"/>
        <v>IN</v>
      </c>
      <c r="Q24"/>
      <c r="R24"/>
      <c r="S24"/>
    </row>
    <row r="25" spans="1:19" ht="27" hidden="1" customHeight="1">
      <c r="A25" s="70" t="str">
        <f t="shared" si="8"/>
        <v/>
      </c>
      <c r="B25" s="70" t="str">
        <f t="shared" si="9"/>
        <v/>
      </c>
      <c r="C25" s="157">
        <f>IF(P25="IN",MAX($C$24:$C24)+1,0)</f>
        <v>0</v>
      </c>
      <c r="D25" s="83"/>
      <c r="E25" s="26"/>
      <c r="F25" s="79"/>
      <c r="G25" s="173"/>
      <c r="H25" s="173"/>
      <c r="I25" s="173"/>
      <c r="J25" s="150"/>
      <c r="K25" s="150"/>
      <c r="L25" s="150"/>
      <c r="M25" s="186"/>
      <c r="N25" s="83"/>
      <c r="O25" s="70" t="str">
        <f>IF(P25="IN",'BOM_Phan II'!$Y$3,"")</f>
        <v/>
      </c>
      <c r="P25" s="69" t="str">
        <f t="shared" si="10"/>
        <v/>
      </c>
      <c r="Q25"/>
      <c r="R25"/>
      <c r="S25"/>
    </row>
    <row r="26" spans="1:19" ht="27" hidden="1" customHeight="1">
      <c r="A26" s="70" t="str">
        <f t="shared" ref="A26:A28" si="11">IF(P26="IN",$E$6,"")</f>
        <v/>
      </c>
      <c r="B26" s="70" t="str">
        <f t="shared" ref="B26:B28" si="12">IF(P26="IN","Muc "&amp;$E$7,"")</f>
        <v/>
      </c>
      <c r="C26" s="157">
        <f>IF(P26="IN",MAX($C$24:$C25)+1,0)</f>
        <v>0</v>
      </c>
      <c r="D26" s="83"/>
      <c r="E26" s="26"/>
      <c r="F26" s="79"/>
      <c r="G26" s="173"/>
      <c r="H26" s="173"/>
      <c r="I26" s="173"/>
      <c r="J26" s="150"/>
      <c r="K26" s="150"/>
      <c r="L26" s="150"/>
      <c r="M26" s="186"/>
      <c r="N26" s="83"/>
      <c r="O26" s="70" t="str">
        <f>IF(P26="IN",'BOM_Phan II'!$Y$3,"")</f>
        <v/>
      </c>
      <c r="P26" s="69" t="str">
        <f t="shared" ref="P26:P28" si="13">IF(OR(E26&lt;&gt;"",D26&lt;&gt;""),"IN","")</f>
        <v/>
      </c>
      <c r="Q26"/>
      <c r="R26"/>
      <c r="S26"/>
    </row>
    <row r="27" spans="1:19" ht="27" hidden="1" customHeight="1">
      <c r="A27" s="70" t="str">
        <f t="shared" si="11"/>
        <v/>
      </c>
      <c r="B27" s="70" t="str">
        <f t="shared" si="12"/>
        <v/>
      </c>
      <c r="C27" s="157">
        <f>IF(P27="IN",MAX($C$24:$C26)+1,0)</f>
        <v>0</v>
      </c>
      <c r="D27" s="83"/>
      <c r="E27" s="26"/>
      <c r="F27" s="79"/>
      <c r="G27" s="173"/>
      <c r="H27" s="173"/>
      <c r="I27" s="173"/>
      <c r="J27" s="150"/>
      <c r="K27" s="150"/>
      <c r="L27" s="150"/>
      <c r="M27" s="186"/>
      <c r="N27" s="83"/>
      <c r="O27" s="70" t="str">
        <f>IF(P27="IN",'BOM_Phan II'!$Y$3,"")</f>
        <v/>
      </c>
      <c r="P27" s="69" t="str">
        <f t="shared" si="13"/>
        <v/>
      </c>
      <c r="Q27"/>
      <c r="R27"/>
      <c r="S27"/>
    </row>
    <row r="28" spans="1:19" ht="27" hidden="1" customHeight="1">
      <c r="A28" s="70" t="str">
        <f t="shared" si="11"/>
        <v/>
      </c>
      <c r="B28" s="70" t="str">
        <f t="shared" si="12"/>
        <v/>
      </c>
      <c r="C28" s="157">
        <f>IF(P28="IN",MAX($C$24:$C27)+1,0)</f>
        <v>0</v>
      </c>
      <c r="D28" s="83"/>
      <c r="E28" s="26"/>
      <c r="F28" s="79"/>
      <c r="G28" s="173"/>
      <c r="H28" s="173"/>
      <c r="I28" s="173"/>
      <c r="J28" s="150"/>
      <c r="K28" s="150"/>
      <c r="L28" s="150"/>
      <c r="M28" s="186"/>
      <c r="N28" s="83"/>
      <c r="O28" s="70" t="str">
        <f>IF(P28="IN",'BOM_Phan II'!$Y$3,"")</f>
        <v/>
      </c>
      <c r="P28" s="69" t="str">
        <f t="shared" si="13"/>
        <v/>
      </c>
      <c r="Q28"/>
      <c r="R28"/>
      <c r="S28"/>
    </row>
    <row r="29" spans="1:19" ht="27" customHeight="1">
      <c r="A29" s="70" t="str">
        <f t="shared" ref="A29:A50" si="14">IF(P29="IN",$E$6,"")</f>
        <v>L01</v>
      </c>
      <c r="B29" s="70" t="str">
        <f t="shared" ref="B29:B50" si="15">IF(P29="IN","Muc "&amp;$E$7,"")</f>
        <v>Muc 1.1</v>
      </c>
      <c r="C29" s="156" t="s">
        <v>51</v>
      </c>
      <c r="D29" s="151" t="s">
        <v>121</v>
      </c>
      <c r="E29" s="163"/>
      <c r="F29" s="164"/>
      <c r="G29" s="172"/>
      <c r="H29" s="172"/>
      <c r="I29" s="172"/>
      <c r="J29" s="166"/>
      <c r="K29" s="166"/>
      <c r="L29" s="166"/>
      <c r="M29" s="187"/>
      <c r="N29" s="165"/>
      <c r="O29" s="70">
        <f>IF(P29="IN",'BOM_Phan II'!$Y$3,"")</f>
        <v>1</v>
      </c>
      <c r="P29" s="69" t="str">
        <f t="shared" si="10"/>
        <v>IN</v>
      </c>
      <c r="Q29"/>
      <c r="R29"/>
      <c r="S29"/>
    </row>
    <row r="30" spans="1:19" ht="27" hidden="1" customHeight="1">
      <c r="A30" s="70" t="str">
        <f t="shared" si="14"/>
        <v/>
      </c>
      <c r="B30" s="70" t="str">
        <f t="shared" si="15"/>
        <v/>
      </c>
      <c r="C30" s="157">
        <f>IF(P30="IN",MAX($C$29:$C29)+1,0)</f>
        <v>0</v>
      </c>
      <c r="D30" s="26"/>
      <c r="E30" s="26"/>
      <c r="F30" s="25"/>
      <c r="G30" s="174"/>
      <c r="H30" s="174"/>
      <c r="I30" s="174"/>
      <c r="J30" s="150"/>
      <c r="K30" s="150"/>
      <c r="L30" s="150"/>
      <c r="M30" s="186"/>
      <c r="N30" s="158"/>
      <c r="O30" s="70" t="str">
        <f>IF(P30="IN",'BOM_Phan II'!$Y$3,"")</f>
        <v/>
      </c>
      <c r="P30" s="69" t="str">
        <f t="shared" si="10"/>
        <v/>
      </c>
    </row>
    <row r="31" spans="1:19" ht="27" hidden="1" customHeight="1">
      <c r="A31" s="70" t="str">
        <f t="shared" ref="A31:A33" si="16">IF(P31="IN",$E$6,"")</f>
        <v/>
      </c>
      <c r="B31" s="70" t="str">
        <f t="shared" ref="B31:B33" si="17">IF(P31="IN","Muc "&amp;$E$7,"")</f>
        <v/>
      </c>
      <c r="C31" s="157">
        <f>IF(P31="IN",MAX($C$29:$C30)+1,0)</f>
        <v>0</v>
      </c>
      <c r="D31" s="26"/>
      <c r="E31" s="26"/>
      <c r="F31" s="25"/>
      <c r="G31" s="174"/>
      <c r="H31" s="174"/>
      <c r="I31" s="174"/>
      <c r="J31" s="150"/>
      <c r="K31" s="150"/>
      <c r="L31" s="150"/>
      <c r="M31" s="186"/>
      <c r="N31" s="158"/>
      <c r="O31" s="70" t="str">
        <f>IF(P31="IN",'BOM_Phan II'!$Y$3,"")</f>
        <v/>
      </c>
      <c r="P31" s="69" t="str">
        <f t="shared" ref="P31:P33" si="18">IF(OR(E31&lt;&gt;"",D31&lt;&gt;""),"IN","")</f>
        <v/>
      </c>
    </row>
    <row r="32" spans="1:19" ht="27" hidden="1" customHeight="1">
      <c r="A32" s="70" t="str">
        <f t="shared" si="16"/>
        <v/>
      </c>
      <c r="B32" s="70" t="str">
        <f t="shared" si="17"/>
        <v/>
      </c>
      <c r="C32" s="157">
        <f>IF(P32="IN",MAX($C$29:$C31)+1,0)</f>
        <v>0</v>
      </c>
      <c r="D32" s="26"/>
      <c r="E32" s="26"/>
      <c r="F32" s="25"/>
      <c r="G32" s="174"/>
      <c r="H32" s="174"/>
      <c r="I32" s="174"/>
      <c r="J32" s="150"/>
      <c r="K32" s="150"/>
      <c r="L32" s="150"/>
      <c r="M32" s="186"/>
      <c r="N32" s="158"/>
      <c r="O32" s="70" t="str">
        <f>IF(P32="IN",'BOM_Phan II'!$Y$3,"")</f>
        <v/>
      </c>
      <c r="P32" s="69" t="str">
        <f t="shared" si="18"/>
        <v/>
      </c>
    </row>
    <row r="33" spans="1:16" ht="27" hidden="1" customHeight="1">
      <c r="A33" s="70" t="str">
        <f t="shared" si="16"/>
        <v/>
      </c>
      <c r="B33" s="70" t="str">
        <f t="shared" si="17"/>
        <v/>
      </c>
      <c r="C33" s="157">
        <f>IF(P33="IN",MAX($C$29:$C32)+1,0)</f>
        <v>0</v>
      </c>
      <c r="D33" s="26"/>
      <c r="E33" s="26"/>
      <c r="F33" s="25"/>
      <c r="G33" s="174"/>
      <c r="H33" s="174"/>
      <c r="I33" s="174"/>
      <c r="J33" s="150"/>
      <c r="K33" s="150"/>
      <c r="L33" s="150"/>
      <c r="M33" s="186"/>
      <c r="N33" s="158"/>
      <c r="O33" s="70" t="str">
        <f>IF(P33="IN",'BOM_Phan II'!$Y$3,"")</f>
        <v/>
      </c>
      <c r="P33" s="69" t="str">
        <f t="shared" si="18"/>
        <v/>
      </c>
    </row>
    <row r="34" spans="1:16" ht="27" customHeight="1">
      <c r="A34" s="70" t="str">
        <f t="shared" si="14"/>
        <v>L01</v>
      </c>
      <c r="B34" s="70" t="str">
        <f t="shared" si="15"/>
        <v>Muc 1.1</v>
      </c>
      <c r="C34" s="156" t="s">
        <v>41</v>
      </c>
      <c r="D34" s="151" t="s">
        <v>53</v>
      </c>
      <c r="E34" s="163"/>
      <c r="F34" s="164"/>
      <c r="G34" s="172"/>
      <c r="H34" s="172"/>
      <c r="I34" s="172"/>
      <c r="J34" s="166"/>
      <c r="K34" s="166"/>
      <c r="L34" s="166"/>
      <c r="M34" s="187"/>
      <c r="N34" s="165"/>
      <c r="O34" s="70">
        <f>IF(P34="IN",'BOM_Phan II'!$Y$3,"")</f>
        <v>1</v>
      </c>
      <c r="P34" s="69" t="str">
        <f t="shared" ref="P34:P50" si="19">IF(OR(E34&lt;&gt;"",D34&lt;&gt;""),"IN","")</f>
        <v>IN</v>
      </c>
    </row>
    <row r="35" spans="1:16" ht="29.25" customHeight="1">
      <c r="A35" s="70" t="str">
        <f t="shared" ref="A35:A47" si="20">IF(P35="IN",$E$6,"")</f>
        <v>L01</v>
      </c>
      <c r="B35" s="70" t="str">
        <f t="shared" ref="B35:B47" si="21">IF(P35="IN","Muc "&amp;$E$7,"")</f>
        <v>Muc 1.1</v>
      </c>
      <c r="C35" s="157">
        <f>IF(P35="IN",MAX($C34:$C$34)+1,0)</f>
        <v>1</v>
      </c>
      <c r="D35" s="83" t="s">
        <v>308</v>
      </c>
      <c r="E35" s="33" t="s">
        <v>309</v>
      </c>
      <c r="F35" s="79" t="s">
        <v>310</v>
      </c>
      <c r="G35" s="173" t="s">
        <v>311</v>
      </c>
      <c r="H35" s="173" t="s">
        <v>312</v>
      </c>
      <c r="I35" s="173"/>
      <c r="J35" s="150"/>
      <c r="K35" s="150">
        <v>78</v>
      </c>
      <c r="L35" s="150"/>
      <c r="M35" s="186" t="s">
        <v>313</v>
      </c>
      <c r="N35" s="83"/>
      <c r="O35" s="70">
        <f>IF(P35="IN",'BOM_Phan II'!$Y$3,"")</f>
        <v>1</v>
      </c>
      <c r="P35" s="69" t="str">
        <f t="shared" ref="P35:P47" si="22">IF(OR(E35&lt;&gt;"",D35&lt;&gt;""),"IN","")</f>
        <v>IN</v>
      </c>
    </row>
    <row r="36" spans="1:16" ht="29.25" customHeight="1">
      <c r="A36" s="70" t="str">
        <f t="shared" si="20"/>
        <v>L01</v>
      </c>
      <c r="B36" s="70" t="str">
        <f t="shared" si="21"/>
        <v>Muc 1.1</v>
      </c>
      <c r="C36" s="157">
        <f>IF(P36="IN",MAX($C$34:$C35)+1,0)</f>
        <v>2</v>
      </c>
      <c r="D36" s="83" t="s">
        <v>314</v>
      </c>
      <c r="E36" s="33" t="s">
        <v>315</v>
      </c>
      <c r="F36" s="79" t="s">
        <v>310</v>
      </c>
      <c r="G36" s="173" t="s">
        <v>316</v>
      </c>
      <c r="H36" s="173" t="s">
        <v>317</v>
      </c>
      <c r="I36" s="173"/>
      <c r="J36" s="150">
        <v>24</v>
      </c>
      <c r="K36" s="150">
        <v>48</v>
      </c>
      <c r="L36" s="150"/>
      <c r="M36" s="186" t="s">
        <v>318</v>
      </c>
      <c r="N36" s="83"/>
      <c r="O36" s="70">
        <f>IF(P36="IN",'BOM_Phan II'!$Y$3,"")</f>
        <v>1</v>
      </c>
      <c r="P36" s="69" t="str">
        <f t="shared" si="22"/>
        <v>IN</v>
      </c>
    </row>
    <row r="37" spans="1:16" ht="27" customHeight="1">
      <c r="A37" s="70" t="str">
        <f t="shared" si="20"/>
        <v>L01</v>
      </c>
      <c r="B37" s="70" t="str">
        <f t="shared" si="21"/>
        <v>Muc 1.1</v>
      </c>
      <c r="C37" s="157">
        <f>IF(P37="IN",MAX($C$34:$C36)+1,0)</f>
        <v>3</v>
      </c>
      <c r="D37" s="83" t="s">
        <v>319</v>
      </c>
      <c r="E37" s="33" t="s">
        <v>320</v>
      </c>
      <c r="F37" s="79" t="s">
        <v>310</v>
      </c>
      <c r="G37" s="173" t="s">
        <v>321</v>
      </c>
      <c r="H37" s="173" t="s">
        <v>317</v>
      </c>
      <c r="I37" s="173"/>
      <c r="J37" s="150">
        <v>88</v>
      </c>
      <c r="K37" s="150">
        <v>34</v>
      </c>
      <c r="L37" s="150"/>
      <c r="M37" s="186" t="s">
        <v>322</v>
      </c>
      <c r="N37" s="83"/>
      <c r="O37" s="70">
        <f>IF(P37="IN",'BOM_Phan II'!$Y$3,"")</f>
        <v>1</v>
      </c>
      <c r="P37" s="69" t="str">
        <f t="shared" si="22"/>
        <v>IN</v>
      </c>
    </row>
    <row r="38" spans="1:16" ht="27" customHeight="1">
      <c r="A38" s="70" t="str">
        <f t="shared" ref="A38:A46" si="23">IF(P38="IN",$E$6,"")</f>
        <v>L01</v>
      </c>
      <c r="B38" s="70" t="str">
        <f t="shared" ref="B38:B46" si="24">IF(P38="IN","Muc "&amp;$E$7,"")</f>
        <v>Muc 1.1</v>
      </c>
      <c r="C38" s="157">
        <f>IF(P38="IN",MAX($C$34:$C37)+1,0)</f>
        <v>4</v>
      </c>
      <c r="D38" s="83" t="s">
        <v>323</v>
      </c>
      <c r="E38" s="33" t="s">
        <v>324</v>
      </c>
      <c r="F38" s="79" t="s">
        <v>310</v>
      </c>
      <c r="G38" s="173" t="s">
        <v>325</v>
      </c>
      <c r="H38" s="173" t="s">
        <v>326</v>
      </c>
      <c r="I38" s="173"/>
      <c r="J38" s="150">
        <v>40</v>
      </c>
      <c r="K38" s="150">
        <v>30</v>
      </c>
      <c r="L38" s="150"/>
      <c r="M38" s="186" t="s">
        <v>327</v>
      </c>
      <c r="N38" s="261"/>
      <c r="O38" s="70">
        <f>IF(P38="IN",'BOM_Phan II'!$Y$3,"")</f>
        <v>1</v>
      </c>
      <c r="P38" s="69" t="str">
        <f t="shared" ref="P38:P46" si="25">IF(OR(E38&lt;&gt;"",D38&lt;&gt;""),"IN","")</f>
        <v>IN</v>
      </c>
    </row>
    <row r="39" spans="1:16" ht="27" customHeight="1">
      <c r="A39" s="70" t="str">
        <f t="shared" si="23"/>
        <v>L01</v>
      </c>
      <c r="B39" s="70" t="str">
        <f t="shared" si="24"/>
        <v>Muc 1.1</v>
      </c>
      <c r="C39" s="157">
        <f>IF(P39="IN",MAX($C$34:$C38)+1,0)</f>
        <v>5</v>
      </c>
      <c r="D39" s="83" t="s">
        <v>328</v>
      </c>
      <c r="E39" s="33" t="s">
        <v>329</v>
      </c>
      <c r="F39" s="79" t="s">
        <v>196</v>
      </c>
      <c r="G39" s="173" t="s">
        <v>330</v>
      </c>
      <c r="H39" s="173" t="s">
        <v>331</v>
      </c>
      <c r="I39" s="173"/>
      <c r="J39" s="150">
        <v>16</v>
      </c>
      <c r="K39" s="150"/>
      <c r="L39" s="150"/>
      <c r="M39" s="186" t="s">
        <v>332</v>
      </c>
      <c r="N39" s="83"/>
      <c r="O39" s="70">
        <f>IF(P39="IN",'BOM_Phan II'!$Y$3,"")</f>
        <v>1</v>
      </c>
      <c r="P39" s="69" t="str">
        <f t="shared" si="25"/>
        <v>IN</v>
      </c>
    </row>
    <row r="40" spans="1:16" ht="27" customHeight="1">
      <c r="A40" s="70" t="str">
        <f t="shared" ref="A40:A44" si="26">IF(P40="IN",$E$6,"")</f>
        <v>L01</v>
      </c>
      <c r="B40" s="70" t="str">
        <f t="shared" ref="B40:B44" si="27">IF(P40="IN","Muc "&amp;$E$7,"")</f>
        <v>Muc 1.1</v>
      </c>
      <c r="C40" s="157">
        <f>IF(P40="IN",MAX($C$34:$C39)+1,0)</f>
        <v>6</v>
      </c>
      <c r="D40" s="83" t="s">
        <v>333</v>
      </c>
      <c r="E40" s="33" t="s">
        <v>334</v>
      </c>
      <c r="F40" s="79" t="s">
        <v>310</v>
      </c>
      <c r="G40" s="173" t="s">
        <v>335</v>
      </c>
      <c r="H40" s="173" t="s">
        <v>336</v>
      </c>
      <c r="I40" s="173"/>
      <c r="J40" s="150">
        <v>16</v>
      </c>
      <c r="K40" s="150"/>
      <c r="L40" s="150"/>
      <c r="M40" s="186" t="s">
        <v>332</v>
      </c>
      <c r="N40" s="262"/>
      <c r="O40" s="70">
        <f>IF(P40="IN",'BOM_Phan II'!$Y$3,"")</f>
        <v>1</v>
      </c>
      <c r="P40" s="69" t="str">
        <f t="shared" ref="P40:P44" si="28">IF(OR(E40&lt;&gt;"",D40&lt;&gt;""),"IN","")</f>
        <v>IN</v>
      </c>
    </row>
    <row r="41" spans="1:16" ht="27" customHeight="1">
      <c r="A41" s="70" t="str">
        <f t="shared" si="26"/>
        <v>L01</v>
      </c>
      <c r="B41" s="70" t="str">
        <f t="shared" si="27"/>
        <v>Muc 1.1</v>
      </c>
      <c r="C41" s="157">
        <f>IF(P41="IN",MAX($C$34:$C40)+1,0)</f>
        <v>7</v>
      </c>
      <c r="D41" s="83" t="s">
        <v>337</v>
      </c>
      <c r="E41" s="33" t="s">
        <v>338</v>
      </c>
      <c r="F41" s="79" t="s">
        <v>339</v>
      </c>
      <c r="G41" s="173" t="s">
        <v>340</v>
      </c>
      <c r="H41" s="173" t="s">
        <v>341</v>
      </c>
      <c r="I41" s="173"/>
      <c r="J41" s="150">
        <v>0.2</v>
      </c>
      <c r="K41" s="150">
        <v>0.2</v>
      </c>
      <c r="L41" s="150"/>
      <c r="M41" s="186" t="s">
        <v>327</v>
      </c>
      <c r="N41" s="83"/>
      <c r="O41" s="70">
        <f>IF(P41="IN",'BOM_Phan II'!$Y$3,"")</f>
        <v>1</v>
      </c>
      <c r="P41" s="69" t="str">
        <f t="shared" si="28"/>
        <v>IN</v>
      </c>
    </row>
    <row r="42" spans="1:16" ht="27" customHeight="1">
      <c r="A42" s="70" t="str">
        <f t="shared" si="26"/>
        <v>L01</v>
      </c>
      <c r="B42" s="70" t="str">
        <f t="shared" si="27"/>
        <v>Muc 1.1</v>
      </c>
      <c r="C42" s="157">
        <f>IF(P42="IN",MAX($C$34:$C41)+1,0)</f>
        <v>8</v>
      </c>
      <c r="D42" s="83" t="s">
        <v>342</v>
      </c>
      <c r="E42" s="33" t="s">
        <v>343</v>
      </c>
      <c r="F42" s="79" t="s">
        <v>344</v>
      </c>
      <c r="G42" s="173" t="s">
        <v>345</v>
      </c>
      <c r="H42" s="173"/>
      <c r="I42" s="173"/>
      <c r="J42" s="150">
        <v>0.02</v>
      </c>
      <c r="K42" s="150"/>
      <c r="L42" s="150"/>
      <c r="M42" s="186" t="s">
        <v>346</v>
      </c>
      <c r="N42" s="83"/>
      <c r="O42" s="70">
        <f>IF(P42="IN",'BOM_Phan II'!$Y$3,"")</f>
        <v>1</v>
      </c>
      <c r="P42" s="69" t="str">
        <f t="shared" si="28"/>
        <v>IN</v>
      </c>
    </row>
    <row r="43" spans="1:16" ht="27" customHeight="1">
      <c r="A43" s="70" t="str">
        <f t="shared" si="26"/>
        <v>L01</v>
      </c>
      <c r="B43" s="70" t="str">
        <f t="shared" si="27"/>
        <v>Muc 1.1</v>
      </c>
      <c r="C43" s="157">
        <f>IF(P43="IN",MAX($C$34:$C42)+1,0)</f>
        <v>9</v>
      </c>
      <c r="D43" s="83" t="s">
        <v>347</v>
      </c>
      <c r="E43" s="33" t="s">
        <v>348</v>
      </c>
      <c r="F43" s="79" t="s">
        <v>344</v>
      </c>
      <c r="G43" s="173" t="s">
        <v>345</v>
      </c>
      <c r="H43" s="173"/>
      <c r="I43" s="173"/>
      <c r="J43" s="150">
        <v>0.02</v>
      </c>
      <c r="K43" s="150"/>
      <c r="L43" s="150"/>
      <c r="M43" s="186" t="s">
        <v>346</v>
      </c>
      <c r="N43" s="83"/>
      <c r="O43" s="70">
        <f>IF(P43="IN",'BOM_Phan II'!$Y$3,"")</f>
        <v>1</v>
      </c>
      <c r="P43" s="69" t="str">
        <f t="shared" si="28"/>
        <v>IN</v>
      </c>
    </row>
    <row r="44" spans="1:16" ht="27" customHeight="1">
      <c r="A44" s="70" t="str">
        <f t="shared" si="26"/>
        <v>L01</v>
      </c>
      <c r="B44" s="70" t="str">
        <f t="shared" si="27"/>
        <v>Muc 1.1</v>
      </c>
      <c r="C44" s="157">
        <f>IF(P44="IN",MAX($C$34:$C43)+1,0)</f>
        <v>10</v>
      </c>
      <c r="D44" s="83" t="s">
        <v>349</v>
      </c>
      <c r="E44" s="33" t="s">
        <v>350</v>
      </c>
      <c r="F44" s="79" t="s">
        <v>310</v>
      </c>
      <c r="G44" s="173" t="s">
        <v>311</v>
      </c>
      <c r="H44" s="173" t="s">
        <v>317</v>
      </c>
      <c r="I44" s="173"/>
      <c r="J44" s="150">
        <v>28</v>
      </c>
      <c r="K44" s="150">
        <v>8</v>
      </c>
      <c r="L44" s="150"/>
      <c r="M44" s="186" t="s">
        <v>351</v>
      </c>
      <c r="N44" s="83"/>
      <c r="O44" s="70">
        <f>IF(P44="IN",'BOM_Phan II'!$Y$3,"")</f>
        <v>1</v>
      </c>
      <c r="P44" s="69" t="str">
        <f t="shared" si="28"/>
        <v>IN</v>
      </c>
    </row>
    <row r="45" spans="1:16" ht="27" hidden="1" customHeight="1">
      <c r="A45" s="70" t="str">
        <f t="shared" si="23"/>
        <v/>
      </c>
      <c r="B45" s="70" t="str">
        <f t="shared" si="24"/>
        <v/>
      </c>
      <c r="C45" s="157">
        <f>IF(P45="IN",MAX($C$34:$C44)+1,0)</f>
        <v>0</v>
      </c>
      <c r="D45" s="83"/>
      <c r="E45" s="33"/>
      <c r="F45" s="79"/>
      <c r="G45" s="173"/>
      <c r="H45" s="173"/>
      <c r="I45" s="173"/>
      <c r="J45" s="150"/>
      <c r="K45" s="150"/>
      <c r="L45" s="150"/>
      <c r="M45" s="186"/>
      <c r="N45" s="83"/>
      <c r="O45" s="70" t="str">
        <f>IF(P45="IN",'BOM_Phan II'!$Y$3,"")</f>
        <v/>
      </c>
      <c r="P45" s="69" t="str">
        <f t="shared" si="25"/>
        <v/>
      </c>
    </row>
    <row r="46" spans="1:16" ht="27" hidden="1" customHeight="1">
      <c r="A46" s="70" t="str">
        <f t="shared" si="23"/>
        <v/>
      </c>
      <c r="B46" s="70" t="str">
        <f t="shared" si="24"/>
        <v/>
      </c>
      <c r="C46" s="157">
        <f>IF(P46="IN",MAX($C$34:$C45)+1,0)</f>
        <v>0</v>
      </c>
      <c r="D46" s="83"/>
      <c r="E46" s="33"/>
      <c r="F46" s="79"/>
      <c r="G46" s="173"/>
      <c r="H46" s="173"/>
      <c r="I46" s="173"/>
      <c r="J46" s="150"/>
      <c r="K46" s="150"/>
      <c r="L46" s="150"/>
      <c r="M46" s="186"/>
      <c r="N46" s="83"/>
      <c r="O46" s="70" t="str">
        <f>IF(P46="IN",'BOM_Phan II'!$Y$3,"")</f>
        <v/>
      </c>
      <c r="P46" s="69" t="str">
        <f t="shared" si="25"/>
        <v/>
      </c>
    </row>
    <row r="47" spans="1:16" ht="27" hidden="1" customHeight="1">
      <c r="A47" s="70" t="str">
        <f t="shared" si="20"/>
        <v/>
      </c>
      <c r="B47" s="70" t="str">
        <f t="shared" si="21"/>
        <v/>
      </c>
      <c r="C47" s="157">
        <f>IF(P47="IN",MAX($C$34:$C46)+1,0)</f>
        <v>0</v>
      </c>
      <c r="D47" s="83"/>
      <c r="E47" s="33"/>
      <c r="F47" s="79"/>
      <c r="G47" s="173"/>
      <c r="H47" s="173"/>
      <c r="I47" s="173"/>
      <c r="J47" s="150"/>
      <c r="K47" s="150"/>
      <c r="L47" s="150"/>
      <c r="M47" s="186"/>
      <c r="N47" s="83"/>
      <c r="O47" s="70" t="str">
        <f>IF(P47="IN",'BOM_Phan II'!$Y$3,"")</f>
        <v/>
      </c>
      <c r="P47" s="69" t="str">
        <f t="shared" si="22"/>
        <v/>
      </c>
    </row>
    <row r="48" spans="1:16" ht="27" hidden="1" customHeight="1">
      <c r="A48" s="70" t="str">
        <f t="shared" si="14"/>
        <v/>
      </c>
      <c r="B48" s="70" t="str">
        <f t="shared" si="15"/>
        <v/>
      </c>
      <c r="C48" s="157">
        <f>IF(P48="IN",MAX($C$34:$C47)+1,0)</f>
        <v>0</v>
      </c>
      <c r="D48" s="83"/>
      <c r="E48" s="33"/>
      <c r="F48" s="79"/>
      <c r="G48" s="173"/>
      <c r="H48" s="173"/>
      <c r="I48" s="173"/>
      <c r="J48" s="150"/>
      <c r="K48" s="150"/>
      <c r="L48" s="150"/>
      <c r="M48" s="186"/>
      <c r="N48" s="83"/>
      <c r="O48" s="70" t="str">
        <f>IF(P48="IN",'BOM_Phan II'!$Y$3,"")</f>
        <v/>
      </c>
      <c r="P48" s="69" t="str">
        <f t="shared" si="19"/>
        <v/>
      </c>
    </row>
    <row r="49" spans="1:16" ht="27" hidden="1" customHeight="1">
      <c r="A49" s="70" t="str">
        <f t="shared" ref="A49" si="29">IF(P49="IN",$E$6,"")</f>
        <v/>
      </c>
      <c r="B49" s="70" t="str">
        <f t="shared" ref="B49" si="30">IF(P49="IN","Muc "&amp;$E$7,"")</f>
        <v/>
      </c>
      <c r="C49" s="157">
        <f>IF(P49="IN",MAX($C$34:$C48)+1,0)</f>
        <v>0</v>
      </c>
      <c r="D49" s="83"/>
      <c r="E49" s="33"/>
      <c r="F49" s="79"/>
      <c r="G49" s="173"/>
      <c r="H49" s="173"/>
      <c r="I49" s="173"/>
      <c r="J49" s="150"/>
      <c r="K49" s="150"/>
      <c r="L49" s="150"/>
      <c r="M49" s="186"/>
      <c r="N49" s="83"/>
      <c r="O49" s="70" t="str">
        <f>IF(P49="IN",'BOM_Phan II'!$Y$3,"")</f>
        <v/>
      </c>
      <c r="P49" s="69" t="str">
        <f t="shared" ref="P49" si="31">IF(OR(E49&lt;&gt;"",D49&lt;&gt;""),"IN","")</f>
        <v/>
      </c>
    </row>
    <row r="50" spans="1:16" ht="27" hidden="1" customHeight="1">
      <c r="A50" s="70" t="str">
        <f t="shared" si="14"/>
        <v/>
      </c>
      <c r="B50" s="70" t="str">
        <f t="shared" si="15"/>
        <v/>
      </c>
      <c r="C50" s="157">
        <f>IF(P50="IN",MAX($C$34:$C49)+1,0)</f>
        <v>0</v>
      </c>
      <c r="D50" s="83"/>
      <c r="E50" s="33"/>
      <c r="F50" s="79"/>
      <c r="G50" s="173"/>
      <c r="H50" s="173"/>
      <c r="I50" s="173"/>
      <c r="J50" s="150"/>
      <c r="K50" s="150"/>
      <c r="L50" s="150"/>
      <c r="M50" s="186"/>
      <c r="N50" s="83"/>
      <c r="O50" s="70" t="str">
        <f>IF(P50="IN",'BOM_Phan II'!$Y$3,"")</f>
        <v/>
      </c>
      <c r="P50" s="69" t="str">
        <f t="shared" si="19"/>
        <v/>
      </c>
    </row>
    <row r="51" spans="1:16" ht="27" hidden="1" customHeight="1">
      <c r="A51" s="70" t="str">
        <f t="shared" ref="A51" si="32">IF(P51="IN",$E$6,"")</f>
        <v/>
      </c>
      <c r="B51" s="70" t="str">
        <f t="shared" ref="B51" si="33">IF(P51="IN","Muc "&amp;$E$7,"")</f>
        <v/>
      </c>
      <c r="C51" s="157">
        <f>IF(P51="IN",MAX($C$34:$C50)+1,0)</f>
        <v>0</v>
      </c>
      <c r="D51" s="83"/>
      <c r="E51" s="33"/>
      <c r="F51" s="79"/>
      <c r="G51" s="173"/>
      <c r="H51" s="173"/>
      <c r="I51" s="173"/>
      <c r="J51" s="150"/>
      <c r="K51" s="150"/>
      <c r="L51" s="150"/>
      <c r="M51" s="186"/>
      <c r="N51" s="83"/>
      <c r="O51" s="70" t="str">
        <f>IF(P51="IN",'BOM_Phan II'!$Y$3,"")</f>
        <v/>
      </c>
      <c r="P51" s="69" t="str">
        <f t="shared" ref="P51" si="34">IF(OR(E51&lt;&gt;"",D51&lt;&gt;""),"IN","")</f>
        <v/>
      </c>
    </row>
    <row r="52" spans="1:16" ht="27" customHeight="1">
      <c r="A52" s="70" t="str">
        <f t="shared" ref="A52:A63" si="35">IF(P52="IN",$E$6,"")</f>
        <v>L01</v>
      </c>
      <c r="B52" s="70" t="str">
        <f t="shared" ref="B52:B63" si="36">IF(P52="IN","Muc "&amp;$E$7,"")</f>
        <v>Muc 1.1</v>
      </c>
      <c r="C52" s="156" t="s">
        <v>40</v>
      </c>
      <c r="D52" s="151" t="s">
        <v>54</v>
      </c>
      <c r="E52" s="163"/>
      <c r="F52" s="164"/>
      <c r="G52" s="172"/>
      <c r="H52" s="172"/>
      <c r="I52" s="172"/>
      <c r="J52" s="167"/>
      <c r="K52" s="167"/>
      <c r="L52" s="167"/>
      <c r="M52" s="188"/>
      <c r="N52" s="165"/>
      <c r="O52" s="70">
        <f>IF(P52="IN",'BOM_Phan II'!$Y$3,"")</f>
        <v>1</v>
      </c>
      <c r="P52" s="69" t="str">
        <f t="shared" ref="P52:P63" si="37">IF(OR(E52&lt;&gt;"",D52&lt;&gt;""),"IN","")</f>
        <v>IN</v>
      </c>
    </row>
    <row r="53" spans="1:16" ht="28.35" customHeight="1">
      <c r="A53" s="70" t="str">
        <f t="shared" ref="A53:A62" si="38">IF(P53="IN",$E$6,"")</f>
        <v>L01</v>
      </c>
      <c r="B53" s="70" t="str">
        <f t="shared" ref="B53:B62" si="39">IF(P53="IN","Muc "&amp;$E$7,"")</f>
        <v>Muc 1.1</v>
      </c>
      <c r="C53" s="157">
        <f>IF(P53="IN",MAX($C52:$C$52)+1,0)</f>
        <v>1</v>
      </c>
      <c r="D53" s="83" t="s">
        <v>352</v>
      </c>
      <c r="E53" s="26" t="s">
        <v>353</v>
      </c>
      <c r="F53" s="79" t="s">
        <v>196</v>
      </c>
      <c r="G53" s="173"/>
      <c r="H53" s="173" t="s">
        <v>354</v>
      </c>
      <c r="I53" s="173" t="s">
        <v>355</v>
      </c>
      <c r="J53" s="150"/>
      <c r="K53" s="150">
        <v>13</v>
      </c>
      <c r="L53" s="150"/>
      <c r="M53" s="186"/>
      <c r="N53" s="260"/>
      <c r="O53" s="70">
        <f>IF(P53="IN",'BOM_Phan II'!$Y$3,"")</f>
        <v>1</v>
      </c>
      <c r="P53" s="69" t="str">
        <f t="shared" ref="P53:P62" si="40">IF(OR(E53&lt;&gt;"",D53&lt;&gt;""),"IN","")</f>
        <v>IN</v>
      </c>
    </row>
    <row r="54" spans="1:16" ht="28.35" customHeight="1">
      <c r="A54" s="70" t="str">
        <f t="shared" ref="A54:A59" si="41">IF(P54="IN",$E$6,"")</f>
        <v>L01</v>
      </c>
      <c r="B54" s="70" t="str">
        <f t="shared" ref="B54:B59" si="42">IF(P54="IN","Muc "&amp;$E$7,"")</f>
        <v>Muc 1.1</v>
      </c>
      <c r="C54" s="157">
        <f>IF(P54="IN",MAX($C$52:$C53)+1,0)</f>
        <v>2</v>
      </c>
      <c r="D54" s="83" t="s">
        <v>356</v>
      </c>
      <c r="E54" s="26" t="s">
        <v>357</v>
      </c>
      <c r="F54" s="79" t="s">
        <v>196</v>
      </c>
      <c r="G54" s="173"/>
      <c r="H54" s="173" t="s">
        <v>354</v>
      </c>
      <c r="I54" s="173" t="s">
        <v>355</v>
      </c>
      <c r="J54" s="150"/>
      <c r="K54" s="150">
        <v>13</v>
      </c>
      <c r="L54" s="150"/>
      <c r="M54" s="186"/>
      <c r="N54" s="179"/>
      <c r="O54" s="70">
        <f>IF(P54="IN",'BOM_Phan II'!$Y$3,"")</f>
        <v>1</v>
      </c>
      <c r="P54" s="69" t="str">
        <f t="shared" ref="P54:P59" si="43">IF(OR(E54&lt;&gt;"",D54&lt;&gt;""),"IN","")</f>
        <v>IN</v>
      </c>
    </row>
    <row r="55" spans="1:16" ht="28.35" customHeight="1">
      <c r="A55" s="70" t="str">
        <f t="shared" si="41"/>
        <v>L01</v>
      </c>
      <c r="B55" s="70" t="str">
        <f t="shared" si="42"/>
        <v>Muc 1.1</v>
      </c>
      <c r="C55" s="157">
        <f>IF(P55="IN",MAX($C$52:$C54)+1,0)</f>
        <v>3</v>
      </c>
      <c r="D55" s="83" t="s">
        <v>358</v>
      </c>
      <c r="E55" s="26" t="s">
        <v>359</v>
      </c>
      <c r="F55" s="79" t="s">
        <v>196</v>
      </c>
      <c r="G55" s="173" t="s">
        <v>360</v>
      </c>
      <c r="H55" s="173" t="s">
        <v>361</v>
      </c>
      <c r="I55" s="173" t="s">
        <v>362</v>
      </c>
      <c r="J55" s="150"/>
      <c r="K55" s="150">
        <v>30</v>
      </c>
      <c r="L55" s="150"/>
      <c r="M55" s="186"/>
      <c r="N55" s="179"/>
      <c r="O55" s="70">
        <f>IF(P55="IN",'BOM_Phan II'!$Y$3,"")</f>
        <v>1</v>
      </c>
      <c r="P55" s="69" t="str">
        <f t="shared" si="43"/>
        <v>IN</v>
      </c>
    </row>
    <row r="56" spans="1:16" ht="28.35" customHeight="1">
      <c r="A56" s="70" t="str">
        <f t="shared" si="41"/>
        <v>L01</v>
      </c>
      <c r="B56" s="70" t="str">
        <f t="shared" si="42"/>
        <v>Muc 1.1</v>
      </c>
      <c r="C56" s="157">
        <f>IF(P56="IN",MAX($C$52:$C55)+1,0)</f>
        <v>4</v>
      </c>
      <c r="D56" s="83" t="s">
        <v>363</v>
      </c>
      <c r="E56" s="26" t="s">
        <v>364</v>
      </c>
      <c r="F56" s="79" t="s">
        <v>196</v>
      </c>
      <c r="G56" s="173" t="s">
        <v>365</v>
      </c>
      <c r="H56" s="173"/>
      <c r="I56" s="173" t="s">
        <v>366</v>
      </c>
      <c r="J56" s="150"/>
      <c r="K56" s="150">
        <v>10</v>
      </c>
      <c r="L56" s="150"/>
      <c r="M56" s="186"/>
      <c r="N56" s="179"/>
      <c r="O56" s="70">
        <f>IF(P56="IN",'BOM_Phan II'!$Y$3,"")</f>
        <v>1</v>
      </c>
      <c r="P56" s="69" t="str">
        <f t="shared" si="43"/>
        <v>IN</v>
      </c>
    </row>
    <row r="57" spans="1:16" ht="28.35" customHeight="1">
      <c r="A57" s="70" t="str">
        <f t="shared" si="41"/>
        <v>L01</v>
      </c>
      <c r="B57" s="70" t="str">
        <f t="shared" si="42"/>
        <v>Muc 1.1</v>
      </c>
      <c r="C57" s="157">
        <f>IF(P57="IN",MAX($C$52:$C56)+1,0)</f>
        <v>5</v>
      </c>
      <c r="D57" s="83" t="s">
        <v>367</v>
      </c>
      <c r="E57" s="26" t="s">
        <v>368</v>
      </c>
      <c r="F57" s="79" t="s">
        <v>196</v>
      </c>
      <c r="G57" s="173" t="s">
        <v>369</v>
      </c>
      <c r="H57" s="173"/>
      <c r="I57" s="173" t="s">
        <v>366</v>
      </c>
      <c r="J57" s="150">
        <v>84</v>
      </c>
      <c r="K57" s="150"/>
      <c r="L57" s="150"/>
      <c r="M57" s="186"/>
      <c r="N57" s="179"/>
      <c r="O57" s="70">
        <f>IF(P57="IN",'BOM_Phan II'!$Y$3,"")</f>
        <v>1</v>
      </c>
      <c r="P57" s="69" t="str">
        <f t="shared" si="43"/>
        <v>IN</v>
      </c>
    </row>
    <row r="58" spans="1:16" ht="28.35" customHeight="1">
      <c r="A58" s="70" t="str">
        <f t="shared" si="41"/>
        <v>L01</v>
      </c>
      <c r="B58" s="70" t="str">
        <f t="shared" si="42"/>
        <v>Muc 1.1</v>
      </c>
      <c r="C58" s="157">
        <f>IF(P58="IN",MAX($C$52:$C57)+1,0)</f>
        <v>6</v>
      </c>
      <c r="D58" s="83" t="s">
        <v>370</v>
      </c>
      <c r="E58" s="26" t="s">
        <v>371</v>
      </c>
      <c r="F58" s="79" t="s">
        <v>196</v>
      </c>
      <c r="G58" s="173" t="s">
        <v>372</v>
      </c>
      <c r="H58" s="173"/>
      <c r="I58" s="173"/>
      <c r="J58" s="150"/>
      <c r="K58" s="150">
        <v>80</v>
      </c>
      <c r="L58" s="150"/>
      <c r="M58" s="186"/>
      <c r="N58" s="179"/>
      <c r="O58" s="70">
        <f>IF(P58="IN",'BOM_Phan II'!$Y$3,"")</f>
        <v>1</v>
      </c>
      <c r="P58" s="69" t="str">
        <f t="shared" si="43"/>
        <v>IN</v>
      </c>
    </row>
    <row r="59" spans="1:16" ht="28.35" customHeight="1">
      <c r="A59" s="70" t="str">
        <f t="shared" si="41"/>
        <v>L01</v>
      </c>
      <c r="B59" s="70" t="str">
        <f t="shared" si="42"/>
        <v>Muc 1.1</v>
      </c>
      <c r="C59" s="157">
        <f>IF(P59="IN",MAX($C$52:$C58)+1,0)</f>
        <v>7</v>
      </c>
      <c r="D59" s="83" t="s">
        <v>373</v>
      </c>
      <c r="E59" s="26" t="s">
        <v>374</v>
      </c>
      <c r="F59" s="79" t="s">
        <v>196</v>
      </c>
      <c r="G59" s="173" t="s">
        <v>375</v>
      </c>
      <c r="H59" s="173" t="s">
        <v>376</v>
      </c>
      <c r="I59" s="173"/>
      <c r="J59" s="150">
        <v>7</v>
      </c>
      <c r="K59" s="150"/>
      <c r="L59" s="150"/>
      <c r="M59" s="186"/>
      <c r="N59" s="179"/>
      <c r="O59" s="70">
        <f>IF(P59="IN",'BOM_Phan II'!$Y$3,"")</f>
        <v>1</v>
      </c>
      <c r="P59" s="69" t="str">
        <f t="shared" si="43"/>
        <v>IN</v>
      </c>
    </row>
    <row r="60" spans="1:16" ht="28.35" customHeight="1">
      <c r="A60" s="70" t="str">
        <f t="shared" si="38"/>
        <v>L01</v>
      </c>
      <c r="B60" s="70" t="str">
        <f t="shared" si="39"/>
        <v>Muc 1.1</v>
      </c>
      <c r="C60" s="157">
        <f>IF(P60="IN",MAX($C$52:$C59)+1,0)</f>
        <v>8</v>
      </c>
      <c r="D60" s="83" t="s">
        <v>377</v>
      </c>
      <c r="E60" s="26" t="s">
        <v>378</v>
      </c>
      <c r="F60" s="79" t="s">
        <v>379</v>
      </c>
      <c r="G60" s="173"/>
      <c r="H60" s="173"/>
      <c r="I60" s="173" t="s">
        <v>355</v>
      </c>
      <c r="J60" s="150">
        <v>1</v>
      </c>
      <c r="K60" s="150"/>
      <c r="L60" s="150"/>
      <c r="M60" s="186" t="s">
        <v>380</v>
      </c>
      <c r="N60" s="179"/>
      <c r="O60" s="70">
        <f>IF(P60="IN",'BOM_Phan II'!$Y$3,"")</f>
        <v>1</v>
      </c>
      <c r="P60" s="69" t="str">
        <f t="shared" si="40"/>
        <v>IN</v>
      </c>
    </row>
    <row r="61" spans="1:16" ht="28.35" customHeight="1">
      <c r="A61" s="70" t="str">
        <f t="shared" si="38"/>
        <v>L01</v>
      </c>
      <c r="B61" s="70" t="str">
        <f t="shared" si="39"/>
        <v>Muc 1.1</v>
      </c>
      <c r="C61" s="157">
        <f>IF(P61="IN",MAX($C$52:$C60)+1,0)</f>
        <v>9</v>
      </c>
      <c r="D61" s="83" t="s">
        <v>381</v>
      </c>
      <c r="E61" s="26" t="s">
        <v>382</v>
      </c>
      <c r="F61" s="79" t="s">
        <v>196</v>
      </c>
      <c r="G61" s="173" t="s">
        <v>383</v>
      </c>
      <c r="H61" s="173" t="s">
        <v>317</v>
      </c>
      <c r="I61" s="173" t="s">
        <v>384</v>
      </c>
      <c r="J61" s="150"/>
      <c r="K61" s="150">
        <v>4</v>
      </c>
      <c r="L61" s="150"/>
      <c r="M61" s="186" t="s">
        <v>385</v>
      </c>
      <c r="N61" s="179"/>
      <c r="O61" s="70">
        <f>IF(P61="IN",'BOM_Phan II'!$Y$3,"")</f>
        <v>1</v>
      </c>
      <c r="P61" s="69" t="str">
        <f t="shared" si="40"/>
        <v>IN</v>
      </c>
    </row>
    <row r="62" spans="1:16" ht="28.35" hidden="1" customHeight="1">
      <c r="A62" s="70" t="str">
        <f t="shared" si="38"/>
        <v/>
      </c>
      <c r="B62" s="70" t="str">
        <f t="shared" si="39"/>
        <v/>
      </c>
      <c r="C62" s="157">
        <f>IF(P62="IN",MAX($C$52:$C61)+1,0)</f>
        <v>0</v>
      </c>
      <c r="D62" s="83"/>
      <c r="E62" s="26"/>
      <c r="F62" s="79"/>
      <c r="G62" s="173"/>
      <c r="H62" s="173"/>
      <c r="I62" s="173"/>
      <c r="J62" s="150"/>
      <c r="K62" s="150"/>
      <c r="L62" s="150"/>
      <c r="M62" s="186"/>
      <c r="N62" s="179"/>
      <c r="O62" s="70" t="str">
        <f>IF(P62="IN",'BOM_Phan II'!$Y$3,"")</f>
        <v/>
      </c>
      <c r="P62" s="69" t="str">
        <f t="shared" si="40"/>
        <v/>
      </c>
    </row>
    <row r="63" spans="1:16" ht="28.35" hidden="1" customHeight="1">
      <c r="A63" s="70" t="str">
        <f t="shared" si="35"/>
        <v/>
      </c>
      <c r="B63" s="70" t="str">
        <f t="shared" si="36"/>
        <v/>
      </c>
      <c r="C63" s="157">
        <f>IF(P63="IN",MAX($C$52:$C62)+1,0)</f>
        <v>0</v>
      </c>
      <c r="D63" s="83"/>
      <c r="E63" s="26"/>
      <c r="F63" s="79"/>
      <c r="G63" s="173"/>
      <c r="H63" s="173"/>
      <c r="I63" s="173"/>
      <c r="J63" s="150"/>
      <c r="K63" s="150"/>
      <c r="L63" s="150"/>
      <c r="M63" s="186"/>
      <c r="N63" s="179"/>
      <c r="O63" s="70" t="str">
        <f>IF(P63="IN",'BOM_Phan II'!$Y$3,"")</f>
        <v/>
      </c>
      <c r="P63" s="69" t="str">
        <f t="shared" si="37"/>
        <v/>
      </c>
    </row>
    <row r="64" spans="1:16" ht="28.35" hidden="1" customHeight="1">
      <c r="A64" s="70" t="str">
        <f t="shared" ref="A64:A66" si="44">IF(P64="IN",$E$6,"")</f>
        <v/>
      </c>
      <c r="B64" s="70" t="str">
        <f t="shared" ref="B64:B66" si="45">IF(P64="IN","Muc "&amp;$E$7,"")</f>
        <v/>
      </c>
      <c r="C64" s="157">
        <f>IF(P64="IN",MAX($C$52:$C63)+1,0)</f>
        <v>0</v>
      </c>
      <c r="D64" s="83"/>
      <c r="E64" s="26"/>
      <c r="F64" s="79"/>
      <c r="G64" s="173"/>
      <c r="H64" s="173"/>
      <c r="I64" s="173"/>
      <c r="J64" s="150"/>
      <c r="K64" s="150"/>
      <c r="L64" s="150"/>
      <c r="M64" s="186"/>
      <c r="N64" s="260"/>
      <c r="O64" s="70" t="str">
        <f>IF(P64="IN",'BOM_Phan II'!$Y$3,"")</f>
        <v/>
      </c>
      <c r="P64" s="69" t="str">
        <f t="shared" ref="P64:P66" si="46">IF(OR(E64&lt;&gt;"",D64&lt;&gt;""),"IN","")</f>
        <v/>
      </c>
    </row>
    <row r="65" spans="1:21" ht="28.35" hidden="1" customHeight="1">
      <c r="A65" s="70" t="str">
        <f t="shared" si="44"/>
        <v/>
      </c>
      <c r="B65" s="70" t="str">
        <f t="shared" si="45"/>
        <v/>
      </c>
      <c r="C65" s="157">
        <f>IF(P65="IN",MAX($C$52:$C64)+1,0)</f>
        <v>0</v>
      </c>
      <c r="D65" s="83"/>
      <c r="E65" s="26"/>
      <c r="F65" s="79"/>
      <c r="G65" s="173"/>
      <c r="H65" s="173"/>
      <c r="I65" s="173"/>
      <c r="J65" s="150"/>
      <c r="K65" s="150"/>
      <c r="L65" s="150"/>
      <c r="M65" s="186"/>
      <c r="N65" s="179"/>
      <c r="O65" s="70" t="str">
        <f>IF(P65="IN",'BOM_Phan II'!$Y$3,"")</f>
        <v/>
      </c>
      <c r="P65" s="69" t="str">
        <f t="shared" si="46"/>
        <v/>
      </c>
    </row>
    <row r="66" spans="1:21" ht="28.35" hidden="1" customHeight="1">
      <c r="A66" s="70" t="str">
        <f t="shared" si="44"/>
        <v/>
      </c>
      <c r="B66" s="70" t="str">
        <f t="shared" si="45"/>
        <v/>
      </c>
      <c r="C66" s="157">
        <f>IF(P66="IN",MAX($C$52:$C65)+1,0)</f>
        <v>0</v>
      </c>
      <c r="D66" s="83"/>
      <c r="E66" s="26"/>
      <c r="F66" s="79"/>
      <c r="G66" s="173"/>
      <c r="H66" s="173"/>
      <c r="I66" s="173"/>
      <c r="J66" s="150"/>
      <c r="K66" s="150"/>
      <c r="L66" s="150"/>
      <c r="M66" s="186"/>
      <c r="N66" s="179"/>
      <c r="O66" s="70" t="str">
        <f>IF(P66="IN",'BOM_Phan II'!$Y$3,"")</f>
        <v/>
      </c>
      <c r="P66" s="69" t="str">
        <f t="shared" si="46"/>
        <v/>
      </c>
    </row>
    <row r="67" spans="1:21" ht="27" customHeight="1">
      <c r="A67" s="70" t="str">
        <f t="shared" ref="A67:A93" si="47">IF(P67="IN",$E$6,"")</f>
        <v>L01</v>
      </c>
      <c r="B67" s="70" t="str">
        <f t="shared" ref="B67:B93" si="48">IF(P67="IN","Muc "&amp;$E$7,"")</f>
        <v>Muc 1.1</v>
      </c>
      <c r="C67" s="156" t="s">
        <v>42</v>
      </c>
      <c r="D67" s="151" t="s">
        <v>55</v>
      </c>
      <c r="E67" s="168"/>
      <c r="F67" s="169"/>
      <c r="G67" s="175"/>
      <c r="H67" s="175"/>
      <c r="I67" s="175"/>
      <c r="J67" s="167"/>
      <c r="K67" s="167"/>
      <c r="L67" s="167"/>
      <c r="M67" s="188"/>
      <c r="N67" s="165"/>
      <c r="O67" s="70">
        <f>IF(P67="IN",'BOM_Phan II'!$Y$3,"")</f>
        <v>1</v>
      </c>
      <c r="P67" s="69" t="str">
        <f t="shared" ref="P67" si="49">IF(OR(E67&lt;&gt;"",D67&lt;&gt;""),"IN","")</f>
        <v>IN</v>
      </c>
      <c r="Q67" s="274" t="s">
        <v>192</v>
      </c>
      <c r="R67" s="274" t="s">
        <v>127</v>
      </c>
      <c r="S67" s="274" t="s">
        <v>194</v>
      </c>
      <c r="T67" s="274" t="s">
        <v>193</v>
      </c>
      <c r="U67" s="274" t="s">
        <v>187</v>
      </c>
    </row>
    <row r="68" spans="1:21" ht="31.35" hidden="1" customHeight="1">
      <c r="A68" s="70" t="str">
        <f t="shared" ref="A68:A77" si="50">IF(P68="IN",$E$6,"")</f>
        <v/>
      </c>
      <c r="B68" s="70" t="str">
        <f t="shared" ref="B68:B77" si="51">IF(P68="IN","Muc "&amp;$E$7,"")</f>
        <v/>
      </c>
      <c r="C68" s="295">
        <f>IF(P68="IN",MAX($C67:$C$67)+1,0)</f>
        <v>0</v>
      </c>
      <c r="D68" s="26"/>
      <c r="E68" s="26"/>
      <c r="F68" s="25"/>
      <c r="G68" s="174"/>
      <c r="H68" s="174"/>
      <c r="I68" s="174"/>
      <c r="J68" s="150"/>
      <c r="K68" s="150"/>
      <c r="L68" s="150"/>
      <c r="M68" s="189"/>
      <c r="N68" s="275" t="s">
        <v>217</v>
      </c>
      <c r="O68" s="70" t="str">
        <f>IF(P68="IN",'BOM_Phan II'!$Y$3,"")</f>
        <v/>
      </c>
      <c r="P68" s="69" t="str">
        <f>IF(OR(E68&lt;&gt;"",D68&lt;&gt;""),"IN","")</f>
        <v/>
      </c>
      <c r="Q68" s="272"/>
      <c r="R68" s="272"/>
      <c r="S68" s="272"/>
      <c r="T68" s="272"/>
      <c r="U68" s="68"/>
    </row>
    <row r="69" spans="1:21" ht="31.35" hidden="1" customHeight="1">
      <c r="A69" s="70" t="str">
        <f t="shared" si="50"/>
        <v/>
      </c>
      <c r="B69" s="70" t="str">
        <f t="shared" si="51"/>
        <v/>
      </c>
      <c r="C69" s="295">
        <f>IF(P69="IN",MAX($C$67:$C68)+1,0)</f>
        <v>0</v>
      </c>
      <c r="D69" s="26"/>
      <c r="E69" s="26"/>
      <c r="F69" s="25"/>
      <c r="G69" s="174"/>
      <c r="H69" s="174"/>
      <c r="I69" s="174"/>
      <c r="J69" s="150"/>
      <c r="K69" s="150"/>
      <c r="L69" s="150"/>
      <c r="M69" s="186"/>
      <c r="N69" s="275"/>
      <c r="O69" s="70" t="str">
        <f>IF(P69="IN",'BOM_Phan II'!$Y$3,"")</f>
        <v/>
      </c>
      <c r="P69" s="69" t="str">
        <f>IF(OR(E69&lt;&gt;"",D69&lt;&gt;""),"IN","")</f>
        <v/>
      </c>
      <c r="Q69" s="272"/>
      <c r="R69" s="272"/>
      <c r="S69" s="272"/>
      <c r="T69" s="272"/>
      <c r="U69" s="68"/>
    </row>
    <row r="70" spans="1:21" ht="31.35" hidden="1" customHeight="1">
      <c r="A70" s="70" t="str">
        <f t="shared" si="50"/>
        <v/>
      </c>
      <c r="B70" s="70" t="str">
        <f t="shared" si="51"/>
        <v/>
      </c>
      <c r="C70" s="295">
        <f>IF(P70="IN",MAX($C$67:$C69)+1,0)</f>
        <v>0</v>
      </c>
      <c r="D70" s="26"/>
      <c r="E70" s="26"/>
      <c r="F70" s="25"/>
      <c r="G70" s="174"/>
      <c r="H70" s="174"/>
      <c r="I70" s="174"/>
      <c r="J70" s="150"/>
      <c r="K70" s="150"/>
      <c r="L70" s="150"/>
      <c r="M70" s="186"/>
      <c r="N70" s="275"/>
      <c r="O70" s="70" t="str">
        <f>IF(P70="IN",'BOM_Phan II'!$Y$3,"")</f>
        <v/>
      </c>
      <c r="P70" s="69" t="str">
        <f t="shared" ref="P70" si="52">IF(OR(E70&lt;&gt;"",D70&lt;&gt;""),"IN","")</f>
        <v/>
      </c>
      <c r="Q70" s="272"/>
      <c r="R70" s="272"/>
      <c r="S70" s="272"/>
      <c r="T70" s="272"/>
      <c r="U70" s="68"/>
    </row>
    <row r="71" spans="1:21" ht="31.35" hidden="1" customHeight="1">
      <c r="A71" s="70" t="str">
        <f t="shared" si="50"/>
        <v/>
      </c>
      <c r="B71" s="70" t="str">
        <f t="shared" si="51"/>
        <v/>
      </c>
      <c r="C71" s="295">
        <f>IF(P71="IN",MAX($C$67:$C70)+1,0)</f>
        <v>0</v>
      </c>
      <c r="D71" s="26"/>
      <c r="E71" s="26"/>
      <c r="F71" s="25"/>
      <c r="G71" s="174"/>
      <c r="H71" s="174"/>
      <c r="I71" s="174"/>
      <c r="J71" s="150"/>
      <c r="K71" s="150"/>
      <c r="L71" s="150"/>
      <c r="M71" s="189"/>
      <c r="N71" s="275"/>
      <c r="O71" s="70" t="str">
        <f>IF(P71="IN",'BOM_Phan II'!$Y$3,"")</f>
        <v/>
      </c>
      <c r="P71" s="69" t="str">
        <f>IF(OR(E71&lt;&gt;"",D71&lt;&gt;""),"IN","")</f>
        <v/>
      </c>
      <c r="Q71" s="272"/>
      <c r="R71" s="272"/>
      <c r="S71" s="272"/>
      <c r="T71" s="272"/>
      <c r="U71" s="68"/>
    </row>
    <row r="72" spans="1:21" ht="31.35" hidden="1" customHeight="1">
      <c r="A72" s="70" t="str">
        <f t="shared" si="50"/>
        <v/>
      </c>
      <c r="B72" s="70" t="str">
        <f t="shared" si="51"/>
        <v/>
      </c>
      <c r="C72" s="295">
        <f>IF(P72="IN",MAX($C$67:$C71)+1,0)</f>
        <v>0</v>
      </c>
      <c r="D72" s="26"/>
      <c r="E72" s="26"/>
      <c r="F72" s="25"/>
      <c r="G72" s="174"/>
      <c r="H72" s="174"/>
      <c r="I72" s="174"/>
      <c r="J72" s="150"/>
      <c r="K72" s="150"/>
      <c r="L72" s="150"/>
      <c r="M72" s="186"/>
      <c r="N72" s="275"/>
      <c r="O72" s="70" t="str">
        <f>IF(P72="IN",'BOM_Phan II'!$Y$3,"")</f>
        <v/>
      </c>
      <c r="P72" s="69" t="str">
        <f>IF(OR(E72&lt;&gt;"",D72&lt;&gt;""),"IN","")</f>
        <v/>
      </c>
      <c r="Q72" s="272"/>
      <c r="R72" s="272"/>
      <c r="S72" s="272"/>
      <c r="T72" s="272"/>
      <c r="U72" s="68"/>
    </row>
    <row r="73" spans="1:21" ht="31.35" hidden="1" customHeight="1">
      <c r="A73" s="70" t="str">
        <f t="shared" si="50"/>
        <v/>
      </c>
      <c r="B73" s="70" t="str">
        <f t="shared" si="51"/>
        <v/>
      </c>
      <c r="C73" s="295">
        <f>IF(P73="IN",MAX($C$67:$C72)+1,0)</f>
        <v>0</v>
      </c>
      <c r="D73" s="26"/>
      <c r="E73" s="26"/>
      <c r="F73" s="25"/>
      <c r="G73" s="174"/>
      <c r="H73" s="174"/>
      <c r="I73" s="174"/>
      <c r="J73" s="150"/>
      <c r="K73" s="150"/>
      <c r="L73" s="150"/>
      <c r="M73" s="186"/>
      <c r="N73" s="275"/>
      <c r="O73" s="70" t="str">
        <f>IF(P73="IN",'BOM_Phan II'!$Y$3,"")</f>
        <v/>
      </c>
      <c r="P73" s="69" t="str">
        <f t="shared" ref="P73" si="53">IF(OR(E73&lt;&gt;"",D73&lt;&gt;""),"IN","")</f>
        <v/>
      </c>
      <c r="Q73" s="272"/>
      <c r="R73" s="272"/>
      <c r="S73" s="272"/>
      <c r="T73" s="272"/>
      <c r="U73" s="68"/>
    </row>
    <row r="74" spans="1:21" ht="31.35" hidden="1" customHeight="1">
      <c r="A74" s="70" t="str">
        <f t="shared" si="50"/>
        <v/>
      </c>
      <c r="B74" s="70" t="str">
        <f t="shared" si="51"/>
        <v/>
      </c>
      <c r="C74" s="295">
        <f>IF(P74="IN",MAX($C$67:$C73)+1,0)</f>
        <v>0</v>
      </c>
      <c r="D74" s="26"/>
      <c r="E74" s="26"/>
      <c r="F74" s="25"/>
      <c r="G74" s="174"/>
      <c r="H74" s="174"/>
      <c r="I74" s="174"/>
      <c r="J74" s="150"/>
      <c r="K74" s="150"/>
      <c r="L74" s="150"/>
      <c r="M74" s="189"/>
      <c r="N74" s="275"/>
      <c r="O74" s="70" t="str">
        <f>IF(P74="IN",'BOM_Phan II'!$Y$3,"")</f>
        <v/>
      </c>
      <c r="P74" s="69" t="str">
        <f>IF(OR(E74&lt;&gt;"",D74&lt;&gt;""),"IN","")</f>
        <v/>
      </c>
      <c r="Q74" s="272"/>
      <c r="R74" s="272"/>
      <c r="S74" s="272"/>
      <c r="T74" s="272"/>
      <c r="U74" s="68"/>
    </row>
    <row r="75" spans="1:21" ht="31.35" hidden="1" customHeight="1">
      <c r="A75" s="70" t="str">
        <f t="shared" si="50"/>
        <v/>
      </c>
      <c r="B75" s="70" t="str">
        <f t="shared" si="51"/>
        <v/>
      </c>
      <c r="C75" s="295">
        <f>IF(P75="IN",MAX($C$67:$C74)+1,0)</f>
        <v>0</v>
      </c>
      <c r="D75" s="26"/>
      <c r="E75" s="26"/>
      <c r="F75" s="25"/>
      <c r="G75" s="174"/>
      <c r="H75" s="174"/>
      <c r="I75" s="174"/>
      <c r="J75" s="150"/>
      <c r="K75" s="150"/>
      <c r="L75" s="150"/>
      <c r="M75" s="186"/>
      <c r="N75" s="275"/>
      <c r="O75" s="70" t="str">
        <f>IF(P75="IN",'BOM_Phan II'!$Y$3,"")</f>
        <v/>
      </c>
      <c r="P75" s="69" t="str">
        <f>IF(OR(E75&lt;&gt;"",D75&lt;&gt;""),"IN","")</f>
        <v/>
      </c>
      <c r="Q75" s="272"/>
      <c r="R75" s="272"/>
      <c r="S75" s="272"/>
      <c r="T75" s="272"/>
      <c r="U75" s="68"/>
    </row>
    <row r="76" spans="1:21" ht="31.35" hidden="1" customHeight="1">
      <c r="A76" s="70" t="str">
        <f t="shared" si="50"/>
        <v/>
      </c>
      <c r="B76" s="70" t="str">
        <f t="shared" si="51"/>
        <v/>
      </c>
      <c r="C76" s="295">
        <f>IF(P76="IN",MAX($C$67:$C75)+1,0)</f>
        <v>0</v>
      </c>
      <c r="D76" s="26"/>
      <c r="E76" s="26"/>
      <c r="F76" s="25"/>
      <c r="G76" s="174"/>
      <c r="H76" s="174"/>
      <c r="I76" s="174"/>
      <c r="J76" s="150"/>
      <c r="K76" s="150"/>
      <c r="L76" s="150"/>
      <c r="M76" s="186"/>
      <c r="N76" s="275"/>
      <c r="O76" s="70" t="str">
        <f>IF(P76="IN",'BOM_Phan II'!$Y$3,"")</f>
        <v/>
      </c>
      <c r="P76" s="69" t="str">
        <f t="shared" ref="P76:P77" si="54">IF(OR(E76&lt;&gt;"",D76&lt;&gt;""),"IN","")</f>
        <v/>
      </c>
      <c r="Q76" s="272"/>
      <c r="R76" s="272"/>
      <c r="S76" s="272"/>
      <c r="T76" s="272"/>
      <c r="U76" s="68"/>
    </row>
    <row r="77" spans="1:21" ht="31.35" hidden="1" customHeight="1">
      <c r="A77" s="70" t="str">
        <f t="shared" si="50"/>
        <v/>
      </c>
      <c r="B77" s="70" t="str">
        <f t="shared" si="51"/>
        <v/>
      </c>
      <c r="C77" s="295">
        <f>IF(P77="IN",MAX($C$67:$C76)+1,0)</f>
        <v>0</v>
      </c>
      <c r="D77" s="26"/>
      <c r="E77" s="26"/>
      <c r="F77" s="25"/>
      <c r="G77" s="174"/>
      <c r="H77" s="174"/>
      <c r="I77" s="174"/>
      <c r="J77" s="150"/>
      <c r="K77" s="150"/>
      <c r="L77" s="150"/>
      <c r="M77" s="186"/>
      <c r="N77" s="275"/>
      <c r="O77" s="70" t="str">
        <f>IF(P77="IN",'BOM_Phan II'!$Y$3,"")</f>
        <v/>
      </c>
      <c r="P77" s="69" t="str">
        <f t="shared" si="54"/>
        <v/>
      </c>
      <c r="Q77" s="272"/>
      <c r="R77" s="272"/>
      <c r="S77" s="272"/>
      <c r="T77" s="272"/>
      <c r="U77" s="68"/>
    </row>
    <row r="78" spans="1:21" ht="31.35" hidden="1" customHeight="1">
      <c r="A78" s="70" t="str">
        <f t="shared" si="47"/>
        <v/>
      </c>
      <c r="B78" s="70" t="str">
        <f t="shared" si="48"/>
        <v/>
      </c>
      <c r="C78" s="157">
        <f>IF(P78="IN",MAX($C$67:$C77)+1,0)</f>
        <v>0</v>
      </c>
      <c r="D78" s="26"/>
      <c r="E78" s="26"/>
      <c r="F78" s="25"/>
      <c r="G78" s="174"/>
      <c r="H78" s="174"/>
      <c r="I78" s="174"/>
      <c r="J78" s="150"/>
      <c r="K78" s="150"/>
      <c r="L78" s="150"/>
      <c r="M78" s="189"/>
      <c r="N78" s="275"/>
      <c r="O78" s="70" t="str">
        <f>IF(P78="IN",'BOM_Phan II'!$Y$3,"")</f>
        <v/>
      </c>
      <c r="P78" s="69" t="str">
        <f>IF(OR(E78&lt;&gt;"",D78&lt;&gt;""),"IN","")</f>
        <v/>
      </c>
      <c r="Q78" s="272"/>
      <c r="R78" s="272"/>
      <c r="S78" s="272"/>
      <c r="T78" s="272"/>
      <c r="U78" s="68"/>
    </row>
    <row r="79" spans="1:21" ht="31.35" hidden="1" customHeight="1">
      <c r="A79" s="70" t="str">
        <f t="shared" si="47"/>
        <v/>
      </c>
      <c r="B79" s="70" t="str">
        <f t="shared" si="48"/>
        <v/>
      </c>
      <c r="C79" s="157">
        <f>IF(P79="IN",MAX($C$67:$C78)+1,0)</f>
        <v>0</v>
      </c>
      <c r="D79" s="26"/>
      <c r="E79" s="26"/>
      <c r="F79" s="25"/>
      <c r="G79" s="174"/>
      <c r="H79" s="174"/>
      <c r="I79" s="174"/>
      <c r="J79" s="150"/>
      <c r="K79" s="150"/>
      <c r="L79" s="150"/>
      <c r="M79" s="186"/>
      <c r="N79" s="275"/>
      <c r="O79" s="70" t="str">
        <f>IF(P79="IN",'BOM_Phan II'!$Y$3,"")</f>
        <v/>
      </c>
      <c r="P79" s="69" t="str">
        <f>IF(OR(E79&lt;&gt;"",D79&lt;&gt;""),"IN","")</f>
        <v/>
      </c>
      <c r="Q79" s="272"/>
      <c r="R79" s="272"/>
      <c r="S79" s="272"/>
      <c r="T79" s="272"/>
      <c r="U79" s="68"/>
    </row>
    <row r="80" spans="1:21" ht="31.35" hidden="1" customHeight="1">
      <c r="A80" s="70" t="str">
        <f t="shared" si="47"/>
        <v/>
      </c>
      <c r="B80" s="70" t="str">
        <f t="shared" si="48"/>
        <v/>
      </c>
      <c r="C80" s="157">
        <f>IF(P80="IN",MAX($C$67:$C79)+1,0)</f>
        <v>0</v>
      </c>
      <c r="D80" s="26"/>
      <c r="E80" s="26"/>
      <c r="F80" s="25"/>
      <c r="G80" s="174"/>
      <c r="H80" s="174"/>
      <c r="I80" s="174"/>
      <c r="J80" s="150"/>
      <c r="K80" s="150"/>
      <c r="L80" s="150"/>
      <c r="M80" s="186"/>
      <c r="N80" s="275"/>
      <c r="O80" s="70" t="str">
        <f>IF(P80="IN",'BOM_Phan II'!$Y$3,"")</f>
        <v/>
      </c>
      <c r="P80" s="69" t="str">
        <f t="shared" ref="P80" si="55">IF(OR(E80&lt;&gt;"",D80&lt;&gt;""),"IN","")</f>
        <v/>
      </c>
      <c r="Q80" s="272"/>
      <c r="R80" s="272"/>
      <c r="S80" s="272"/>
      <c r="T80" s="272"/>
      <c r="U80" s="68"/>
    </row>
    <row r="81" spans="1:21" ht="31.35" hidden="1" customHeight="1">
      <c r="A81" s="70" t="str">
        <f t="shared" ref="A81:A87" si="56">IF(P81="IN",$E$6,"")</f>
        <v/>
      </c>
      <c r="B81" s="70" t="str">
        <f t="shared" ref="B81:B87" si="57">IF(P81="IN","Muc "&amp;$E$7,"")</f>
        <v/>
      </c>
      <c r="C81" s="157">
        <f>IF(P81="IN",MAX($C$67:$C80)+1,0)</f>
        <v>0</v>
      </c>
      <c r="D81" s="26"/>
      <c r="E81" s="26"/>
      <c r="F81" s="25"/>
      <c r="G81" s="174"/>
      <c r="H81" s="174"/>
      <c r="I81" s="174"/>
      <c r="J81" s="150"/>
      <c r="K81" s="150"/>
      <c r="L81" s="150"/>
      <c r="M81" s="189"/>
      <c r="N81" s="275"/>
      <c r="O81" s="70" t="str">
        <f>IF(P81="IN",'BOM_Phan II'!$Y$3,"")</f>
        <v/>
      </c>
      <c r="P81" s="69" t="str">
        <f>IF(OR(E81&lt;&gt;"",D81&lt;&gt;""),"IN","")</f>
        <v/>
      </c>
      <c r="Q81" s="272"/>
      <c r="R81" s="272"/>
      <c r="S81" s="272"/>
      <c r="T81" s="272"/>
      <c r="U81" s="68"/>
    </row>
    <row r="82" spans="1:21" ht="31.35" hidden="1" customHeight="1">
      <c r="A82" s="70" t="str">
        <f t="shared" si="56"/>
        <v/>
      </c>
      <c r="B82" s="70" t="str">
        <f t="shared" si="57"/>
        <v/>
      </c>
      <c r="C82" s="157">
        <f>IF(P82="IN",MAX($C$67:$C81)+1,0)</f>
        <v>0</v>
      </c>
      <c r="D82" s="26"/>
      <c r="E82" s="26"/>
      <c r="F82" s="25"/>
      <c r="G82" s="174"/>
      <c r="H82" s="174"/>
      <c r="I82" s="174"/>
      <c r="J82" s="150"/>
      <c r="K82" s="150"/>
      <c r="L82" s="150"/>
      <c r="M82" s="186"/>
      <c r="N82" s="275"/>
      <c r="O82" s="70" t="str">
        <f>IF(P82="IN",'BOM_Phan II'!$Y$3,"")</f>
        <v/>
      </c>
      <c r="P82" s="69" t="str">
        <f>IF(OR(E82&lt;&gt;"",D82&lt;&gt;""),"IN","")</f>
        <v/>
      </c>
      <c r="Q82" s="272"/>
      <c r="R82" s="272"/>
      <c r="S82" s="272"/>
      <c r="T82" s="272"/>
      <c r="U82" s="68"/>
    </row>
    <row r="83" spans="1:21" ht="31.35" hidden="1" customHeight="1">
      <c r="A83" s="70" t="str">
        <f t="shared" si="56"/>
        <v/>
      </c>
      <c r="B83" s="70" t="str">
        <f t="shared" si="57"/>
        <v/>
      </c>
      <c r="C83" s="157">
        <f>IF(P83="IN",MAX($C$67:$C82)+1,0)</f>
        <v>0</v>
      </c>
      <c r="D83" s="26"/>
      <c r="E83" s="26"/>
      <c r="F83" s="25"/>
      <c r="G83" s="174"/>
      <c r="H83" s="174"/>
      <c r="I83" s="174"/>
      <c r="J83" s="150"/>
      <c r="K83" s="150"/>
      <c r="L83" s="150"/>
      <c r="M83" s="186"/>
      <c r="N83" s="275"/>
      <c r="O83" s="70" t="str">
        <f>IF(P83="IN",'BOM_Phan II'!$Y$3,"")</f>
        <v/>
      </c>
      <c r="P83" s="69" t="str">
        <f t="shared" ref="P83" si="58">IF(OR(E83&lt;&gt;"",D83&lt;&gt;""),"IN","")</f>
        <v/>
      </c>
      <c r="Q83" s="272"/>
      <c r="R83" s="272"/>
      <c r="S83" s="272"/>
      <c r="T83" s="272"/>
      <c r="U83" s="68"/>
    </row>
    <row r="84" spans="1:21" ht="31.35" hidden="1" customHeight="1">
      <c r="A84" s="70" t="str">
        <f t="shared" si="56"/>
        <v/>
      </c>
      <c r="B84" s="70" t="str">
        <f t="shared" si="57"/>
        <v/>
      </c>
      <c r="C84" s="157">
        <f>IF(P84="IN",MAX($C$67:$C83)+1,0)</f>
        <v>0</v>
      </c>
      <c r="D84" s="26"/>
      <c r="E84" s="26"/>
      <c r="F84" s="25"/>
      <c r="G84" s="174"/>
      <c r="H84" s="174"/>
      <c r="I84" s="174"/>
      <c r="J84" s="150"/>
      <c r="K84" s="150"/>
      <c r="L84" s="150"/>
      <c r="M84" s="189"/>
      <c r="N84" s="275"/>
      <c r="O84" s="70" t="str">
        <f>IF(P84="IN",'BOM_Phan II'!$Y$3,"")</f>
        <v/>
      </c>
      <c r="P84" s="69" t="str">
        <f>IF(OR(E84&lt;&gt;"",D84&lt;&gt;""),"IN","")</f>
        <v/>
      </c>
      <c r="Q84" s="272"/>
      <c r="R84" s="272"/>
      <c r="S84" s="272"/>
      <c r="T84" s="272"/>
      <c r="U84" s="68"/>
    </row>
    <row r="85" spans="1:21" ht="31.35" hidden="1" customHeight="1">
      <c r="A85" s="70" t="str">
        <f t="shared" si="56"/>
        <v/>
      </c>
      <c r="B85" s="70" t="str">
        <f t="shared" si="57"/>
        <v/>
      </c>
      <c r="C85" s="157">
        <f>IF(P85="IN",MAX($C$67:$C84)+1,0)</f>
        <v>0</v>
      </c>
      <c r="D85" s="26"/>
      <c r="E85" s="26"/>
      <c r="F85" s="25"/>
      <c r="G85" s="174"/>
      <c r="H85" s="174"/>
      <c r="I85" s="174"/>
      <c r="J85" s="150"/>
      <c r="K85" s="150"/>
      <c r="L85" s="150"/>
      <c r="M85" s="186"/>
      <c r="N85" s="275"/>
      <c r="O85" s="70" t="str">
        <f>IF(P85="IN",'BOM_Phan II'!$Y$3,"")</f>
        <v/>
      </c>
      <c r="P85" s="69" t="str">
        <f>IF(OR(E85&lt;&gt;"",D85&lt;&gt;""),"IN","")</f>
        <v/>
      </c>
      <c r="Q85" s="272"/>
      <c r="R85" s="272"/>
      <c r="S85" s="272"/>
      <c r="T85" s="272"/>
      <c r="U85" s="68"/>
    </row>
    <row r="86" spans="1:21" ht="31.35" hidden="1" customHeight="1">
      <c r="A86" s="70" t="str">
        <f t="shared" si="56"/>
        <v/>
      </c>
      <c r="B86" s="70" t="str">
        <f t="shared" si="57"/>
        <v/>
      </c>
      <c r="C86" s="157">
        <f>IF(P86="IN",MAX($C$67:$C85)+1,0)</f>
        <v>0</v>
      </c>
      <c r="D86" s="26"/>
      <c r="E86" s="26"/>
      <c r="F86" s="25"/>
      <c r="G86" s="174"/>
      <c r="H86" s="174"/>
      <c r="I86" s="174"/>
      <c r="J86" s="150"/>
      <c r="K86" s="150"/>
      <c r="L86" s="150"/>
      <c r="M86" s="186"/>
      <c r="N86" s="275"/>
      <c r="O86" s="70" t="str">
        <f>IF(P86="IN",'BOM_Phan II'!$Y$3,"")</f>
        <v/>
      </c>
      <c r="P86" s="69" t="str">
        <f t="shared" ref="P86:P87" si="59">IF(OR(E86&lt;&gt;"",D86&lt;&gt;""),"IN","")</f>
        <v/>
      </c>
      <c r="Q86" s="272"/>
      <c r="R86" s="272"/>
      <c r="S86" s="272"/>
      <c r="T86" s="272"/>
      <c r="U86" s="68"/>
    </row>
    <row r="87" spans="1:21" ht="31.35" hidden="1" customHeight="1">
      <c r="A87" s="70" t="str">
        <f t="shared" si="56"/>
        <v/>
      </c>
      <c r="B87" s="70" t="str">
        <f t="shared" si="57"/>
        <v/>
      </c>
      <c r="C87" s="157">
        <f>IF(P87="IN",MAX($C$67:$C86)+1,0)</f>
        <v>0</v>
      </c>
      <c r="D87" s="26"/>
      <c r="E87" s="26"/>
      <c r="F87" s="25"/>
      <c r="G87" s="174"/>
      <c r="H87" s="174"/>
      <c r="I87" s="174"/>
      <c r="J87" s="150"/>
      <c r="K87" s="150"/>
      <c r="L87" s="150"/>
      <c r="M87" s="186"/>
      <c r="N87" s="275"/>
      <c r="O87" s="70" t="str">
        <f>IF(P87="IN",'BOM_Phan II'!$Y$3,"")</f>
        <v/>
      </c>
      <c r="P87" s="69" t="str">
        <f t="shared" si="59"/>
        <v/>
      </c>
      <c r="Q87" s="272"/>
      <c r="R87" s="272"/>
      <c r="S87" s="272"/>
      <c r="T87" s="272"/>
      <c r="U87" s="68"/>
    </row>
    <row r="88" spans="1:21" ht="31.35" hidden="1" customHeight="1">
      <c r="A88" s="70" t="str">
        <f t="shared" ref="A88:A90" si="60">IF(P88="IN",$E$6,"")</f>
        <v/>
      </c>
      <c r="B88" s="70" t="str">
        <f t="shared" ref="B88:B90" si="61">IF(P88="IN","Muc "&amp;$E$7,"")</f>
        <v/>
      </c>
      <c r="C88" s="157">
        <f>IF(P88="IN",MAX($C$67:$C87)+1,0)</f>
        <v>0</v>
      </c>
      <c r="D88" s="26"/>
      <c r="E88" s="26"/>
      <c r="F88" s="25"/>
      <c r="G88" s="174"/>
      <c r="H88" s="174"/>
      <c r="I88" s="174"/>
      <c r="J88" s="150"/>
      <c r="K88" s="150"/>
      <c r="L88" s="150"/>
      <c r="M88" s="189"/>
      <c r="N88" s="275"/>
      <c r="O88" s="70" t="str">
        <f>IF(P88="IN",'BOM_Phan II'!$Y$3,"")</f>
        <v/>
      </c>
      <c r="P88" s="69" t="str">
        <f>IF(OR(E88&lt;&gt;"",D88&lt;&gt;""),"IN","")</f>
        <v/>
      </c>
      <c r="Q88" s="272"/>
      <c r="R88" s="272"/>
      <c r="S88" s="272"/>
      <c r="T88" s="272"/>
      <c r="U88" s="68"/>
    </row>
    <row r="89" spans="1:21" ht="31.35" hidden="1" customHeight="1">
      <c r="A89" s="70" t="str">
        <f t="shared" si="60"/>
        <v/>
      </c>
      <c r="B89" s="70" t="str">
        <f t="shared" si="61"/>
        <v/>
      </c>
      <c r="C89" s="157">
        <f>IF(P89="IN",MAX($C$67:$C88)+1,0)</f>
        <v>0</v>
      </c>
      <c r="D89" s="26"/>
      <c r="E89" s="26"/>
      <c r="F89" s="25"/>
      <c r="G89" s="174"/>
      <c r="H89" s="174"/>
      <c r="I89" s="174"/>
      <c r="J89" s="150"/>
      <c r="K89" s="150"/>
      <c r="L89" s="150"/>
      <c r="M89" s="186"/>
      <c r="N89" s="275"/>
      <c r="O89" s="70" t="str">
        <f>IF(P89="IN",'BOM_Phan II'!$Y$3,"")</f>
        <v/>
      </c>
      <c r="P89" s="69" t="str">
        <f>IF(OR(E89&lt;&gt;"",D89&lt;&gt;""),"IN","")</f>
        <v/>
      </c>
      <c r="Q89" s="272"/>
      <c r="R89" s="272"/>
      <c r="S89" s="272"/>
      <c r="T89" s="272"/>
      <c r="U89" s="68"/>
    </row>
    <row r="90" spans="1:21" ht="31.35" hidden="1" customHeight="1">
      <c r="A90" s="70" t="str">
        <f t="shared" si="60"/>
        <v/>
      </c>
      <c r="B90" s="70" t="str">
        <f t="shared" si="61"/>
        <v/>
      </c>
      <c r="C90" s="157">
        <f>IF(P90="IN",MAX($C$67:$C89)+1,0)</f>
        <v>0</v>
      </c>
      <c r="D90" s="26"/>
      <c r="E90" s="26"/>
      <c r="F90" s="25"/>
      <c r="G90" s="174"/>
      <c r="H90" s="174"/>
      <c r="I90" s="174"/>
      <c r="J90" s="150"/>
      <c r="K90" s="150"/>
      <c r="L90" s="150"/>
      <c r="M90" s="186"/>
      <c r="N90" s="275"/>
      <c r="O90" s="70" t="str">
        <f>IF(P90="IN",'BOM_Phan II'!$Y$3,"")</f>
        <v/>
      </c>
      <c r="P90" s="69" t="str">
        <f t="shared" ref="P90" si="62">IF(OR(E90&lt;&gt;"",D90&lt;&gt;""),"IN","")</f>
        <v/>
      </c>
      <c r="Q90" s="272"/>
      <c r="R90" s="272"/>
      <c r="S90" s="272"/>
      <c r="T90" s="272"/>
      <c r="U90" s="68"/>
    </row>
    <row r="91" spans="1:21" ht="31.35" hidden="1" customHeight="1">
      <c r="A91" s="70" t="str">
        <f t="shared" si="47"/>
        <v/>
      </c>
      <c r="B91" s="70" t="str">
        <f t="shared" si="48"/>
        <v/>
      </c>
      <c r="C91" s="157">
        <f>IF(P91="IN",MAX($C$67:$C90)+1,0)</f>
        <v>0</v>
      </c>
      <c r="D91" s="26"/>
      <c r="E91" s="26"/>
      <c r="F91" s="25"/>
      <c r="G91" s="174"/>
      <c r="H91" s="174"/>
      <c r="I91" s="174"/>
      <c r="J91" s="150"/>
      <c r="K91" s="150"/>
      <c r="L91" s="150"/>
      <c r="M91" s="189"/>
      <c r="N91" s="275"/>
      <c r="O91" s="70" t="str">
        <f>IF(P91="IN",'BOM_Phan II'!$Y$3,"")</f>
        <v/>
      </c>
      <c r="P91" s="69" t="str">
        <f>IF(OR(E91&lt;&gt;"",D91&lt;&gt;""),"IN","")</f>
        <v/>
      </c>
      <c r="Q91" s="272"/>
      <c r="R91" s="272"/>
      <c r="S91" s="272"/>
      <c r="T91" s="272"/>
      <c r="U91" s="68"/>
    </row>
    <row r="92" spans="1:21" ht="31.35" hidden="1" customHeight="1">
      <c r="A92" s="70" t="str">
        <f t="shared" si="47"/>
        <v/>
      </c>
      <c r="B92" s="70" t="str">
        <f t="shared" si="48"/>
        <v/>
      </c>
      <c r="C92" s="157">
        <f>IF(P92="IN",MAX($C$67:$C91)+1,0)</f>
        <v>0</v>
      </c>
      <c r="D92" s="26"/>
      <c r="E92" s="26"/>
      <c r="F92" s="25"/>
      <c r="G92" s="174"/>
      <c r="H92" s="174"/>
      <c r="I92" s="174"/>
      <c r="J92" s="150"/>
      <c r="K92" s="150"/>
      <c r="L92" s="150"/>
      <c r="M92" s="186"/>
      <c r="N92" s="275"/>
      <c r="O92" s="70" t="str">
        <f>IF(P92="IN",'BOM_Phan II'!$Y$3,"")</f>
        <v/>
      </c>
      <c r="P92" s="69" t="str">
        <f>IF(OR(E92&lt;&gt;"",D92&lt;&gt;""),"IN","")</f>
        <v/>
      </c>
      <c r="Q92" s="272"/>
      <c r="R92" s="272"/>
      <c r="S92" s="272"/>
      <c r="T92" s="272"/>
      <c r="U92" s="68"/>
    </row>
    <row r="93" spans="1:21" ht="31.35" hidden="1" customHeight="1">
      <c r="A93" s="70" t="str">
        <f t="shared" si="47"/>
        <v/>
      </c>
      <c r="B93" s="70" t="str">
        <f t="shared" si="48"/>
        <v/>
      </c>
      <c r="C93" s="157">
        <f>IF(P93="IN",MAX($C$67:$C92)+1,0)</f>
        <v>0</v>
      </c>
      <c r="D93" s="26"/>
      <c r="E93" s="26"/>
      <c r="F93" s="25"/>
      <c r="G93" s="174"/>
      <c r="H93" s="174"/>
      <c r="I93" s="174"/>
      <c r="J93" s="150"/>
      <c r="K93" s="150"/>
      <c r="L93" s="150"/>
      <c r="M93" s="186"/>
      <c r="N93" s="275"/>
      <c r="O93" s="70" t="str">
        <f>IF(P93="IN",'BOM_Phan II'!$Y$3,"")</f>
        <v/>
      </c>
      <c r="P93" s="69" t="str">
        <f t="shared" ref="P93" si="63">IF(OR(E93&lt;&gt;"",D93&lt;&gt;""),"IN","")</f>
        <v/>
      </c>
      <c r="Q93" s="272"/>
      <c r="R93" s="272"/>
      <c r="S93" s="272"/>
      <c r="T93" s="272"/>
      <c r="U93" s="68"/>
    </row>
    <row r="94" spans="1:21" ht="31.35" hidden="1" customHeight="1">
      <c r="A94" s="70" t="str">
        <f t="shared" ref="A94" si="64">IF(P94="IN",$E$6,"")</f>
        <v/>
      </c>
      <c r="B94" s="70" t="str">
        <f t="shared" ref="B94" si="65">IF(P94="IN","Muc "&amp;$E$7,"")</f>
        <v/>
      </c>
      <c r="C94" s="157">
        <f>IF(P94="IN",MAX($C$67:$C93)+1,0)</f>
        <v>0</v>
      </c>
      <c r="D94" s="26"/>
      <c r="E94" s="26"/>
      <c r="F94" s="25"/>
      <c r="G94" s="174"/>
      <c r="H94" s="174"/>
      <c r="I94" s="174"/>
      <c r="J94" s="150"/>
      <c r="K94" s="150"/>
      <c r="L94" s="150"/>
      <c r="M94" s="189"/>
      <c r="N94" s="275"/>
      <c r="O94" s="70" t="str">
        <f>IF(P94="IN",'BOM_Phan II'!$Y$3,"")</f>
        <v/>
      </c>
      <c r="P94" s="69" t="str">
        <f>IF(OR(E94&lt;&gt;"",D94&lt;&gt;""),"IN","")</f>
        <v/>
      </c>
      <c r="Q94" s="272"/>
      <c r="R94" s="272"/>
      <c r="S94" s="272"/>
      <c r="T94" s="272"/>
      <c r="U94" s="68"/>
    </row>
    <row r="95" spans="1:21" ht="31.35" hidden="1" customHeight="1">
      <c r="A95" s="70" t="str">
        <f t="shared" ref="A95:A97" si="66">IF(P95="IN",$E$6,"")</f>
        <v/>
      </c>
      <c r="B95" s="70" t="str">
        <f t="shared" ref="B95:B97" si="67">IF(P95="IN","Muc "&amp;$E$7,"")</f>
        <v/>
      </c>
      <c r="C95" s="157">
        <f>IF(P95="IN",MAX($C$67:$C94)+1,0)</f>
        <v>0</v>
      </c>
      <c r="D95" s="26"/>
      <c r="E95" s="26"/>
      <c r="F95" s="25"/>
      <c r="G95" s="174"/>
      <c r="H95" s="174"/>
      <c r="I95" s="174"/>
      <c r="J95" s="150"/>
      <c r="K95" s="150"/>
      <c r="L95" s="150"/>
      <c r="M95" s="186"/>
      <c r="N95" s="275"/>
      <c r="O95" s="70" t="str">
        <f>IF(P95="IN",'BOM_Phan II'!$Y$3,"")</f>
        <v/>
      </c>
      <c r="P95" s="69" t="str">
        <f>IF(OR(E95&lt;&gt;"",D95&lt;&gt;""),"IN","")</f>
        <v/>
      </c>
      <c r="Q95" s="272"/>
      <c r="R95" s="272"/>
      <c r="S95" s="272"/>
      <c r="T95" s="272"/>
      <c r="U95" s="68"/>
    </row>
    <row r="96" spans="1:21" ht="31.35" hidden="1" customHeight="1">
      <c r="A96" s="70" t="str">
        <f t="shared" si="66"/>
        <v/>
      </c>
      <c r="B96" s="70" t="str">
        <f t="shared" si="67"/>
        <v/>
      </c>
      <c r="C96" s="157">
        <f>IF(P96="IN",MAX($C$67:$C95)+1,0)</f>
        <v>0</v>
      </c>
      <c r="D96" s="26"/>
      <c r="E96" s="26"/>
      <c r="F96" s="25"/>
      <c r="G96" s="174"/>
      <c r="H96" s="174"/>
      <c r="I96" s="174"/>
      <c r="J96" s="150"/>
      <c r="K96" s="150"/>
      <c r="L96" s="150"/>
      <c r="M96" s="186"/>
      <c r="N96" s="275"/>
      <c r="O96" s="70" t="str">
        <f>IF(P96="IN",'BOM_Phan II'!$Y$3,"")</f>
        <v/>
      </c>
      <c r="P96" s="69" t="str">
        <f t="shared" ref="P96:P97" si="68">IF(OR(E96&lt;&gt;"",D96&lt;&gt;""),"IN","")</f>
        <v/>
      </c>
      <c r="Q96" s="272"/>
      <c r="R96" s="272"/>
      <c r="S96" s="272"/>
      <c r="T96" s="272"/>
      <c r="U96" s="68"/>
    </row>
    <row r="97" spans="1:21" ht="31.35" hidden="1" customHeight="1">
      <c r="A97" s="70" t="str">
        <f t="shared" si="66"/>
        <v/>
      </c>
      <c r="B97" s="70" t="str">
        <f t="shared" si="67"/>
        <v/>
      </c>
      <c r="C97" s="157">
        <f>IF(P97="IN",MAX($C$67:$C96)+1,0)</f>
        <v>0</v>
      </c>
      <c r="D97" s="26"/>
      <c r="E97" s="26"/>
      <c r="F97" s="25"/>
      <c r="G97" s="174"/>
      <c r="H97" s="174"/>
      <c r="I97" s="174"/>
      <c r="J97" s="150"/>
      <c r="K97" s="150"/>
      <c r="L97" s="150"/>
      <c r="M97" s="186"/>
      <c r="N97" s="275"/>
      <c r="O97" s="70" t="str">
        <f>IF(P97="IN",'BOM_Phan II'!$Y$3,"")</f>
        <v/>
      </c>
      <c r="P97" s="69" t="str">
        <f t="shared" si="68"/>
        <v/>
      </c>
      <c r="Q97" s="272"/>
      <c r="R97" s="272"/>
      <c r="S97" s="272"/>
      <c r="T97" s="272"/>
      <c r="U97" s="68"/>
    </row>
    <row r="98" spans="1:21" ht="32.25" customHeight="1">
      <c r="C98" s="9"/>
      <c r="D98" s="11"/>
      <c r="E98" s="11"/>
      <c r="F98" s="9"/>
      <c r="G98" s="9"/>
      <c r="H98" s="9"/>
      <c r="I98" s="9"/>
      <c r="J98" s="17"/>
      <c r="K98" s="17"/>
      <c r="L98" s="17"/>
      <c r="M98" s="17"/>
      <c r="N98" s="11"/>
      <c r="O98" s="113"/>
      <c r="P98" s="69" t="s">
        <v>75</v>
      </c>
    </row>
    <row r="99" spans="1:21" ht="32.25" customHeight="1">
      <c r="C99" s="7"/>
      <c r="D99" s="7"/>
      <c r="E99" s="7"/>
      <c r="F99" s="7"/>
      <c r="G99" s="7"/>
      <c r="H99" s="7"/>
      <c r="I99" s="7"/>
      <c r="J99" s="64" t="str">
        <f ca="1">'BOM_Phan II'!P236</f>
        <v>Ngày 17 tháng 6 năm 2026</v>
      </c>
      <c r="K99" s="170"/>
      <c r="L99" s="170"/>
      <c r="M99" s="170"/>
      <c r="N99" s="11"/>
      <c r="O99" s="113"/>
      <c r="P99" s="69" t="s">
        <v>75</v>
      </c>
    </row>
    <row r="100" spans="1:21" ht="32.25" customHeight="1">
      <c r="C100" s="42"/>
      <c r="D100" s="71" t="str">
        <f>'BOM_Phan II'!G237</f>
        <v>Kiểm duyệt</v>
      </c>
      <c r="E100" s="38"/>
      <c r="F100" s="38"/>
      <c r="G100" s="38"/>
      <c r="H100" s="38"/>
      <c r="I100" s="38"/>
      <c r="J100" s="71" t="str">
        <f>+'BOM_Phan II'!P237</f>
        <v>Người Lập</v>
      </c>
      <c r="K100" s="74"/>
      <c r="L100" s="74"/>
      <c r="M100" s="74"/>
      <c r="N100" s="72"/>
      <c r="O100" s="114"/>
      <c r="P100" s="69" t="s">
        <v>75</v>
      </c>
    </row>
    <row r="101" spans="1:21" ht="32.25" customHeight="1">
      <c r="C101" s="42"/>
      <c r="D101" s="73"/>
      <c r="E101" s="38"/>
      <c r="F101" s="38"/>
      <c r="G101" s="38"/>
      <c r="H101" s="38"/>
      <c r="I101" s="38"/>
      <c r="J101" s="74"/>
      <c r="K101" s="74"/>
      <c r="L101" s="74"/>
      <c r="M101" s="74"/>
      <c r="N101" s="72"/>
      <c r="O101" s="114"/>
      <c r="P101" s="69" t="s">
        <v>75</v>
      </c>
    </row>
    <row r="102" spans="1:21" ht="32.25" customHeight="1">
      <c r="C102" s="42"/>
      <c r="D102" s="73"/>
      <c r="E102" s="38"/>
      <c r="F102" s="38"/>
      <c r="G102" s="38"/>
      <c r="H102" s="38"/>
      <c r="I102" s="38"/>
      <c r="J102" s="74"/>
      <c r="K102" s="74"/>
      <c r="L102" s="74"/>
      <c r="M102" s="74"/>
      <c r="N102" s="72"/>
      <c r="O102" s="114"/>
      <c r="P102" s="69" t="s">
        <v>75</v>
      </c>
    </row>
    <row r="103" spans="1:21" ht="32.25" customHeight="1">
      <c r="C103" s="42"/>
      <c r="D103" s="38"/>
      <c r="E103" s="8"/>
      <c r="F103" s="7"/>
      <c r="G103" s="7"/>
      <c r="H103" s="75"/>
      <c r="I103" s="75"/>
      <c r="J103" s="74"/>
      <c r="K103" s="74"/>
      <c r="L103" s="74"/>
      <c r="M103" s="74"/>
      <c r="N103" s="76"/>
      <c r="O103" s="115"/>
      <c r="P103" s="69" t="s">
        <v>75</v>
      </c>
    </row>
    <row r="104" spans="1:21" ht="32.25" customHeight="1">
      <c r="C104" s="99"/>
      <c r="D104" s="71" t="str">
        <f>'BOM_Phan II'!G241</f>
        <v xml:space="preserve"> Đỗ Hồng Thái</v>
      </c>
      <c r="E104" s="77"/>
      <c r="F104" s="77"/>
      <c r="G104" s="77"/>
      <c r="H104" s="77"/>
      <c r="I104" s="77"/>
      <c r="J104" s="71" t="str">
        <f>'BOM_Phan II'!P241</f>
        <v>Nguyễn Tân Hồng</v>
      </c>
      <c r="K104" s="74"/>
      <c r="L104" s="74"/>
      <c r="M104" s="74"/>
      <c r="N104" s="78"/>
      <c r="O104" s="116"/>
      <c r="P104" s="69" t="s">
        <v>75</v>
      </c>
    </row>
    <row r="105" spans="1:21" ht="32.25" customHeight="1">
      <c r="D105" s="14"/>
      <c r="E105" s="15"/>
      <c r="F105" s="15"/>
      <c r="N105" s="15"/>
      <c r="O105" s="15"/>
      <c r="P105" s="15"/>
    </row>
    <row r="106" spans="1:21" ht="15">
      <c r="D106" s="11"/>
      <c r="E106" s="423"/>
      <c r="F106" s="423"/>
      <c r="G106" s="9"/>
      <c r="H106" s="9"/>
      <c r="I106" s="9"/>
      <c r="J106" s="9"/>
      <c r="K106" s="9"/>
      <c r="L106" s="9"/>
      <c r="M106" s="9"/>
    </row>
  </sheetData>
  <sheetProtection formatCells="0" formatColumns="0" formatRows="0" insertHyperlinks="0" sort="0" autoFilter="0" pivotTables="0"/>
  <autoFilter ref="C11:P104" xr:uid="{E5AC22C1-90CF-4775-BD0C-4FDCF714855C}">
    <filterColumn colId="13">
      <customFilters>
        <customFilter operator="notEqual" val=" "/>
      </customFilters>
    </filterColumn>
  </autoFilter>
  <dataConsolidate/>
  <mergeCells count="25">
    <mergeCell ref="L1:N1"/>
    <mergeCell ref="L2:N2"/>
    <mergeCell ref="L3:N3"/>
    <mergeCell ref="E1:J3"/>
    <mergeCell ref="J10:L10"/>
    <mergeCell ref="N10:N11"/>
    <mergeCell ref="O10:O11"/>
    <mergeCell ref="A10:A11"/>
    <mergeCell ref="B10:B11"/>
    <mergeCell ref="C9:N9"/>
    <mergeCell ref="E106:F106"/>
    <mergeCell ref="C10:C11"/>
    <mergeCell ref="D10:D11"/>
    <mergeCell ref="E10:E11"/>
    <mergeCell ref="F10:F11"/>
    <mergeCell ref="G10:G11"/>
    <mergeCell ref="H10:H11"/>
    <mergeCell ref="I10:I11"/>
    <mergeCell ref="M10:M11"/>
    <mergeCell ref="C8:D8"/>
    <mergeCell ref="C1:D3"/>
    <mergeCell ref="C4:D4"/>
    <mergeCell ref="C5:D5"/>
    <mergeCell ref="C6:D6"/>
    <mergeCell ref="C7:D7"/>
  </mergeCells>
  <phoneticPr fontId="24" type="noConversion"/>
  <conditionalFormatting sqref="C12:N34 C52:N52 C35:M35 N54:N63 C53:M53 D36:M50 D51:N51 C36:C51 D65:N66 D54:M64 C54:C66 C67:N97">
    <cfRule type="cellIs" dxfId="59" priority="22" operator="equal">
      <formula>"LỖI DỮ LIỆU"</formula>
    </cfRule>
  </conditionalFormatting>
  <conditionalFormatting sqref="A1:XFD34 A52:XFD52 O53:XFD53 O64:XFD64 A35:M35 O35:XFD50 N54:XFD63 A53:M53 D36:M50 D51:XFD51 A36:C51 D65:XFD66 D54:M64 A54:C66 A67:XFD1048576">
    <cfRule type="expression" dxfId="58" priority="14">
      <formula>AND(ROW()=CELL("row"),COLUMN()=CELL("col"))</formula>
    </cfRule>
  </conditionalFormatting>
  <conditionalFormatting sqref="C10:N34 C52:N52 C35:M35 N54:N63 C53:M53 D36:M50 D51:N51 C36:C51 D65:N66 D54:M64 C54:C66 C67:N105">
    <cfRule type="expression" dxfId="57" priority="15">
      <formula>OR(ROW()=CELL("row"),COLUMN()=CELL("col"))</formula>
    </cfRule>
  </conditionalFormatting>
  <conditionalFormatting sqref="E53:E64">
    <cfRule type="duplicateValues" dxfId="56" priority="72"/>
  </conditionalFormatting>
  <conditionalFormatting sqref="E23:E52 E65:E97">
    <cfRule type="duplicateValues" dxfId="55" priority="84"/>
  </conditionalFormatting>
  <dataValidations count="1">
    <dataValidation allowBlank="1" showInputMessage="1" showErrorMessage="1" promptTitle="Auto Input" prompt="Không nhập dữ liệu cạnh nếu không có gì đặc biệt" sqref="E13:E22" xr:uid="{7B2D7C66-BF49-457F-97DE-4B1B56909F4E}"/>
  </dataValidations>
  <printOptions horizontalCentered="1"/>
  <pageMargins left="0" right="0" top="0.25" bottom="0.25" header="0" footer="0"/>
  <pageSetup paperSize="9" scale="55" orientation="landscape" r:id="rId2"/>
  <headerFooter scaleWithDoc="0" alignWithMargins="0">
    <oddFooter>Page &amp;P of &amp;N</oddFooter>
  </headerFooter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B2E4A-2C12-4062-9E54-8E095F4E340C}">
  <sheetPr codeName="Sheet4" filterMode="1">
    <tabColor rgb="FFFFFF00"/>
  </sheetPr>
  <dimension ref="A1:AA1413"/>
  <sheetViews>
    <sheetView zoomScale="70" zoomScaleNormal="70" zoomScaleSheetLayoutView="85" workbookViewId="0">
      <pane xSplit="2" ySplit="12" topLeftCell="C26" activePane="bottomRight" state="frozen"/>
      <selection pane="topRight" activeCell="C1" sqref="C1"/>
      <selection pane="bottomLeft" activeCell="A13" sqref="A13"/>
      <selection pane="bottomRight" activeCell="H1410" sqref="H1410"/>
    </sheetView>
  </sheetViews>
  <sheetFormatPr defaultColWidth="4.7109375" defaultRowHeight="25.35" customHeight="1"/>
  <cols>
    <col min="1" max="1" width="9.42578125" style="3" customWidth="1"/>
    <col min="2" max="2" width="11.42578125" style="3" customWidth="1"/>
    <col min="3" max="3" width="14" style="14" customWidth="1"/>
    <col min="4" max="4" width="10.42578125" style="3" customWidth="1"/>
    <col min="5" max="5" width="39.85546875" style="3" customWidth="1"/>
    <col min="6" max="6" width="11.85546875" style="14" customWidth="1"/>
    <col min="7" max="8" width="11.85546875" style="15" customWidth="1"/>
    <col min="9" max="9" width="10.7109375" style="15" customWidth="1"/>
    <col min="10" max="10" width="20.42578125" style="15" customWidth="1"/>
    <col min="11" max="11" width="12.42578125" style="15" customWidth="1"/>
    <col min="12" max="12" width="13.28515625" style="15" customWidth="1"/>
    <col min="13" max="13" width="12.28515625" style="15" customWidth="1"/>
    <col min="14" max="14" width="11.42578125" style="15" customWidth="1"/>
    <col min="15" max="15" width="21.85546875" style="3" customWidth="1"/>
    <col min="16" max="16" width="13" style="3" customWidth="1"/>
    <col min="17" max="17" width="23.140625" style="3" customWidth="1"/>
    <col min="18" max="18" width="4.42578125" style="3" customWidth="1"/>
    <col min="19" max="19" width="8.42578125" style="3" customWidth="1"/>
    <col min="20" max="20" width="5.28515625" style="3" customWidth="1"/>
    <col min="21" max="21" width="7" style="3" customWidth="1"/>
    <col min="22" max="22" width="10.7109375" style="3" customWidth="1"/>
    <col min="23" max="23" width="8.42578125" style="3" bestFit="1" customWidth="1"/>
    <col min="24" max="24" width="16.28515625" style="3" customWidth="1"/>
    <col min="25" max="25" width="4.7109375" style="3"/>
    <col min="26" max="26" width="19.42578125" style="3" customWidth="1"/>
    <col min="27" max="27" width="35.7109375" style="3" customWidth="1"/>
    <col min="28" max="16384" width="4.7109375" style="3"/>
  </cols>
  <sheetData>
    <row r="1" spans="1:27" ht="21" customHeight="1">
      <c r="C1" s="405"/>
      <c r="D1" s="406"/>
      <c r="E1" s="432" t="s">
        <v>82</v>
      </c>
      <c r="F1" s="433"/>
      <c r="G1" s="433"/>
      <c r="H1" s="433"/>
      <c r="I1" s="433"/>
      <c r="J1" s="433"/>
      <c r="K1" s="434"/>
      <c r="L1" s="152" t="str">
        <f>'BOM_Phan II'!$P$1</f>
        <v>Số hiệu:</v>
      </c>
      <c r="M1" s="338" t="s">
        <v>44</v>
      </c>
      <c r="N1" s="339"/>
      <c r="O1" s="339"/>
      <c r="P1" s="339"/>
      <c r="Q1" s="401"/>
      <c r="R1" s="269" t="s">
        <v>190</v>
      </c>
      <c r="S1" s="213" t="s">
        <v>191</v>
      </c>
    </row>
    <row r="2" spans="1:27" ht="24" customHeight="1">
      <c r="C2" s="407"/>
      <c r="D2" s="408"/>
      <c r="E2" s="435"/>
      <c r="F2" s="436"/>
      <c r="G2" s="436"/>
      <c r="H2" s="436"/>
      <c r="I2" s="436"/>
      <c r="J2" s="436"/>
      <c r="K2" s="437"/>
      <c r="L2" s="68" t="str">
        <f>'BOM_Phan II'!$P$2</f>
        <v>Lần ban hành:</v>
      </c>
      <c r="M2" s="429"/>
      <c r="N2" s="430"/>
      <c r="O2" s="430"/>
      <c r="P2" s="430"/>
      <c r="Q2" s="431"/>
      <c r="R2" s="111"/>
    </row>
    <row r="3" spans="1:27" ht="28.5" customHeight="1">
      <c r="C3" s="409"/>
      <c r="D3" s="410"/>
      <c r="E3" s="438"/>
      <c r="F3" s="439"/>
      <c r="G3" s="439"/>
      <c r="H3" s="439"/>
      <c r="I3" s="439"/>
      <c r="J3" s="439"/>
      <c r="K3" s="440"/>
      <c r="L3" s="68" t="str">
        <f>'BOM_Phan II'!$P$3</f>
        <v>Ngày hiệu lực:</v>
      </c>
      <c r="M3" s="429"/>
      <c r="N3" s="430"/>
      <c r="O3" s="430"/>
      <c r="P3" s="430"/>
      <c r="Q3" s="431"/>
      <c r="R3" s="112"/>
    </row>
    <row r="4" spans="1:27" ht="20.100000000000001" customHeight="1">
      <c r="C4" s="411" t="str">
        <f>'BOM_Phan II'!$C$4:$E$4</f>
        <v>Dự án :</v>
      </c>
      <c r="D4" s="412"/>
      <c r="E4" s="119" t="str">
        <f>'BOM_Phan II'!E4</f>
        <v>LAGOME_BURNLEY MALTINGS</v>
      </c>
      <c r="F4" s="88"/>
      <c r="G4" s="122"/>
      <c r="H4" s="122"/>
      <c r="I4" s="122"/>
      <c r="J4" s="122"/>
      <c r="K4" s="119" t="str">
        <f>'BOM_Phan II'!$O$4</f>
        <v>Đơn hàng :</v>
      </c>
      <c r="L4" s="119" t="str">
        <f>'BOM_Phan II'!P4</f>
        <v>2573_LAGOME_CT07</v>
      </c>
      <c r="M4" s="89"/>
      <c r="N4" s="176"/>
      <c r="O4" s="176"/>
      <c r="P4" s="294" t="str">
        <f>IF(COUNTIF(P5:P500, "&gt;25") &gt; 0, "VƯỢT KL", "")</f>
        <v>VƯỢT KL</v>
      </c>
      <c r="Q4" s="153"/>
    </row>
    <row r="5" spans="1:27" ht="20.100000000000001" customHeight="1" thickBot="1">
      <c r="C5" s="413" t="str">
        <f>'BOM_Phan II'!$C$5:$E$5</f>
        <v>Tên Sản phẩm:</v>
      </c>
      <c r="D5" s="414"/>
      <c r="E5" s="107" t="str">
        <f>'BOM_Phan II'!E5</f>
        <v>Laundry_ (TH 11)</v>
      </c>
      <c r="F5" s="90"/>
      <c r="G5" s="124"/>
      <c r="H5" s="124"/>
      <c r="I5" s="124"/>
      <c r="J5" s="124"/>
      <c r="K5" s="120" t="str">
        <f>'BOM_Phan II'!$O$5</f>
        <v>Kích thước :</v>
      </c>
      <c r="L5" s="120" t="str">
        <f>'BOM_Phan II'!P5</f>
        <v>Theo bản vẽ</v>
      </c>
      <c r="M5" s="91"/>
      <c r="N5" s="177"/>
      <c r="O5" s="177"/>
      <c r="P5" s="177"/>
      <c r="Q5" s="154"/>
    </row>
    <row r="6" spans="1:27" ht="19.5" customHeight="1">
      <c r="C6" s="415" t="str">
        <f>'BOM_Phan II'!$C$6:$E$6</f>
        <v>Mã sản phẩm :</v>
      </c>
      <c r="D6" s="416"/>
      <c r="E6" s="107" t="str">
        <f>'BOM_Phan II'!E6</f>
        <v>L01</v>
      </c>
      <c r="F6" s="90"/>
      <c r="G6" s="124"/>
      <c r="H6" s="124"/>
      <c r="I6" s="124"/>
      <c r="J6" s="124"/>
      <c r="K6" s="120" t="str">
        <f>'BOM_Phan II'!$O$6</f>
        <v>Số lượng :</v>
      </c>
      <c r="L6" s="120" t="str">
        <f>'BOM_Phan II'!P6</f>
        <v>1 Hệ</v>
      </c>
      <c r="M6" s="91"/>
      <c r="N6" s="177"/>
      <c r="O6" s="177"/>
      <c r="P6" s="177"/>
      <c r="Q6" s="154"/>
      <c r="S6" s="444">
        <v>750</v>
      </c>
      <c r="V6" s="266" t="s">
        <v>186</v>
      </c>
    </row>
    <row r="7" spans="1:27" ht="20.100000000000001" customHeight="1" thickBot="1">
      <c r="C7" s="415" t="str">
        <f>'BOM_Phan II'!C7:$E$7</f>
        <v>Mục số :</v>
      </c>
      <c r="D7" s="416"/>
      <c r="E7" s="107">
        <f>'BOM_Phan II'!E7</f>
        <v>1.1000000000000001</v>
      </c>
      <c r="F7" s="90"/>
      <c r="G7" s="124"/>
      <c r="H7" s="124"/>
      <c r="I7" s="124"/>
      <c r="J7" s="124"/>
      <c r="K7" s="120" t="str">
        <f>'BOM_Phan II'!$O$7</f>
        <v>Kết cấu :</v>
      </c>
      <c r="L7" s="120" t="str">
        <f>'BOM_Phan II'!P7</f>
        <v>Theo module và giao rời</v>
      </c>
      <c r="M7" s="91"/>
      <c r="N7" s="177"/>
      <c r="O7" s="177"/>
      <c r="P7" s="177"/>
      <c r="Q7" s="154"/>
      <c r="S7" s="445"/>
    </row>
    <row r="8" spans="1:27" ht="20.100000000000001" customHeight="1">
      <c r="C8" s="403" t="str">
        <f>'BOM_Phan II'!$C$8:$E$8</f>
        <v>Vật liệu:</v>
      </c>
      <c r="D8" s="404"/>
      <c r="E8" s="118" t="str">
        <f>'BOM_Phan II'!E8</f>
        <v xml:space="preserve">PB E1 chống ẩm 2M Melamine MEL1: MS 024T
</v>
      </c>
      <c r="F8" s="96"/>
      <c r="G8" s="126"/>
      <c r="H8" s="126"/>
      <c r="I8" s="126"/>
      <c r="J8" s="126"/>
      <c r="K8" s="118" t="str">
        <f>'BOM_Phan II'!$O$8</f>
        <v>Hoàn thiện :</v>
      </c>
      <c r="L8" s="118" t="str">
        <f>'BOM_Phan II'!P8</f>
        <v>MEL01,Đồng màu MEL1</v>
      </c>
      <c r="M8" s="97"/>
      <c r="N8" s="178"/>
      <c r="O8" s="178"/>
      <c r="P8" s="178"/>
      <c r="Q8" s="155"/>
    </row>
    <row r="9" spans="1:27" ht="20.100000000000001" customHeight="1" thickBot="1">
      <c r="C9" s="420"/>
      <c r="D9" s="421"/>
      <c r="E9" s="421"/>
      <c r="F9" s="421"/>
      <c r="G9" s="421"/>
      <c r="H9" s="421"/>
      <c r="I9" s="421"/>
      <c r="J9" s="421"/>
      <c r="K9" s="421"/>
      <c r="L9" s="421"/>
      <c r="M9" s="421"/>
      <c r="N9" s="421"/>
      <c r="O9" s="421"/>
      <c r="P9" s="421"/>
      <c r="Q9" s="422"/>
      <c r="R9" s="159"/>
    </row>
    <row r="10" spans="1:27" ht="18.75">
      <c r="A10" s="418" t="s">
        <v>73</v>
      </c>
      <c r="B10" s="418" t="s">
        <v>74</v>
      </c>
      <c r="C10" s="424" t="s">
        <v>111</v>
      </c>
      <c r="D10" s="301" t="s">
        <v>10</v>
      </c>
      <c r="E10" s="317" t="s">
        <v>43</v>
      </c>
      <c r="F10" s="317" t="s">
        <v>1</v>
      </c>
      <c r="G10" s="309"/>
      <c r="H10" s="309"/>
      <c r="I10" s="398" t="s">
        <v>68</v>
      </c>
      <c r="J10" s="427" t="s">
        <v>112</v>
      </c>
      <c r="K10" s="441" t="s">
        <v>113</v>
      </c>
      <c r="L10" s="441"/>
      <c r="M10" s="441"/>
      <c r="N10" s="427" t="s">
        <v>68</v>
      </c>
      <c r="O10" s="427" t="s">
        <v>114</v>
      </c>
      <c r="P10" s="427" t="s">
        <v>115</v>
      </c>
      <c r="Q10" s="442" t="s">
        <v>83</v>
      </c>
      <c r="R10" s="417" t="s">
        <v>78</v>
      </c>
    </row>
    <row r="11" spans="1:27" ht="28.5">
      <c r="A11" s="419"/>
      <c r="B11" s="419"/>
      <c r="C11" s="425"/>
      <c r="D11" s="302"/>
      <c r="E11" s="426"/>
      <c r="F11" s="101" t="s">
        <v>18</v>
      </c>
      <c r="G11" s="101" t="s">
        <v>19</v>
      </c>
      <c r="H11" s="101" t="s">
        <v>20</v>
      </c>
      <c r="I11" s="399"/>
      <c r="J11" s="399"/>
      <c r="K11" s="148" t="s">
        <v>18</v>
      </c>
      <c r="L11" s="149" t="s">
        <v>19</v>
      </c>
      <c r="M11" s="147" t="s">
        <v>20</v>
      </c>
      <c r="N11" s="428"/>
      <c r="O11" s="428"/>
      <c r="P11" s="428"/>
      <c r="Q11" s="443"/>
      <c r="R11" s="417"/>
      <c r="S11" s="31" t="s">
        <v>56</v>
      </c>
    </row>
    <row r="12" spans="1:27" ht="27" customHeight="1" thickBot="1">
      <c r="A12" s="70" t="str">
        <f t="shared" ref="A12:A75" si="0">IF(S12="IN",$E$6,"")</f>
        <v>L01</v>
      </c>
      <c r="B12" s="70" t="str">
        <f t="shared" ref="B12:B75" si="1">IF(S12="IN","Muc "&amp;$E$7,"")</f>
        <v>Muc 1.1</v>
      </c>
      <c r="C12" s="207" t="s">
        <v>118</v>
      </c>
      <c r="D12" s="257" t="s">
        <v>116</v>
      </c>
      <c r="E12" s="208" t="s">
        <v>117</v>
      </c>
      <c r="F12" s="209"/>
      <c r="G12" s="210"/>
      <c r="H12" s="210"/>
      <c r="I12" s="210"/>
      <c r="J12" s="209"/>
      <c r="K12" s="209"/>
      <c r="L12" s="209"/>
      <c r="M12" s="209"/>
      <c r="N12" s="211"/>
      <c r="O12" s="211"/>
      <c r="P12" s="211"/>
      <c r="Q12" s="212"/>
      <c r="R12" s="70">
        <f>IF(S12="IN",'BOM_Phan II'!$Y$3,"")</f>
        <v>1</v>
      </c>
      <c r="S12" s="69" t="str">
        <f t="shared" ref="S12:S75" si="2">IF(OR(E12&lt;&gt;"",D12&lt;&gt;""),"IN","")</f>
        <v>IN</v>
      </c>
      <c r="T12"/>
      <c r="U12" s="213" t="s">
        <v>122</v>
      </c>
      <c r="W12" s="266"/>
      <c r="X12" s="268" t="s">
        <v>188</v>
      </c>
      <c r="Y12" s="268"/>
      <c r="Z12" s="267" t="s">
        <v>189</v>
      </c>
    </row>
    <row r="13" spans="1:27" ht="27" customHeight="1">
      <c r="A13" s="70" t="str">
        <f t="shared" si="0"/>
        <v>L01</v>
      </c>
      <c r="B13" s="70" t="str">
        <f t="shared" si="1"/>
        <v>Muc 1.1</v>
      </c>
      <c r="C13" s="204" t="str" cm="1">
        <f t="array" ref="C13">IF(D13="","",
    IF(AND(ISNUMBER(D13), D13=INT(D13)),
        $V$6 &amp; " " &amp; (IFERROR(MAX($Y$12:$Y12), 0) + 1),
        IF(ISNUMBER(SEARCH(".", D13)), "", INDEX($C$12:$C13, MATCH(2, 1/($C$12:$C13 &lt;&gt; ""))))
    )
)</f>
        <v>KIỆN 1</v>
      </c>
      <c r="D13" s="206" cm="1">
        <f t="array" ref="D13:D53">_xlfn.LET(
    _xlpm.Data_PhanII, 'BOM_Phan II'!C13:C199,
    _xlpm.Cond_PhanII, ('BOM_Phan II'!$X$13:$X$199=1) + ('BOM_Phan II'!$X$13:$X$199=2),
    _xlpm.Filtered_PhanII, _xlfn._xlws.FILTER(_xlpm.Data_PhanII, _xlpm.Cond_PhanII, ""),
    _xlpm.Data_PhanIII, 'BOM_Phan III'!C13:C500,
    _xlpm.Cond_PhanIII, ('BOM_Phan III'!$U$13:$U$500=1) + ('BOM_Phan III'!$U$13:$U$500=2),
    _xlpm.Filtered_PhanIII, _xlfn._xlws.FILTER(_xlpm.Data_PhanIII, _xlpm.Cond_PhanIII, ""),
    _xlpm.Combined_Data, _xlfn.VSTACK(_xlpm.Filtered_PhanII, _xlpm.Filtered_PhanIII),
    IF(_xlpm.Combined_Data = 0, "", _xlpm.Combined_Data)
)</f>
        <v>1</v>
      </c>
      <c r="E13" s="206" t="str">
        <f>IF(AA13 = "", "",
    IF(ISNUMBER(SEARCH("Kiện", C13)),
       " GÓI " &amp; COUNTIF($C$13:C13, "*Kiện*") &amp; "/" &amp; COUNTIF($C$13:$C$1000, "*Kiện*") &amp; " " &amp; AA13,
       AA13)
)</f>
        <v xml:space="preserve"> GÓI 1/14 P1.A - HONG</v>
      </c>
      <c r="F13" s="206" t="str" cm="1">
        <f t="array" ref="F13:F53">_xlfn.LET(
    _xlpm.Data_PhanII, 'BOM_Phan II'!E13:E199,
    _xlpm.Cond_PhanII, ('BOM_Phan II'!$X$13:$X$199=1) + ('BOM_Phan II'!$X$13:$X$199=2),
    _xlpm.Filtered_PhanII, _xlfn._xlws.FILTER(_xlpm.Data_PhanII, _xlpm.Cond_PhanII, ""),
    _xlpm.Data_PhanIII, 'BOM_Phan III'!Q13:Q500,
    _xlpm.Cond_PhanIII, ('BOM_Phan III'!$U$13:$U$500=1) + ('BOM_Phan III'!$U$13:$U$500=2),
    _xlpm.Filtered_PhanIII, _xlfn._xlws.FILTER(_xlpm.Data_PhanIII, _xlpm.Cond_PhanIII, ""),
    _xlpm.Combined_Data, _xlfn.VSTACK(_xlpm.Filtered_PhanII, _xlpm.Filtered_PhanIII),
    IF(_xlpm.Combined_Data = 0, "", _xlpm.Combined_Data)
)</f>
        <v/>
      </c>
      <c r="G13" s="206" t="str" cm="1">
        <f t="array" ref="G13:G53">_xlfn.LET(
    _xlpm.Data_PhanII, 'BOM_Phan II'!F13:F199,
    _xlpm.Cond_PhanII, ('BOM_Phan II'!$X$13:$X$199=1) + ('BOM_Phan II'!$X$13:$X$199=2),
    _xlpm.Filtered_PhanII, _xlfn._xlws.FILTER(_xlpm.Data_PhanII, _xlpm.Cond_PhanII, ""),
    _xlpm.Data_PhanIII, 'BOM_Phan III'!R13:R500,
    _xlpm.Cond_PhanIII, ('BOM_Phan III'!$U$13:$U$500=1) + ('BOM_Phan III'!$U$13:$U$500=2),
    _xlpm.Filtered_PhanIII, _xlfn._xlws.FILTER(_xlpm.Data_PhanIII, _xlpm.Cond_PhanIII, ""),
    _xlpm.Combined_Data, _xlfn.VSTACK(_xlpm.Filtered_PhanII, _xlpm.Filtered_PhanIII),
    IF(_xlpm.Combined_Data = 0, "", _xlpm.Combined_Data)
)</f>
        <v/>
      </c>
      <c r="H13" s="206" t="str" cm="1">
        <f t="array" ref="H13:H53">_xlfn.LET(
    _xlpm.Data_PhanII, 'BOM_Phan II'!G13:G199,
    _xlpm.Cond_PhanII, ('BOM_Phan II'!$X$13:$X$199=1) + ('BOM_Phan II'!$X$13:$X$199=2),
    _xlpm.Filtered_PhanII, _xlfn._xlws.FILTER(_xlpm.Data_PhanII, _xlpm.Cond_PhanII, ""),
    _xlpm.Data_PhanIII, 'BOM_Phan III'!S13:S500,
    _xlpm.Cond_PhanIII, ('BOM_Phan III'!$U$13:$U$500=1) + ('BOM_Phan III'!$U$13:$U$500=2),
    _xlpm.Filtered_PhanIII, _xlfn._xlws.FILTER(_xlpm.Data_PhanIII, _xlpm.Cond_PhanIII, ""),
    _xlpm.Combined_Data, _xlfn.VSTACK(_xlpm.Filtered_PhanII, _xlpm.Filtered_PhanIII),
    IF(_xlpm.Combined_Data = 0, "", _xlpm.Combined_Data)
)</f>
        <v/>
      </c>
      <c r="I13" s="206" cm="1">
        <f t="array" ref="I13:I53">_xlfn.LET(
    _xlpm.Data_PhanII, 'BOM_Phan II'!H13:H199,
    _xlpm.Cond_PhanII, ('BOM_Phan II'!$X$13:$X$199=1) + ('BOM_Phan II'!$X$13:$X$199=2),
    _xlpm.Filtered_PhanII, _xlfn._xlws.FILTER(_xlpm.Data_PhanII, _xlpm.Cond_PhanII, ""),
    _xlpm.Data_PhanIII, 'BOM_Phan III'!T13:T500,
    _xlpm.Cond_PhanIII, ('BOM_Phan III'!$U$13:$U$500=1) + ('BOM_Phan III'!$U$13:$U$500=2),
    _xlpm.Filtered_PhanIII, _xlfn._xlws.FILTER(_xlpm.Data_PhanIII, _xlpm.Cond_PhanIII, ""),
    _xlpm.Combined_Data, _xlfn.VSTACK(_xlpm.Filtered_PhanII, _xlpm.Filtered_PhanIII),
    IF(_xlpm.Combined_Data = 0, "", _xlpm.Combined_Data)
)</f>
        <v>1</v>
      </c>
      <c r="J13" s="206" t="str">
        <f t="shared" ref="J13:J76" si="3">IF(C13&lt;&gt;"",C13&amp;"_"&amp;$E$6,"")</f>
        <v>KIỆN 1_L01</v>
      </c>
      <c r="K13" s="206">
        <v>82</v>
      </c>
      <c r="L13" s="206">
        <v>597</v>
      </c>
      <c r="M13" s="206">
        <v>2328</v>
      </c>
      <c r="N13" s="206">
        <f t="shared" ref="N13" si="4">IF(C13&lt;&gt;"",I13,"")</f>
        <v>1</v>
      </c>
      <c r="O13" s="206" t="s">
        <v>218</v>
      </c>
      <c r="P13" s="84">
        <f>IFERROR(IF(C13&lt;&gt;"",SUMIFS($V$13:$V$969,$U$13:$U$969,C13)*$S$6,V13*$S$6),"")</f>
        <v>29.905584000000001</v>
      </c>
      <c r="Q13" s="205" t="str" cm="1">
        <f t="array" ref="Q13:Q53">_xlfn.LET(
    _xlpm.Data_PhanII, 'BOM_Phan II'!O13:O199,
    _xlpm.Cond_PhanII, ('BOM_Phan II'!$X$13:$X$199=1) + ('BOM_Phan II'!$X$13:$X$199=2),
    _xlpm.Filtered_PhanII, _xlfn._xlws.FILTER(_xlpm.Data_PhanII, _xlpm.Cond_PhanII, ""),
    _xlpm.Data_PhanIII, 'BOM_Phan III'!N13:N500,
    _xlpm.Cond_PhanIII, ('BOM_Phan III'!$U$13:$U$500=1) + ('BOM_Phan III'!$U$13:$U$500=2),
    _xlpm.Filtered_PhanIII, _xlfn._xlws.FILTER(_xlpm.Data_PhanIII, _xlpm.Cond_PhanIII, ""),
    _xlpm.Combined_Data, _xlfn.VSTACK(_xlpm.Filtered_PhanII, _xlpm.Filtered_PhanIII),
    IF(_xlpm.Combined_Data = 0, "", _xlpm.Combined_Data)
)</f>
        <v>GIAO RỜI</v>
      </c>
      <c r="R13" s="70">
        <f>IF(S13="IN",'BOM_Phan II'!$Y$3,"")</f>
        <v>1</v>
      </c>
      <c r="S13" s="69" t="str">
        <f t="shared" si="2"/>
        <v>IN</v>
      </c>
      <c r="T13">
        <f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3</v>
      </c>
      <c r="U13" t="str">
        <f>$C$13</f>
        <v>KIỆN 1</v>
      </c>
      <c r="V13" t="str">
        <f>IFERROR(IF(AND(C13="", OR($W13="1", $W13="2")), IF(I13="", "", F13*G13*H13*I13/10^9), ""), "")</f>
        <v/>
      </c>
      <c r="W13" s="266" t="str" cm="1">
        <f t="array" ref="W13:W52">SUBSTITUTE(_xlfn._xlws.FILTER('BOM_Phan II'!X13:X269, ('BOM_Phan II'!$X$13:$X$269=1) + ('BOM_Phan II'!$X$13:$X$269=2), ""), 0, "")</f>
        <v>2</v>
      </c>
      <c r="X13" s="266" t="str" cm="1">
        <f t="array" ref="X13:X53">_xlfn.LET(
    _xlpm.Data_PhanII, 'BOM_Phan II'!I13:I199,
    _xlpm.Cond_PhanII, ('BOM_Phan II'!$X$13:$X$199=1) + ('BOM_Phan II'!$X$13:$X$199=2),
    _xlpm.Filtered_PhanII, _xlfn._xlws.FILTER(_xlpm.Data_PhanII, _xlpm.Cond_PhanII, ""),
    _xlpm.Data_PhanIII, 'BOM_Phan III'!H13:H500,
    _xlpm.Cond_PhanIII, ('BOM_Phan III'!$U$13:$U$500=1) + ('BOM_Phan III'!$U$13:$U$500=2),
    _xlpm.Filtered_PhanIII, _xlfn._xlws.FILTER(_xlpm.Data_PhanIII, _xlpm.Cond_PhanIII, ""),
    _xlpm.Combined_Data, _xlfn.VSTACK(_xlpm.Filtered_PhanII, _xlpm.Filtered_PhanIII),
    IF(_xlpm.Combined_Data = 0, "", _xlpm.Combined_Data)
)</f>
        <v/>
      </c>
      <c r="Y13" s="266">
        <f t="shared" ref="Y13:Y76" si="5">IFERROR(VALUE(RIGHT(C13,LEN(C13)-5)),"")</f>
        <v>1</v>
      </c>
      <c r="Z13" s="266">
        <v>2</v>
      </c>
      <c r="AA13" s="270" t="str" cm="1">
        <f t="array" ref="AA13:AA53">_xlfn.LET(
    _xlpm.Data_PhanII, 'BOM_Phan II'!D13:D199,
    _xlpm.Cond_PhanII, ('BOM_Phan II'!$X$13:$X$199=1) + ('BOM_Phan II'!$X$13:$X$199=2),
    _xlpm.Filtered_PhanII, _xlfn._xlws.FILTER(_xlpm.Data_PhanII, _xlpm.Cond_PhanII, ""),
    _xlpm.Data_PhanIII, 'BOM_Phan III'!E13:E500,
    _xlpm.Cond_PhanIII, ('BOM_Phan III'!$U$13:$U$500=1) + ('BOM_Phan III'!$U$13:$U$500=2),
    _xlpm.Filtered_PhanIII, _xlfn._xlws.FILTER(_xlpm.Data_PhanIII, _xlpm.Cond_PhanIII, ""),
    _xlpm.Combined_Data, _xlfn.VSTACK(_xlpm.Filtered_PhanII, _xlpm.Filtered_PhanIII),
    IF(_xlpm.Combined_Data = 0, "", _xlpm.Combined_Data)
)</f>
        <v>P1.A - HONG</v>
      </c>
    </row>
    <row r="14" spans="1:27" ht="27" customHeight="1">
      <c r="A14" s="70" t="str">
        <f t="shared" si="0"/>
        <v>L01</v>
      </c>
      <c r="B14" s="70" t="str">
        <f t="shared" si="1"/>
        <v>Muc 1.1</v>
      </c>
      <c r="C14" s="204" t="str" cm="1">
        <f t="array" ref="C14">IF(D14="","",
    IF(AND(ISNUMBER(D14), D14=INT(D14)),
        $V$6 &amp; " " &amp; (IFERROR(MAX($Y$12:$Y13), 0) + 1),
        IF(ISNUMBER(SEARCH(".", D14)), "", INDEX($C$12:$C14, MATCH(2, 1/($C$12:$C14 &lt;&gt; ""))))
    )
)</f>
        <v/>
      </c>
      <c r="D14" s="206" t="str">
        <v>1.1</v>
      </c>
      <c r="E14" s="206" t="str">
        <f>IF(AA14 = "", "",
    IF(ISNUMBER(SEARCH("Kiện", C14)),
       " GÓI " &amp; COUNTIF($C$13:C14, "*Kiện*") &amp; "/" &amp; COUNTIF($C$13:$C$1000, "*Kiện*") &amp; " " &amp; AA14,
       AA14)
)</f>
        <v>Hông trái_01_001</v>
      </c>
      <c r="F14" s="206">
        <v>16</v>
      </c>
      <c r="G14" s="206">
        <v>547</v>
      </c>
      <c r="H14" s="206">
        <v>2278</v>
      </c>
      <c r="I14" s="206">
        <v>1</v>
      </c>
      <c r="J14" s="206" t="str">
        <f t="shared" si="3"/>
        <v/>
      </c>
      <c r="K14" s="206" t="str">
        <f t="shared" ref="K14:K77" si="6">IFERROR(IF($C14&lt;&gt;"",IF($T$13=1,F14+20,IF($T$13=2,F14+20,IF($T$13=3,F14+50,IF($T$13=4,F14+40,IF($T$13=5,F14+50,IF($T$13=51,F14+50,IF($T$13=6,F14+50,IF($T$13=7,F14+50,"")))))))),""),"")</f>
        <v/>
      </c>
      <c r="L14" s="206" t="str">
        <f t="shared" ref="L14:L77" si="7">IFERROR(IF($C14&lt;&gt;"",IF($T$13=1,G14+20,IF($T$13=2,G14+20,IF($T$13=3,G14+50,IF($T$13=4,G14+40,IF($T$13=5,G14+50,IF($T$13=51,G14+50,IF($T$13=6,G14+50,IF($T$13=7,G14+50,"")))))))),""),"")</f>
        <v/>
      </c>
      <c r="M14" s="206" t="str">
        <f t="shared" ref="M14:M77" si="8">IFERROR(IF($C14&lt;&gt;"",IF($T$13=1,H14+20,IF($T$13=2,H14+20,IF($T$13=3,H14+70,IF($T$13=4,H14+40,IF($T$13=5,H14+50,IF($T$13=51,H14+150,IF($T$13=6,H14+50,IF($T$13=7,H14+50,"")))))))),""),"")</f>
        <v/>
      </c>
      <c r="N14" s="206" t="str">
        <f t="shared" ref="N14:N77" si="9">IF(C14&lt;&gt;"",I14,"")</f>
        <v/>
      </c>
      <c r="O14" s="206" t="str">
        <f t="shared" ref="O14:O77" si="10">IF(C14&lt;&gt;"",$O$13,"")</f>
        <v/>
      </c>
      <c r="P14" s="84">
        <f t="shared" ref="P14:P77" si="11">IFERROR(IF(C14&lt;&gt;"",SUMIFS($V$13:$V$969,$U$13:$U$969,C14)*$S$6,V14*$S$6),"")</f>
        <v>14.952792000000001</v>
      </c>
      <c r="Q14" s="205" t="str">
        <v/>
      </c>
      <c r="R14" s="70">
        <f>IF(S14="IN",'BOM_Phan II'!$Y$3,"")</f>
        <v>1</v>
      </c>
      <c r="S14" s="69" t="str">
        <f t="shared" si="2"/>
        <v>IN</v>
      </c>
      <c r="T14">
        <f t="shared" ref="T14:T77" si="12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3</v>
      </c>
      <c r="U14" t="str">
        <f t="shared" ref="U14:U77" si="13">IF(C14="",U13,C14)</f>
        <v>KIỆN 1</v>
      </c>
      <c r="V14">
        <f t="shared" ref="V14:V77" si="14">IFERROR(IF(AND(C14="", OR($W14="1", $W14="2")), IF(I14="", "", F14*G14*H14*I14/10^9), ""), "")</f>
        <v>1.9937056000000002E-2</v>
      </c>
      <c r="W14" s="266" t="str">
        <v>2</v>
      </c>
      <c r="X14" s="266" t="str">
        <v>PB HMR E1 2M MEL MS 024T - 16x1220x2440 (mm)</v>
      </c>
      <c r="Y14" s="266" t="str">
        <f t="shared" si="5"/>
        <v/>
      </c>
      <c r="Z14" s="266" t="s">
        <v>387</v>
      </c>
      <c r="AA14" s="270" t="str">
        <v>Hông trái_01_001</v>
      </c>
    </row>
    <row r="15" spans="1:27" ht="27" customHeight="1">
      <c r="A15" s="70" t="str">
        <f t="shared" si="0"/>
        <v>L01</v>
      </c>
      <c r="B15" s="70" t="str">
        <f t="shared" si="1"/>
        <v>Muc 1.1</v>
      </c>
      <c r="C15" s="204" t="str" cm="1">
        <f t="array" ref="C15">IF(D15="","",
    IF(AND(ISNUMBER(D15), D15=INT(D15)),
        $V$6 &amp; " " &amp; (IFERROR(MAX($Y$12:$Y14), 0) + 1),
        IF(ISNUMBER(SEARCH(".", D15)), "", INDEX($C$12:$C15, MATCH(2, 1/($C$12:$C15 &lt;&gt; ""))))
    )
)</f>
        <v/>
      </c>
      <c r="D15" s="206" t="str">
        <v>1.2</v>
      </c>
      <c r="E15" s="206" t="str">
        <f>IF(AA15 = "", "",
    IF(ISNUMBER(SEARCH("Kiện", C15)),
       " GÓI " &amp; COUNTIF($C$13:C15, "*Kiện*") &amp; "/" &amp; COUNTIF($C$13:$C$1000, "*Kiện*") &amp; " " &amp; AA15,
       AA15)
)</f>
        <v>Hông phải_01_002</v>
      </c>
      <c r="F15" s="206">
        <v>16</v>
      </c>
      <c r="G15" s="206">
        <v>547</v>
      </c>
      <c r="H15" s="206">
        <v>2278</v>
      </c>
      <c r="I15" s="206">
        <v>1</v>
      </c>
      <c r="J15" s="206" t="str">
        <f t="shared" si="3"/>
        <v/>
      </c>
      <c r="K15" s="206" t="str">
        <f t="shared" si="6"/>
        <v/>
      </c>
      <c r="L15" s="206" t="str">
        <f t="shared" si="7"/>
        <v/>
      </c>
      <c r="M15" s="206" t="str">
        <f t="shared" si="8"/>
        <v/>
      </c>
      <c r="N15" s="206" t="str">
        <f t="shared" si="9"/>
        <v/>
      </c>
      <c r="O15" s="206" t="str">
        <f t="shared" si="10"/>
        <v/>
      </c>
      <c r="P15" s="84">
        <f t="shared" si="11"/>
        <v>14.952792000000001</v>
      </c>
      <c r="Q15" s="205" t="str">
        <v/>
      </c>
      <c r="R15" s="70">
        <f>IF(S15="IN",'BOM_Phan II'!$Y$3,"")</f>
        <v>1</v>
      </c>
      <c r="S15" s="69" t="str">
        <f t="shared" si="2"/>
        <v>IN</v>
      </c>
      <c r="T15">
        <f t="shared" si="12"/>
        <v>3</v>
      </c>
      <c r="U15" t="str">
        <f t="shared" si="13"/>
        <v>KIỆN 1</v>
      </c>
      <c r="V15">
        <f t="shared" si="14"/>
        <v>1.9937056000000002E-2</v>
      </c>
      <c r="W15" s="266" t="str">
        <v>2</v>
      </c>
      <c r="X15" s="266" t="str">
        <v>PB HMR E1 2M MEL MS 024T - 16x1220x2440 (mm)</v>
      </c>
      <c r="Y15" s="266" t="str">
        <f t="shared" si="5"/>
        <v/>
      </c>
      <c r="Z15" s="266" t="s">
        <v>388</v>
      </c>
      <c r="AA15" s="270" t="str">
        <v>Hông phải_01_002</v>
      </c>
    </row>
    <row r="16" spans="1:27" ht="27" customHeight="1">
      <c r="A16" s="70" t="str">
        <f t="shared" si="0"/>
        <v>L01</v>
      </c>
      <c r="B16" s="70" t="str">
        <f t="shared" si="1"/>
        <v>Muc 1.1</v>
      </c>
      <c r="C16" s="204" t="str" cm="1">
        <f t="array" ref="C16">IF(D16="","",
    IF(AND(ISNUMBER(D16), D16=INT(D16)),
        $V$6 &amp; " " &amp; (IFERROR(MAX($Y$12:$Y15), 0) + 1),
        IF(ISNUMBER(SEARCH(".", D16)), "", INDEX($C$12:$C16, MATCH(2, 1/($C$12:$C16 &lt;&gt; ""))))
    )
)</f>
        <v>KIỆN 2</v>
      </c>
      <c r="D16" s="206">
        <v>2</v>
      </c>
      <c r="E16" s="206" t="str">
        <f>IF(AA16 = "", "",
    IF(ISNUMBER(SEARCH("Kiện", C16)),
       " GÓI " &amp; COUNTIF($C$13:C16, "*Kiện*") &amp; "/" &amp; COUNTIF($C$13:$C$1000, "*Kiện*") &amp; " " &amp; AA16,
       AA16)
)</f>
        <v xml:space="preserve"> GÓI 2/14 P1.B - HAU</v>
      </c>
      <c r="F16" s="206" t="str">
        <v/>
      </c>
      <c r="G16" s="206" t="str">
        <v/>
      </c>
      <c r="H16" s="206" t="str">
        <v/>
      </c>
      <c r="I16" s="206">
        <v>1</v>
      </c>
      <c r="J16" s="206" t="str">
        <f t="shared" si="3"/>
        <v>KIỆN 2_L01</v>
      </c>
      <c r="K16" s="206">
        <v>66</v>
      </c>
      <c r="L16" s="206">
        <v>648</v>
      </c>
      <c r="M16" s="206">
        <v>2328</v>
      </c>
      <c r="N16" s="206">
        <f t="shared" si="9"/>
        <v>1</v>
      </c>
      <c r="O16" s="206" t="str">
        <f t="shared" si="10"/>
        <v>XK_CHUẨN 3</v>
      </c>
      <c r="P16" s="84">
        <f t="shared" si="11"/>
        <v>16.346928000000002</v>
      </c>
      <c r="Q16" s="205" t="str">
        <v>GIAO RỜI</v>
      </c>
      <c r="R16" s="70">
        <f>IF(S16="IN",'BOM_Phan II'!$Y$3,"")</f>
        <v>1</v>
      </c>
      <c r="S16" s="69" t="str">
        <f t="shared" si="2"/>
        <v>IN</v>
      </c>
      <c r="T16">
        <f t="shared" si="12"/>
        <v>3</v>
      </c>
      <c r="U16" t="str">
        <f t="shared" si="13"/>
        <v>KIỆN 2</v>
      </c>
      <c r="V16" t="str">
        <f t="shared" si="14"/>
        <v/>
      </c>
      <c r="W16" s="266" t="str">
        <v>2</v>
      </c>
      <c r="X16" s="266" t="str">
        <v/>
      </c>
      <c r="Y16" s="266">
        <f t="shared" si="5"/>
        <v>2</v>
      </c>
      <c r="Z16" s="266">
        <v>1</v>
      </c>
      <c r="AA16" s="270" t="str">
        <v>P1.B - HAU</v>
      </c>
    </row>
    <row r="17" spans="1:27" ht="27" customHeight="1">
      <c r="A17" s="70" t="str">
        <f t="shared" si="0"/>
        <v>L01</v>
      </c>
      <c r="B17" s="70" t="str">
        <f t="shared" si="1"/>
        <v>Muc 1.1</v>
      </c>
      <c r="C17" s="204" t="str" cm="1">
        <f t="array" ref="C17">IF(D17="","",
    IF(AND(ISNUMBER(D17), D17=INT(D17)),
        $V$6 &amp; " " &amp; (IFERROR(MAX($Y$12:$Y16), 0) + 1),
        IF(ISNUMBER(SEARCH(".", D17)), "", INDEX($C$12:$C17, MATCH(2, 1/($C$12:$C17 &lt;&gt; ""))))
    )
)</f>
        <v/>
      </c>
      <c r="D17" s="206" t="str">
        <v>2.1</v>
      </c>
      <c r="E17" s="206" t="str">
        <f>IF(AA17 = "", "",
    IF(ISNUMBER(SEARCH("Kiện", C17)),
       " GÓI " &amp; COUNTIF($C$13:C17, "*Kiện*") &amp; "/" &amp; COUNTIF($C$13:$C$1000, "*Kiện*") &amp; " " &amp; AA17,
       AA17)
)</f>
        <v>Hậu_02_001</v>
      </c>
      <c r="F17" s="206">
        <v>16</v>
      </c>
      <c r="G17" s="206">
        <v>598</v>
      </c>
      <c r="H17" s="206">
        <v>2278</v>
      </c>
      <c r="I17" s="206">
        <v>1</v>
      </c>
      <c r="J17" s="206" t="str">
        <f t="shared" si="3"/>
        <v/>
      </c>
      <c r="K17" s="206" t="str">
        <f t="shared" si="6"/>
        <v/>
      </c>
      <c r="L17" s="206" t="str">
        <f t="shared" si="7"/>
        <v/>
      </c>
      <c r="M17" s="206" t="str">
        <f t="shared" si="8"/>
        <v/>
      </c>
      <c r="N17" s="206" t="str">
        <f t="shared" si="9"/>
        <v/>
      </c>
      <c r="O17" s="206" t="str">
        <f t="shared" si="10"/>
        <v/>
      </c>
      <c r="P17" s="84">
        <f t="shared" si="11"/>
        <v>16.346928000000002</v>
      </c>
      <c r="Q17" s="205" t="str">
        <v/>
      </c>
      <c r="R17" s="70">
        <f>IF(S17="IN",'BOM_Phan II'!$Y$3,"")</f>
        <v>1</v>
      </c>
      <c r="S17" s="69" t="str">
        <f t="shared" si="2"/>
        <v>IN</v>
      </c>
      <c r="T17">
        <f t="shared" si="12"/>
        <v>3</v>
      </c>
      <c r="U17" t="str">
        <f t="shared" si="13"/>
        <v>KIỆN 2</v>
      </c>
      <c r="V17">
        <f t="shared" si="14"/>
        <v>2.1795904000000001E-2</v>
      </c>
      <c r="W17" s="266" t="str">
        <v>2</v>
      </c>
      <c r="X17" s="266" t="str">
        <v>PB HMR E1 2M MEL MS 024T - 16x1220x2440 (mm)</v>
      </c>
      <c r="Y17" s="266" t="str">
        <f t="shared" si="5"/>
        <v/>
      </c>
      <c r="Z17" s="266" t="s">
        <v>387</v>
      </c>
      <c r="AA17" s="270" t="str">
        <v>Hậu_02_001</v>
      </c>
    </row>
    <row r="18" spans="1:27" ht="27" customHeight="1">
      <c r="A18" s="70" t="str">
        <f t="shared" si="0"/>
        <v>L01</v>
      </c>
      <c r="B18" s="70" t="str">
        <f t="shared" si="1"/>
        <v>Muc 1.1</v>
      </c>
      <c r="C18" s="204" t="str" cm="1">
        <f t="array" ref="C18">IF(D18="","",
    IF(AND(ISNUMBER(D18), D18=INT(D18)),
        $V$6 &amp; " " &amp; (IFERROR(MAX($Y$12:$Y17), 0) + 1),
        IF(ISNUMBER(SEARCH(".", D18)), "", INDEX($C$12:$C18, MATCH(2, 1/($C$12:$C18 &lt;&gt; ""))))
    )
)</f>
        <v>KIỆN 3</v>
      </c>
      <c r="D18" s="206">
        <v>3</v>
      </c>
      <c r="E18" s="206" t="str">
        <f>IF(AA18 = "", "",
    IF(ISNUMBER(SEARCH("Kiện", C18)),
       " GÓI " &amp; COUNTIF($C$13:C18, "*Kiện*") &amp; "/" &amp; COUNTIF($C$13:$C$1000, "*Kiện*") &amp; " " &amp; AA18,
       AA18)
)</f>
        <v xml:space="preserve"> GÓI 3/14 P1.C - NOC + DAY</v>
      </c>
      <c r="F18" s="206" t="str">
        <v/>
      </c>
      <c r="G18" s="206" t="str">
        <v/>
      </c>
      <c r="H18" s="206" t="str">
        <v/>
      </c>
      <c r="I18" s="206">
        <v>1</v>
      </c>
      <c r="J18" s="206" t="str">
        <f t="shared" si="3"/>
        <v>KIỆN 3_L01</v>
      </c>
      <c r="K18" s="206">
        <v>82</v>
      </c>
      <c r="L18" s="206">
        <v>597</v>
      </c>
      <c r="M18" s="206">
        <v>618</v>
      </c>
      <c r="N18" s="206">
        <f t="shared" si="9"/>
        <v>1</v>
      </c>
      <c r="O18" s="206" t="str">
        <f t="shared" si="10"/>
        <v>XK_CHUẨN 3</v>
      </c>
      <c r="P18" s="84">
        <f t="shared" si="11"/>
        <v>7.4498880000000005</v>
      </c>
      <c r="Q18" s="205" t="str">
        <v>GIAO RỜI</v>
      </c>
      <c r="R18" s="70">
        <f>IF(S18="IN",'BOM_Phan II'!$Y$3,"")</f>
        <v>1</v>
      </c>
      <c r="S18" s="69" t="str">
        <f t="shared" si="2"/>
        <v>IN</v>
      </c>
      <c r="T18">
        <f t="shared" si="12"/>
        <v>3</v>
      </c>
      <c r="U18" t="str">
        <f t="shared" si="13"/>
        <v>KIỆN 3</v>
      </c>
      <c r="V18" t="str">
        <f t="shared" si="14"/>
        <v/>
      </c>
      <c r="W18" s="266" t="str">
        <v>2</v>
      </c>
      <c r="X18" s="266" t="str">
        <v/>
      </c>
      <c r="Y18" s="266">
        <f t="shared" si="5"/>
        <v>3</v>
      </c>
      <c r="Z18" s="266">
        <v>2</v>
      </c>
      <c r="AA18" s="270" t="str">
        <v>P1.C - NOC + DAY</v>
      </c>
    </row>
    <row r="19" spans="1:27" ht="27" customHeight="1">
      <c r="A19" s="70" t="str">
        <f t="shared" si="0"/>
        <v>L01</v>
      </c>
      <c r="B19" s="70" t="str">
        <f t="shared" si="1"/>
        <v>Muc 1.1</v>
      </c>
      <c r="C19" s="204" t="str" cm="1">
        <f t="array" ref="C19">IF(D19="","",
    IF(AND(ISNUMBER(D19), D19=INT(D19)),
        $V$6 &amp; " " &amp; (IFERROR(MAX($Y$12:$Y18), 0) + 1),
        IF(ISNUMBER(SEARCH(".", D19)), "", INDEX($C$12:$C19, MATCH(2, 1/($C$12:$C19 &lt;&gt; ""))))
    )
)</f>
        <v/>
      </c>
      <c r="D19" s="206" t="str">
        <v>3.1</v>
      </c>
      <c r="E19" s="206" t="str">
        <f>IF(AA19 = "", "",
    IF(ISNUMBER(SEARCH("Kiện", C19)),
       " GÓI " &amp; COUNTIF($C$13:C19, "*Kiện*") &amp; "/" &amp; COUNTIF($C$13:$C$1000, "*Kiện*") &amp; " " &amp; AA19,
       AA19)
)</f>
        <v>Nóc_03_001</v>
      </c>
      <c r="F19" s="206">
        <v>16</v>
      </c>
      <c r="G19" s="206">
        <v>547</v>
      </c>
      <c r="H19" s="206">
        <v>568</v>
      </c>
      <c r="I19" s="206">
        <v>1</v>
      </c>
      <c r="J19" s="206" t="str">
        <f t="shared" si="3"/>
        <v/>
      </c>
      <c r="K19" s="206" t="str">
        <f t="shared" si="6"/>
        <v/>
      </c>
      <c r="L19" s="206" t="str">
        <f t="shared" si="7"/>
        <v/>
      </c>
      <c r="M19" s="206" t="str">
        <f t="shared" si="8"/>
        <v/>
      </c>
      <c r="N19" s="206" t="str">
        <f t="shared" si="9"/>
        <v/>
      </c>
      <c r="O19" s="206" t="str">
        <f t="shared" si="10"/>
        <v/>
      </c>
      <c r="P19" s="84">
        <f t="shared" si="11"/>
        <v>3.7283520000000001</v>
      </c>
      <c r="Q19" s="205" t="str">
        <v/>
      </c>
      <c r="R19" s="70">
        <f>IF(S19="IN",'BOM_Phan II'!$Y$3,"")</f>
        <v>1</v>
      </c>
      <c r="S19" s="69" t="str">
        <f t="shared" si="2"/>
        <v>IN</v>
      </c>
      <c r="T19">
        <f t="shared" si="12"/>
        <v>3</v>
      </c>
      <c r="U19" t="str">
        <f t="shared" si="13"/>
        <v>KIỆN 3</v>
      </c>
      <c r="V19">
        <f t="shared" si="14"/>
        <v>4.9711360000000001E-3</v>
      </c>
      <c r="W19" s="266" t="str">
        <v>2</v>
      </c>
      <c r="X19" s="266" t="str">
        <v>PB HMR E1 2M MEL MS 024T - 16x1220x2440 (mm)</v>
      </c>
      <c r="Y19" s="266" t="str">
        <f t="shared" si="5"/>
        <v/>
      </c>
      <c r="Z19" s="266" t="s">
        <v>387</v>
      </c>
      <c r="AA19" s="270" t="str">
        <v>Nóc_03_001</v>
      </c>
    </row>
    <row r="20" spans="1:27" ht="27" customHeight="1">
      <c r="A20" s="70" t="str">
        <f t="shared" si="0"/>
        <v>L01</v>
      </c>
      <c r="B20" s="70" t="str">
        <f t="shared" si="1"/>
        <v>Muc 1.1</v>
      </c>
      <c r="C20" s="204" t="str" cm="1">
        <f t="array" ref="C20">IF(D20="","",
    IF(AND(ISNUMBER(D20), D20=INT(D20)),
        $V$6 &amp; " " &amp; (IFERROR(MAX($Y$12:$Y19), 0) + 1),
        IF(ISNUMBER(SEARCH(".", D20)), "", INDEX($C$12:$C20, MATCH(2, 1/($C$12:$C20 &lt;&gt; ""))))
    )
)</f>
        <v/>
      </c>
      <c r="D20" s="206" t="str">
        <v>3.2</v>
      </c>
      <c r="E20" s="206" t="str">
        <f>IF(AA20 = "", "",
    IF(ISNUMBER(SEARCH("Kiện", C20)),
       " GÓI " &amp; COUNTIF($C$13:C20, "*Kiện*") &amp; "/" &amp; COUNTIF($C$13:$C$1000, "*Kiện*") &amp; " " &amp; AA20,
       AA20)
)</f>
        <v>Đáy_03_002</v>
      </c>
      <c r="F20" s="206">
        <v>16</v>
      </c>
      <c r="G20" s="206">
        <v>546</v>
      </c>
      <c r="H20" s="206">
        <v>568</v>
      </c>
      <c r="I20" s="206">
        <v>1</v>
      </c>
      <c r="J20" s="206" t="str">
        <f t="shared" si="3"/>
        <v/>
      </c>
      <c r="K20" s="206" t="str">
        <f t="shared" si="6"/>
        <v/>
      </c>
      <c r="L20" s="206" t="str">
        <f t="shared" si="7"/>
        <v/>
      </c>
      <c r="M20" s="206" t="str">
        <f t="shared" si="8"/>
        <v/>
      </c>
      <c r="N20" s="206" t="str">
        <f t="shared" si="9"/>
        <v/>
      </c>
      <c r="O20" s="206" t="str">
        <f t="shared" si="10"/>
        <v/>
      </c>
      <c r="P20" s="84">
        <f t="shared" si="11"/>
        <v>3.721536</v>
      </c>
      <c r="Q20" s="205" t="str">
        <v/>
      </c>
      <c r="R20" s="70">
        <f>IF(S20="IN",'BOM_Phan II'!$Y$3,"")</f>
        <v>1</v>
      </c>
      <c r="S20" s="69" t="str">
        <f t="shared" si="2"/>
        <v>IN</v>
      </c>
      <c r="T20">
        <f t="shared" si="12"/>
        <v>3</v>
      </c>
      <c r="U20" t="str">
        <f t="shared" si="13"/>
        <v>KIỆN 3</v>
      </c>
      <c r="V20">
        <f t="shared" si="14"/>
        <v>4.9620480000000002E-3</v>
      </c>
      <c r="W20" s="266" t="str">
        <v>2</v>
      </c>
      <c r="X20" s="266" t="str">
        <v>PB HMR E1 2M MEL MS 024T - 16x1220x2440 (mm)</v>
      </c>
      <c r="Y20" s="266" t="str">
        <f t="shared" si="5"/>
        <v/>
      </c>
      <c r="Z20" s="266" t="s">
        <v>388</v>
      </c>
      <c r="AA20" s="270" t="str">
        <v>Đáy_03_002</v>
      </c>
    </row>
    <row r="21" spans="1:27" ht="27" customHeight="1">
      <c r="A21" s="70" t="str">
        <f t="shared" si="0"/>
        <v>L01</v>
      </c>
      <c r="B21" s="70" t="str">
        <f t="shared" si="1"/>
        <v>Muc 1.1</v>
      </c>
      <c r="C21" s="204" t="str" cm="1">
        <f t="array" ref="C21">IF(D21="","",
    IF(AND(ISNUMBER(D21), D21=INT(D21)),
        $V$6 &amp; " " &amp; (IFERROR(MAX($Y$12:$Y20), 0) + 1),
        IF(ISNUMBER(SEARCH(".", D21)), "", INDEX($C$12:$C21, MATCH(2, 1/($C$12:$C21 &lt;&gt; ""))))
    )
)</f>
        <v>KIỆN 4</v>
      </c>
      <c r="D21" s="206">
        <v>4</v>
      </c>
      <c r="E21" s="206" t="str">
        <f>IF(AA21 = "", "",
    IF(ISNUMBER(SEARCH("Kiện", C21)),
       " GÓI " &amp; COUNTIF($C$13:C21, "*Kiện*") &amp; "/" &amp; COUNTIF($C$13:$C$1000, "*Kiện*") &amp; " " &amp; AA21,
       AA21)
)</f>
        <v xml:space="preserve"> GÓI 4/14 P1.D - KE ADJ</v>
      </c>
      <c r="F21" s="206" t="str">
        <v/>
      </c>
      <c r="G21" s="206" t="str">
        <v/>
      </c>
      <c r="H21" s="206" t="str">
        <v/>
      </c>
      <c r="I21" s="206">
        <v>1</v>
      </c>
      <c r="J21" s="206" t="str">
        <f t="shared" si="3"/>
        <v>KIỆN 4_L01</v>
      </c>
      <c r="K21" s="206">
        <v>130</v>
      </c>
      <c r="L21" s="206">
        <v>548</v>
      </c>
      <c r="M21" s="206">
        <v>614</v>
      </c>
      <c r="N21" s="206">
        <f t="shared" si="9"/>
        <v>1</v>
      </c>
      <c r="O21" s="206" t="str">
        <f t="shared" si="10"/>
        <v>XK_CHUẨN 3</v>
      </c>
      <c r="P21" s="84">
        <f t="shared" si="11"/>
        <v>16.852319999999999</v>
      </c>
      <c r="Q21" s="205" t="str">
        <v>GIAO RỜI</v>
      </c>
      <c r="R21" s="70">
        <f>IF(S21="IN",'BOM_Phan II'!$Y$3,"")</f>
        <v>1</v>
      </c>
      <c r="S21" s="69" t="str">
        <f t="shared" si="2"/>
        <v>IN</v>
      </c>
      <c r="T21">
        <f t="shared" si="12"/>
        <v>3</v>
      </c>
      <c r="U21" t="str">
        <f t="shared" si="13"/>
        <v>KIỆN 4</v>
      </c>
      <c r="V21" t="str">
        <f t="shared" si="14"/>
        <v/>
      </c>
      <c r="W21" s="266" t="str">
        <v>2</v>
      </c>
      <c r="X21" s="266" t="str">
        <v/>
      </c>
      <c r="Y21" s="266">
        <f t="shared" si="5"/>
        <v>4</v>
      </c>
      <c r="Z21" s="266">
        <v>5</v>
      </c>
      <c r="AA21" s="270" t="str">
        <v>P1.D - KE ADJ</v>
      </c>
    </row>
    <row r="22" spans="1:27" ht="27" customHeight="1">
      <c r="A22" s="70" t="str">
        <f t="shared" si="0"/>
        <v>L01</v>
      </c>
      <c r="B22" s="70" t="str">
        <f t="shared" si="1"/>
        <v>Muc 1.1</v>
      </c>
      <c r="C22" s="204" t="str" cm="1">
        <f t="array" ref="C22">IF(D22="","",
    IF(AND(ISNUMBER(D22), D22=INT(D22)),
        $V$6 &amp; " " &amp; (IFERROR(MAX($Y$12:$Y21), 0) + 1),
        IF(ISNUMBER(SEARCH(".", D22)), "", INDEX($C$12:$C22, MATCH(2, 1/($C$12:$C22 &lt;&gt; ""))))
    )
)</f>
        <v/>
      </c>
      <c r="D22" s="206" t="str">
        <v>4.1</v>
      </c>
      <c r="E22" s="206" t="str">
        <f>IF(AA22 = "", "",
    IF(ISNUMBER(SEARCH("Kiện", C22)),
       " GÓI " &amp; COUNTIF($C$13:C22, "*Kiện*") &amp; "/" &amp; COUNTIF($C$13:$C$1000, "*Kiện*") &amp; " " &amp; AA22,
       AA22)
)</f>
        <v>Kệ di động 1_04_001</v>
      </c>
      <c r="F22" s="206">
        <v>16</v>
      </c>
      <c r="G22" s="206">
        <v>498</v>
      </c>
      <c r="H22" s="206">
        <v>564</v>
      </c>
      <c r="I22" s="206">
        <v>1</v>
      </c>
      <c r="J22" s="206" t="str">
        <f t="shared" si="3"/>
        <v/>
      </c>
      <c r="K22" s="206" t="str">
        <f t="shared" si="6"/>
        <v/>
      </c>
      <c r="L22" s="206" t="str">
        <f t="shared" si="7"/>
        <v/>
      </c>
      <c r="M22" s="206" t="str">
        <f t="shared" si="8"/>
        <v/>
      </c>
      <c r="N22" s="206" t="str">
        <f t="shared" si="9"/>
        <v/>
      </c>
      <c r="O22" s="206" t="str">
        <f t="shared" si="10"/>
        <v/>
      </c>
      <c r="P22" s="84">
        <f t="shared" si="11"/>
        <v>3.3704639999999997</v>
      </c>
      <c r="Q22" s="205" t="str">
        <v/>
      </c>
      <c r="R22" s="70">
        <f>IF(S22="IN",'BOM_Phan II'!$Y$3,"")</f>
        <v>1</v>
      </c>
      <c r="S22" s="69" t="str">
        <f t="shared" si="2"/>
        <v>IN</v>
      </c>
      <c r="T22">
        <f t="shared" si="12"/>
        <v>3</v>
      </c>
      <c r="U22" t="str">
        <f t="shared" si="13"/>
        <v>KIỆN 4</v>
      </c>
      <c r="V22">
        <f t="shared" si="14"/>
        <v>4.4939519999999998E-3</v>
      </c>
      <c r="W22" s="266" t="str">
        <v>2</v>
      </c>
      <c r="X22" s="266" t="str">
        <v>PB HMR E1 2M MEL MS 024T - 16x1220x2440 (mm)</v>
      </c>
      <c r="Y22" s="266" t="str">
        <f t="shared" si="5"/>
        <v/>
      </c>
      <c r="Z22" s="266" t="s">
        <v>387</v>
      </c>
      <c r="AA22" s="270" t="str">
        <v>Kệ di động 1_04_001</v>
      </c>
    </row>
    <row r="23" spans="1:27" ht="27" customHeight="1">
      <c r="A23" s="70" t="str">
        <f t="shared" si="0"/>
        <v>L01</v>
      </c>
      <c r="B23" s="70" t="str">
        <f t="shared" si="1"/>
        <v>Muc 1.1</v>
      </c>
      <c r="C23" s="204" t="str" cm="1">
        <f t="array" ref="C23">IF(D23="","",
    IF(AND(ISNUMBER(D23), D23=INT(D23)),
        $V$6 &amp; " " &amp; (IFERROR(MAX($Y$12:$Y22), 0) + 1),
        IF(ISNUMBER(SEARCH(".", D23)), "", INDEX($C$12:$C23, MATCH(2, 1/($C$12:$C23 &lt;&gt; ""))))
    )
)</f>
        <v/>
      </c>
      <c r="D23" s="206" t="str">
        <v>4.2</v>
      </c>
      <c r="E23" s="206" t="str">
        <f>IF(AA23 = "", "",
    IF(ISNUMBER(SEARCH("Kiện", C23)),
       " GÓI " &amp; COUNTIF($C$13:C23, "*Kiện*") &amp; "/" &amp; COUNTIF($C$13:$C$1000, "*Kiện*") &amp; " " &amp; AA23,
       AA23)
)</f>
        <v>Kệ di động 2_04_002</v>
      </c>
      <c r="F23" s="206">
        <v>16</v>
      </c>
      <c r="G23" s="206">
        <v>498</v>
      </c>
      <c r="H23" s="206">
        <v>564</v>
      </c>
      <c r="I23" s="206">
        <v>1</v>
      </c>
      <c r="J23" s="206" t="str">
        <f t="shared" si="3"/>
        <v/>
      </c>
      <c r="K23" s="206" t="str">
        <f t="shared" si="6"/>
        <v/>
      </c>
      <c r="L23" s="206" t="str">
        <f t="shared" si="7"/>
        <v/>
      </c>
      <c r="M23" s="206" t="str">
        <f t="shared" si="8"/>
        <v/>
      </c>
      <c r="N23" s="206" t="str">
        <f t="shared" si="9"/>
        <v/>
      </c>
      <c r="O23" s="206" t="str">
        <f t="shared" si="10"/>
        <v/>
      </c>
      <c r="P23" s="84">
        <f t="shared" si="11"/>
        <v>3.3704639999999997</v>
      </c>
      <c r="Q23" s="205" t="str">
        <v/>
      </c>
      <c r="R23" s="70">
        <f>IF(S23="IN",'BOM_Phan II'!$Y$3,"")</f>
        <v>1</v>
      </c>
      <c r="S23" s="69" t="str">
        <f t="shared" si="2"/>
        <v>IN</v>
      </c>
      <c r="T23">
        <f t="shared" si="12"/>
        <v>3</v>
      </c>
      <c r="U23" t="str">
        <f t="shared" si="13"/>
        <v>KIỆN 4</v>
      </c>
      <c r="V23">
        <f t="shared" si="14"/>
        <v>4.4939519999999998E-3</v>
      </c>
      <c r="W23" s="266" t="str">
        <v>2</v>
      </c>
      <c r="X23" s="266" t="str">
        <v>PB HMR E1 2M MEL MS 024T - 16x1220x2440 (mm)</v>
      </c>
      <c r="Y23" s="266" t="str">
        <f t="shared" si="5"/>
        <v/>
      </c>
      <c r="Z23" s="266" t="s">
        <v>388</v>
      </c>
      <c r="AA23" s="270" t="str">
        <v>Kệ di động 2_04_002</v>
      </c>
    </row>
    <row r="24" spans="1:27" ht="27" customHeight="1">
      <c r="A24" s="70" t="str">
        <f t="shared" si="0"/>
        <v>L01</v>
      </c>
      <c r="B24" s="70" t="str">
        <f t="shared" si="1"/>
        <v>Muc 1.1</v>
      </c>
      <c r="C24" s="204" t="str" cm="1">
        <f t="array" ref="C24">IF(D24="","",
    IF(AND(ISNUMBER(D24), D24=INT(D24)),
        $V$6 &amp; " " &amp; (IFERROR(MAX($Y$12:$Y23), 0) + 1),
        IF(ISNUMBER(SEARCH(".", D24)), "", INDEX($C$12:$C24, MATCH(2, 1/($C$12:$C24 &lt;&gt; ""))))
    )
)</f>
        <v/>
      </c>
      <c r="D24" s="206" t="str">
        <v>4.3</v>
      </c>
      <c r="E24" s="206" t="str">
        <f>IF(AA24 = "", "",
    IF(ISNUMBER(SEARCH("Kiện", C24)),
       " GÓI " &amp; COUNTIF($C$13:C24, "*Kiện*") &amp; "/" &amp; COUNTIF($C$13:$C$1000, "*Kiện*") &amp; " " &amp; AA24,
       AA24)
)</f>
        <v>Kệ di động 3_04_003</v>
      </c>
      <c r="F24" s="206">
        <v>16</v>
      </c>
      <c r="G24" s="206">
        <v>498</v>
      </c>
      <c r="H24" s="206">
        <v>564</v>
      </c>
      <c r="I24" s="206">
        <v>1</v>
      </c>
      <c r="J24" s="206" t="str">
        <f t="shared" si="3"/>
        <v/>
      </c>
      <c r="K24" s="206" t="str">
        <f t="shared" si="6"/>
        <v/>
      </c>
      <c r="L24" s="206" t="str">
        <f t="shared" si="7"/>
        <v/>
      </c>
      <c r="M24" s="206" t="str">
        <f t="shared" si="8"/>
        <v/>
      </c>
      <c r="N24" s="206" t="str">
        <f t="shared" si="9"/>
        <v/>
      </c>
      <c r="O24" s="206" t="str">
        <f t="shared" si="10"/>
        <v/>
      </c>
      <c r="P24" s="84">
        <f t="shared" si="11"/>
        <v>3.3704639999999997</v>
      </c>
      <c r="Q24" s="205" t="str">
        <v/>
      </c>
      <c r="R24" s="70">
        <f>IF(S24="IN",'BOM_Phan II'!$Y$3,"")</f>
        <v>1</v>
      </c>
      <c r="S24" s="69" t="str">
        <f t="shared" si="2"/>
        <v>IN</v>
      </c>
      <c r="T24">
        <f t="shared" si="12"/>
        <v>3</v>
      </c>
      <c r="U24" t="str">
        <f t="shared" si="13"/>
        <v>KIỆN 4</v>
      </c>
      <c r="V24">
        <f t="shared" si="14"/>
        <v>4.4939519999999998E-3</v>
      </c>
      <c r="W24" s="266" t="str">
        <v>2</v>
      </c>
      <c r="X24" s="266" t="str">
        <v>PB HMR E1 2M MEL MS 024T - 16x1220x2440 (mm)</v>
      </c>
      <c r="Y24" s="266" t="str">
        <f t="shared" si="5"/>
        <v/>
      </c>
      <c r="Z24" s="266" t="s">
        <v>389</v>
      </c>
      <c r="AA24" s="270" t="str">
        <v>Kệ di động 3_04_003</v>
      </c>
    </row>
    <row r="25" spans="1:27" ht="27" customHeight="1">
      <c r="A25" s="70" t="str">
        <f t="shared" si="0"/>
        <v>L01</v>
      </c>
      <c r="B25" s="70" t="str">
        <f t="shared" si="1"/>
        <v>Muc 1.1</v>
      </c>
      <c r="C25" s="204" t="str" cm="1">
        <f t="array" ref="C25">IF(D25="","",
    IF(AND(ISNUMBER(D25), D25=INT(D25)),
        $V$6 &amp; " " &amp; (IFERROR(MAX($Y$12:$Y24), 0) + 1),
        IF(ISNUMBER(SEARCH(".", D25)), "", INDEX($C$12:$C25, MATCH(2, 1/($C$12:$C25 &lt;&gt; ""))))
    )
)</f>
        <v/>
      </c>
      <c r="D25" s="206" t="str">
        <v>4.4</v>
      </c>
      <c r="E25" s="206" t="str">
        <f>IF(AA25 = "", "",
    IF(ISNUMBER(SEARCH("Kiện", C25)),
       " GÓI " &amp; COUNTIF($C$13:C25, "*Kiện*") &amp; "/" &amp; COUNTIF($C$13:$C$1000, "*Kiện*") &amp; " " &amp; AA25,
       AA25)
)</f>
        <v>Kệ di động 4_04_004</v>
      </c>
      <c r="F25" s="206">
        <v>16</v>
      </c>
      <c r="G25" s="206">
        <v>498</v>
      </c>
      <c r="H25" s="206">
        <v>564</v>
      </c>
      <c r="I25" s="206">
        <v>1</v>
      </c>
      <c r="J25" s="206" t="str">
        <f t="shared" si="3"/>
        <v/>
      </c>
      <c r="K25" s="206" t="str">
        <f t="shared" si="6"/>
        <v/>
      </c>
      <c r="L25" s="206" t="str">
        <f t="shared" si="7"/>
        <v/>
      </c>
      <c r="M25" s="206" t="str">
        <f t="shared" si="8"/>
        <v/>
      </c>
      <c r="N25" s="206" t="str">
        <f t="shared" si="9"/>
        <v/>
      </c>
      <c r="O25" s="206" t="str">
        <f t="shared" si="10"/>
        <v/>
      </c>
      <c r="P25" s="84">
        <f t="shared" si="11"/>
        <v>3.3704639999999997</v>
      </c>
      <c r="Q25" s="205" t="str">
        <v/>
      </c>
      <c r="R25" s="70">
        <f>IF(S25="IN",'BOM_Phan II'!$Y$3,"")</f>
        <v>1</v>
      </c>
      <c r="S25" s="69" t="str">
        <f t="shared" si="2"/>
        <v>IN</v>
      </c>
      <c r="T25">
        <f t="shared" si="12"/>
        <v>3</v>
      </c>
      <c r="U25" t="str">
        <f t="shared" si="13"/>
        <v>KIỆN 4</v>
      </c>
      <c r="V25">
        <f t="shared" si="14"/>
        <v>4.4939519999999998E-3</v>
      </c>
      <c r="W25" s="266" t="str">
        <v>2</v>
      </c>
      <c r="X25" s="266" t="str">
        <v>PB HMR E1 2M MEL MS 024T - 16x1220x2440 (mm)</v>
      </c>
      <c r="Y25" s="266" t="str">
        <f t="shared" si="5"/>
        <v/>
      </c>
      <c r="Z25" s="266" t="s">
        <v>390</v>
      </c>
      <c r="AA25" s="270" t="str">
        <v>Kệ di động 4_04_004</v>
      </c>
    </row>
    <row r="26" spans="1:27" ht="27" customHeight="1">
      <c r="A26" s="70" t="str">
        <f t="shared" si="0"/>
        <v>L01</v>
      </c>
      <c r="B26" s="70" t="str">
        <f t="shared" si="1"/>
        <v>Muc 1.1</v>
      </c>
      <c r="C26" s="204" t="str" cm="1">
        <f t="array" ref="C26">IF(D26="","",
    IF(AND(ISNUMBER(D26), D26=INT(D26)),
        $V$6 &amp; " " &amp; (IFERROR(MAX($Y$12:$Y25), 0) + 1),
        IF(ISNUMBER(SEARCH(".", D26)), "", INDEX($C$12:$C26, MATCH(2, 1/($C$12:$C26 &lt;&gt; ""))))
    )
)</f>
        <v/>
      </c>
      <c r="D26" s="206" t="str">
        <v>4.5</v>
      </c>
      <c r="E26" s="206" t="str">
        <f>IF(AA26 = "", "",
    IF(ISNUMBER(SEARCH("Kiện", C26)),
       " GÓI " &amp; COUNTIF($C$13:C26, "*Kiện*") &amp; "/" &amp; COUNTIF($C$13:$C$1000, "*Kiện*") &amp; " " &amp; AA26,
       AA26)
)</f>
        <v>Kệ di động 5_04_005</v>
      </c>
      <c r="F26" s="206">
        <v>16</v>
      </c>
      <c r="G26" s="206">
        <v>498</v>
      </c>
      <c r="H26" s="206">
        <v>564</v>
      </c>
      <c r="I26" s="206">
        <v>1</v>
      </c>
      <c r="J26" s="206" t="str">
        <f t="shared" si="3"/>
        <v/>
      </c>
      <c r="K26" s="206" t="str">
        <f t="shared" si="6"/>
        <v/>
      </c>
      <c r="L26" s="206" t="str">
        <f t="shared" si="7"/>
        <v/>
      </c>
      <c r="M26" s="206" t="str">
        <f t="shared" si="8"/>
        <v/>
      </c>
      <c r="N26" s="206" t="str">
        <f t="shared" si="9"/>
        <v/>
      </c>
      <c r="O26" s="206" t="str">
        <f t="shared" si="10"/>
        <v/>
      </c>
      <c r="P26" s="84">
        <f t="shared" si="11"/>
        <v>3.3704639999999997</v>
      </c>
      <c r="Q26" s="205" t="str">
        <v/>
      </c>
      <c r="R26" s="70">
        <f>IF(S26="IN",'BOM_Phan II'!$Y$3,"")</f>
        <v>1</v>
      </c>
      <c r="S26" s="69" t="str">
        <f t="shared" si="2"/>
        <v>IN</v>
      </c>
      <c r="T26">
        <f t="shared" si="12"/>
        <v>3</v>
      </c>
      <c r="U26" t="str">
        <f t="shared" si="13"/>
        <v>KIỆN 4</v>
      </c>
      <c r="V26">
        <f t="shared" si="14"/>
        <v>4.4939519999999998E-3</v>
      </c>
      <c r="W26" s="266" t="str">
        <v>2</v>
      </c>
      <c r="X26" s="266" t="str">
        <v>PB HMR E1 2M MEL MS 024T - 16x1220x2440 (mm)</v>
      </c>
      <c r="Y26" s="266" t="str">
        <f t="shared" si="5"/>
        <v/>
      </c>
      <c r="Z26" s="266" t="s">
        <v>391</v>
      </c>
      <c r="AA26" s="270" t="str">
        <v>Kệ di động 5_04_005</v>
      </c>
    </row>
    <row r="27" spans="1:27" ht="27" customHeight="1">
      <c r="A27" s="70" t="str">
        <f t="shared" si="0"/>
        <v>L01</v>
      </c>
      <c r="B27" s="70" t="str">
        <f t="shared" si="1"/>
        <v>Muc 1.1</v>
      </c>
      <c r="C27" s="204" t="str" cm="1">
        <f t="array" ref="C27">IF(D27="","",
    IF(AND(ISNUMBER(D27), D27=INT(D27)),
        $V$6 &amp; " " &amp; (IFERROR(MAX($Y$12:$Y26), 0) + 1),
        IF(ISNUMBER(SEARCH(".", D27)), "", INDEX($C$12:$C27, MATCH(2, 1/($C$12:$C27 &lt;&gt; ""))))
    )
)</f>
        <v>KIỆN 5</v>
      </c>
      <c r="D27" s="206">
        <v>5</v>
      </c>
      <c r="E27" s="206" t="str">
        <f>IF(AA27 = "", "",
    IF(ISNUMBER(SEARCH("Kiện", C27)),
       " GÓI " &amp; COUNTIF($C$13:C27, "*Kiện*") &amp; "/" &amp; COUNTIF($C$13:$C$1000, "*Kiện*") &amp; " " &amp; AA27,
       AA27)
)</f>
        <v xml:space="preserve"> GÓI 5/14 P2 - TU WM/DR</v>
      </c>
      <c r="F27" s="206" t="str">
        <v/>
      </c>
      <c r="G27" s="206" t="str">
        <v/>
      </c>
      <c r="H27" s="206" t="str">
        <v/>
      </c>
      <c r="I27" s="206">
        <v>1</v>
      </c>
      <c r="J27" s="206" t="str">
        <f t="shared" si="3"/>
        <v>KIỆN 5_L01</v>
      </c>
      <c r="K27" s="206">
        <v>101</v>
      </c>
      <c r="L27" s="206">
        <v>650</v>
      </c>
      <c r="M27" s="206">
        <v>1386</v>
      </c>
      <c r="N27" s="206">
        <f t="shared" si="9"/>
        <v>1</v>
      </c>
      <c r="O27" s="206" t="str">
        <f t="shared" si="10"/>
        <v>XK_CHUẨN 3</v>
      </c>
      <c r="P27" s="84">
        <f t="shared" si="11"/>
        <v>18.167730000000002</v>
      </c>
      <c r="Q27" s="205" t="str">
        <v>GIAO RỜI</v>
      </c>
      <c r="R27" s="70">
        <f>IF(S27="IN",'BOM_Phan II'!$Y$3,"")</f>
        <v>1</v>
      </c>
      <c r="S27" s="69" t="str">
        <f t="shared" si="2"/>
        <v>IN</v>
      </c>
      <c r="T27">
        <f t="shared" si="12"/>
        <v>3</v>
      </c>
      <c r="U27" t="str">
        <f t="shared" si="13"/>
        <v>KIỆN 5</v>
      </c>
      <c r="V27" t="str">
        <f t="shared" si="14"/>
        <v/>
      </c>
      <c r="W27" s="266" t="str">
        <v>2</v>
      </c>
      <c r="X27" s="266" t="str">
        <v/>
      </c>
      <c r="Y27" s="266">
        <f t="shared" si="5"/>
        <v>5</v>
      </c>
      <c r="Z27" s="266">
        <v>3</v>
      </c>
      <c r="AA27" s="270" t="str">
        <v>P2 - TU WM/DR</v>
      </c>
    </row>
    <row r="28" spans="1:27" ht="27" customHeight="1">
      <c r="A28" s="70" t="str">
        <f t="shared" si="0"/>
        <v>L01</v>
      </c>
      <c r="B28" s="70" t="str">
        <f t="shared" si="1"/>
        <v>Muc 1.1</v>
      </c>
      <c r="C28" s="204" t="str" cm="1">
        <f t="array" ref="C28">IF(D28="","",
    IF(AND(ISNUMBER(D28), D28=INT(D28)),
        $V$6 &amp; " " &amp; (IFERROR(MAX($Y$12:$Y27), 0) + 1),
        IF(ISNUMBER(SEARCH(".", D28)), "", INDEX($C$12:$C28, MATCH(2, 1/($C$12:$C28 &lt;&gt; ""))))
    )
)</f>
        <v/>
      </c>
      <c r="D28" s="206" t="str">
        <v>5.1</v>
      </c>
      <c r="E28" s="206" t="str">
        <f>IF(AA28 = "", "",
    IF(ISNUMBER(SEARCH("Kiện", C28)),
       " GÓI " &amp; COUNTIF($C$13:C28, "*Kiện*") &amp; "/" &amp; COUNTIF($C$13:$C$1000, "*Kiện*") &amp; " " &amp; AA28,
       AA28)
)</f>
        <v>Hông phải_05_001</v>
      </c>
      <c r="F28" s="206">
        <v>17</v>
      </c>
      <c r="G28" s="206">
        <v>600</v>
      </c>
      <c r="H28" s="206">
        <v>863</v>
      </c>
      <c r="I28" s="206">
        <v>1</v>
      </c>
      <c r="J28" s="206" t="str">
        <f t="shared" si="3"/>
        <v/>
      </c>
      <c r="K28" s="206" t="str">
        <f t="shared" si="6"/>
        <v/>
      </c>
      <c r="L28" s="206" t="str">
        <f t="shared" si="7"/>
        <v/>
      </c>
      <c r="M28" s="206" t="str">
        <f t="shared" si="8"/>
        <v/>
      </c>
      <c r="N28" s="206" t="str">
        <f t="shared" si="9"/>
        <v/>
      </c>
      <c r="O28" s="206" t="str">
        <f t="shared" si="10"/>
        <v/>
      </c>
      <c r="P28" s="84">
        <f t="shared" si="11"/>
        <v>6.6019500000000004</v>
      </c>
      <c r="Q28" s="205" t="str">
        <v/>
      </c>
      <c r="R28" s="70">
        <f>IF(S28="IN",'BOM_Phan II'!$Y$3,"")</f>
        <v>1</v>
      </c>
      <c r="S28" s="69" t="str">
        <f t="shared" si="2"/>
        <v>IN</v>
      </c>
      <c r="T28">
        <f t="shared" si="12"/>
        <v>3</v>
      </c>
      <c r="U28" t="str">
        <f t="shared" si="13"/>
        <v>KIỆN 5</v>
      </c>
      <c r="V28">
        <f t="shared" si="14"/>
        <v>8.8026000000000007E-3</v>
      </c>
      <c r="W28" s="266" t="str">
        <v>2</v>
      </c>
      <c r="X28" s="266" t="str">
        <v>MDF HMR E1 2M MEL MS 024T - 17x1220x2440 (mm)</v>
      </c>
      <c r="Y28" s="266" t="str">
        <f t="shared" si="5"/>
        <v/>
      </c>
      <c r="Z28" s="266" t="s">
        <v>388</v>
      </c>
      <c r="AA28" s="270" t="str">
        <v>Hông phải_05_001</v>
      </c>
    </row>
    <row r="29" spans="1:27" ht="27" customHeight="1">
      <c r="A29" s="70" t="str">
        <f t="shared" si="0"/>
        <v>L01</v>
      </c>
      <c r="B29" s="70" t="str">
        <f t="shared" si="1"/>
        <v>Muc 1.1</v>
      </c>
      <c r="C29" s="204" t="str" cm="1">
        <f t="array" ref="C29">IF(D29="","",
    IF(AND(ISNUMBER(D29), D29=INT(D29)),
        $V$6 &amp; " " &amp; (IFERROR(MAX($Y$12:$Y28), 0) + 1),
        IF(ISNUMBER(SEARCH(".", D29)), "", INDEX($C$12:$C29, MATCH(2, 1/($C$12:$C29 &lt;&gt; ""))))
    )
)</f>
        <v/>
      </c>
      <c r="D29" s="206" t="str">
        <v>5.3</v>
      </c>
      <c r="E29" s="206" t="str">
        <f>IF(AA29 = "", "",
    IF(ISNUMBER(SEARCH("Kiện", C29)),
       " GÓI " &amp; COUNTIF($C$13:C29, "*Kiện*") &amp; "/" &amp; COUNTIF($C$13:$C$1000, "*Kiện*") &amp; " " &amp; AA29,
       AA29)
)</f>
        <v>Nóc_05_003</v>
      </c>
      <c r="F29" s="206">
        <v>17</v>
      </c>
      <c r="G29" s="206">
        <v>600</v>
      </c>
      <c r="H29" s="206">
        <v>1336</v>
      </c>
      <c r="I29" s="206">
        <v>1</v>
      </c>
      <c r="J29" s="206" t="str">
        <f t="shared" si="3"/>
        <v/>
      </c>
      <c r="K29" s="206" t="str">
        <f t="shared" si="6"/>
        <v/>
      </c>
      <c r="L29" s="206" t="str">
        <f t="shared" si="7"/>
        <v/>
      </c>
      <c r="M29" s="206" t="str">
        <f t="shared" si="8"/>
        <v/>
      </c>
      <c r="N29" s="206" t="str">
        <f t="shared" si="9"/>
        <v/>
      </c>
      <c r="O29" s="206" t="str">
        <f t="shared" si="10"/>
        <v/>
      </c>
      <c r="P29" s="84">
        <f t="shared" si="11"/>
        <v>10.2204</v>
      </c>
      <c r="Q29" s="205" t="str">
        <v/>
      </c>
      <c r="R29" s="70">
        <f>IF(S29="IN",'BOM_Phan II'!$Y$3,"")</f>
        <v>1</v>
      </c>
      <c r="S29" s="69" t="str">
        <f t="shared" si="2"/>
        <v>IN</v>
      </c>
      <c r="T29">
        <f t="shared" si="12"/>
        <v>3</v>
      </c>
      <c r="U29" t="str">
        <f t="shared" si="13"/>
        <v>KIỆN 5</v>
      </c>
      <c r="V29">
        <f t="shared" si="14"/>
        <v>1.3627200000000001E-2</v>
      </c>
      <c r="W29" s="266" t="str">
        <v>2</v>
      </c>
      <c r="X29" s="266" t="str">
        <v>MDF HMR E1 2M MEL MS 024T - 17x1220x2440 (mm)</v>
      </c>
      <c r="Y29" s="266" t="str">
        <f t="shared" si="5"/>
        <v/>
      </c>
      <c r="Z29" s="266" t="s">
        <v>387</v>
      </c>
      <c r="AA29" s="270" t="str">
        <v>Nóc_05_003</v>
      </c>
    </row>
    <row r="30" spans="1:27" ht="27" customHeight="1">
      <c r="A30" s="70" t="str">
        <f t="shared" si="0"/>
        <v>L01</v>
      </c>
      <c r="B30" s="70" t="str">
        <f t="shared" si="1"/>
        <v>Muc 1.1</v>
      </c>
      <c r="C30" s="204" t="str" cm="1">
        <f t="array" ref="C30">IF(D30="","",
    IF(AND(ISNUMBER(D30), D30=INT(D30)),
        $V$6 &amp; " " &amp; (IFERROR(MAX($Y$12:$Y29), 0) + 1),
        IF(ISNUMBER(SEARCH(".", D30)), "", INDEX($C$12:$C30, MATCH(2, 1/($C$12:$C30 &lt;&gt; ""))))
    )
)</f>
        <v/>
      </c>
      <c r="D30" s="206" t="str">
        <v>5.4</v>
      </c>
      <c r="E30" s="206" t="str">
        <f>IF(AA30 = "", "",
    IF(ISNUMBER(SEARCH("Kiện", C30)),
       " GÓI " &amp; COUNTIF($C$13:C30, "*Kiện*") &amp; "/" &amp; COUNTIF($C$13:$C$1000, "*Kiện*") &amp; " " &amp; AA30,
       AA30)
)</f>
        <v>Kè hậu_05_004</v>
      </c>
      <c r="F30" s="206">
        <v>17</v>
      </c>
      <c r="G30" s="206">
        <v>80</v>
      </c>
      <c r="H30" s="206">
        <v>1319</v>
      </c>
      <c r="I30" s="206">
        <v>1</v>
      </c>
      <c r="J30" s="206" t="str">
        <f t="shared" si="3"/>
        <v/>
      </c>
      <c r="K30" s="206" t="str">
        <f t="shared" si="6"/>
        <v/>
      </c>
      <c r="L30" s="206" t="str">
        <f t="shared" si="7"/>
        <v/>
      </c>
      <c r="M30" s="206" t="str">
        <f t="shared" si="8"/>
        <v/>
      </c>
      <c r="N30" s="206" t="str">
        <f t="shared" si="9"/>
        <v/>
      </c>
      <c r="O30" s="206" t="str">
        <f t="shared" si="10"/>
        <v/>
      </c>
      <c r="P30" s="84">
        <f t="shared" si="11"/>
        <v>1.34538</v>
      </c>
      <c r="Q30" s="205" t="str">
        <v/>
      </c>
      <c r="R30" s="70">
        <f>IF(S30="IN",'BOM_Phan II'!$Y$3,"")</f>
        <v>1</v>
      </c>
      <c r="S30" s="69" t="str">
        <f t="shared" si="2"/>
        <v>IN</v>
      </c>
      <c r="T30">
        <f t="shared" si="12"/>
        <v>3</v>
      </c>
      <c r="U30" t="str">
        <f t="shared" si="13"/>
        <v>KIỆN 5</v>
      </c>
      <c r="V30">
        <f t="shared" si="14"/>
        <v>1.7938400000000001E-3</v>
      </c>
      <c r="W30" s="266" t="str">
        <v>2</v>
      </c>
      <c r="X30" s="266" t="str">
        <v>MDF HMR E1 2M MEL MS 024T - 17x1220x2440 (mm)</v>
      </c>
      <c r="Y30" s="266" t="str">
        <f t="shared" si="5"/>
        <v/>
      </c>
      <c r="Z30" s="266" t="s">
        <v>389</v>
      </c>
      <c r="AA30" s="270" t="str">
        <v>Kè hậu_05_004</v>
      </c>
    </row>
    <row r="31" spans="1:27" ht="27" customHeight="1">
      <c r="A31" s="70" t="str">
        <f t="shared" si="0"/>
        <v>L01</v>
      </c>
      <c r="B31" s="70" t="str">
        <f t="shared" si="1"/>
        <v>Muc 1.1</v>
      </c>
      <c r="C31" s="204" t="str" cm="1">
        <f t="array" ref="C31">IF(D31="","",
    IF(AND(ISNUMBER(D31), D31=INT(D31)),
        $V$6 &amp; " " &amp; (IFERROR(MAX($Y$12:$Y30), 0) + 1),
        IF(ISNUMBER(SEARCH(".", D31)), "", INDEX($C$12:$C31, MATCH(2, 1/($C$12:$C31 &lt;&gt; ""))))
    )
)</f>
        <v>KIỆN 6</v>
      </c>
      <c r="D31" s="206">
        <v>6</v>
      </c>
      <c r="E31" s="206" t="str">
        <f>IF(AA31 = "", "",
    IF(ISNUMBER(SEARCH("Kiện", C31)),
       " GÓI " &amp; COUNTIF($C$13:C31, "*Kiện*") &amp; "/" &amp; COUNTIF($C$13:$C$1000, "*Kiện*") &amp; " " &amp; AA31,
       AA31)
)</f>
        <v xml:space="preserve"> GÓI 6/14 P3 - THUNG TU</v>
      </c>
      <c r="F31" s="206">
        <v>581</v>
      </c>
      <c r="G31" s="206">
        <v>780</v>
      </c>
      <c r="H31" s="206">
        <v>896</v>
      </c>
      <c r="I31" s="206">
        <v>1</v>
      </c>
      <c r="J31" s="206" t="str">
        <f t="shared" si="3"/>
        <v>KIỆN 6_L01</v>
      </c>
      <c r="K31" s="206">
        <f t="shared" si="6"/>
        <v>631</v>
      </c>
      <c r="L31" s="206">
        <f t="shared" si="7"/>
        <v>830</v>
      </c>
      <c r="M31" s="206">
        <f t="shared" si="8"/>
        <v>966</v>
      </c>
      <c r="N31" s="206">
        <f t="shared" si="9"/>
        <v>1</v>
      </c>
      <c r="O31" s="206" t="str">
        <f t="shared" si="10"/>
        <v>XK_CHUẨN 3</v>
      </c>
      <c r="P31" s="84">
        <f t="shared" si="11"/>
        <v>0</v>
      </c>
      <c r="Q31" s="205" t="str">
        <v>HOÀN THIỆN ĐI MODULE</v>
      </c>
      <c r="R31" s="70">
        <f>IF(S31="IN",'BOM_Phan II'!$Y$3,"")</f>
        <v>1</v>
      </c>
      <c r="S31" s="69" t="str">
        <f t="shared" si="2"/>
        <v>IN</v>
      </c>
      <c r="T31">
        <f t="shared" si="12"/>
        <v>3</v>
      </c>
      <c r="U31" t="str">
        <f t="shared" si="13"/>
        <v>KIỆN 6</v>
      </c>
      <c r="V31" t="str">
        <f t="shared" si="14"/>
        <v/>
      </c>
      <c r="W31" s="266" t="str">
        <v>1</v>
      </c>
      <c r="X31" s="266" t="str">
        <v/>
      </c>
      <c r="Y31" s="266">
        <f t="shared" si="5"/>
        <v>6</v>
      </c>
      <c r="Z31" s="266"/>
      <c r="AA31" s="270" t="str">
        <v>P3 - THUNG TU</v>
      </c>
    </row>
    <row r="32" spans="1:27" ht="27" customHeight="1">
      <c r="A32" s="70" t="str">
        <f t="shared" si="0"/>
        <v>L01</v>
      </c>
      <c r="B32" s="70" t="str">
        <f t="shared" si="1"/>
        <v>Muc 1.1</v>
      </c>
      <c r="C32" s="204" t="str" cm="1">
        <f t="array" ref="C32">IF(D32="","",
    IF(AND(ISNUMBER(D32), D32=INT(D32)),
        $V$6 &amp; " " &amp; (IFERROR(MAX($Y$12:$Y31), 0) + 1),
        IF(ISNUMBER(SEARCH(".", D32)), "", INDEX($C$12:$C32, MATCH(2, 1/($C$12:$C32 &lt;&gt; ""))))
    )
)</f>
        <v>KIỆN 7</v>
      </c>
      <c r="D32" s="206">
        <v>7</v>
      </c>
      <c r="E32" s="206" t="str">
        <f>IF(AA32 = "", "",
    IF(ISNUMBER(SEARCH("Kiện", C32)),
       " GÓI " &amp; COUNTIF($C$13:C32, "*Kiện*") &amp; "/" &amp; COUNTIF($C$13:$C$1000, "*Kiện*") &amp; " " &amp; AA32,
       AA32)
)</f>
        <v xml:space="preserve"> GÓI 7/14 P4 - THUNG TU</v>
      </c>
      <c r="F32" s="206">
        <v>580</v>
      </c>
      <c r="G32" s="206">
        <v>780</v>
      </c>
      <c r="H32" s="206">
        <v>896</v>
      </c>
      <c r="I32" s="206">
        <v>1</v>
      </c>
      <c r="J32" s="206" t="str">
        <f t="shared" si="3"/>
        <v>KIỆN 7_L01</v>
      </c>
      <c r="K32" s="206">
        <f t="shared" si="6"/>
        <v>630</v>
      </c>
      <c r="L32" s="206">
        <f t="shared" si="7"/>
        <v>830</v>
      </c>
      <c r="M32" s="206">
        <f t="shared" si="8"/>
        <v>966</v>
      </c>
      <c r="N32" s="206">
        <f t="shared" si="9"/>
        <v>1</v>
      </c>
      <c r="O32" s="206" t="str">
        <f t="shared" si="10"/>
        <v>XK_CHUẨN 3</v>
      </c>
      <c r="P32" s="84">
        <f t="shared" si="11"/>
        <v>0</v>
      </c>
      <c r="Q32" s="205" t="str">
        <v>HOÀN THIỆN ĐI MODULE</v>
      </c>
      <c r="R32" s="70">
        <f>IF(S32="IN",'BOM_Phan II'!$Y$3,"")</f>
        <v>1</v>
      </c>
      <c r="S32" s="69" t="str">
        <f t="shared" si="2"/>
        <v>IN</v>
      </c>
      <c r="T32">
        <f t="shared" si="12"/>
        <v>3</v>
      </c>
      <c r="U32" t="str">
        <f t="shared" si="13"/>
        <v>KIỆN 7</v>
      </c>
      <c r="V32" t="str">
        <f t="shared" si="14"/>
        <v/>
      </c>
      <c r="W32" s="266" t="str">
        <v>1</v>
      </c>
      <c r="X32" s="266" t="str">
        <v/>
      </c>
      <c r="Y32" s="266">
        <f t="shared" si="5"/>
        <v>7</v>
      </c>
      <c r="Z32" s="266"/>
      <c r="AA32" s="270" t="str">
        <v>P4 - THUNG TU</v>
      </c>
    </row>
    <row r="33" spans="1:27" ht="27" customHeight="1">
      <c r="A33" s="70" t="str">
        <f t="shared" si="0"/>
        <v>L01</v>
      </c>
      <c r="B33" s="70" t="str">
        <f t="shared" si="1"/>
        <v>Muc 1.1</v>
      </c>
      <c r="C33" s="204" t="str" cm="1">
        <f t="array" ref="C33">IF(D33="","",
    IF(AND(ISNUMBER(D33), D33=INT(D33)),
        $V$6 &amp; " " &amp; (IFERROR(MAX($Y$12:$Y32), 0) + 1),
        IF(ISNUMBER(SEARCH(".", D33)), "", INDEX($C$12:$C33, MATCH(2, 1/($C$12:$C33 &lt;&gt; ""))))
    )
)</f>
        <v>KIỆN 8</v>
      </c>
      <c r="D33" s="206">
        <v>8</v>
      </c>
      <c r="E33" s="206" t="str">
        <f>IF(AA33 = "", "",
    IF(ISNUMBER(SEARCH("Kiện", C33)),
       " GÓI " &amp; COUNTIF($C$13:C33, "*Kiện*") &amp; "/" &amp; COUNTIF($C$13:$C$1000, "*Kiện*") &amp; " " &amp; AA33,
       AA33)
)</f>
        <v xml:space="preserve"> GÓI 8/14 P5 - KHUNG CHAN</v>
      </c>
      <c r="F33" s="206">
        <v>300</v>
      </c>
      <c r="G33" s="206">
        <v>516</v>
      </c>
      <c r="H33" s="206">
        <v>892</v>
      </c>
      <c r="I33" s="206">
        <v>1</v>
      </c>
      <c r="J33" s="206" t="str">
        <f t="shared" si="3"/>
        <v>KIỆN 8_L01</v>
      </c>
      <c r="K33" s="206">
        <f t="shared" si="6"/>
        <v>350</v>
      </c>
      <c r="L33" s="206">
        <f t="shared" si="7"/>
        <v>566</v>
      </c>
      <c r="M33" s="206">
        <f t="shared" si="8"/>
        <v>962</v>
      </c>
      <c r="N33" s="206">
        <f t="shared" si="9"/>
        <v>1</v>
      </c>
      <c r="O33" s="206" t="str">
        <f t="shared" si="10"/>
        <v>XK_CHUẨN 3</v>
      </c>
      <c r="P33" s="84">
        <f t="shared" si="11"/>
        <v>0</v>
      </c>
      <c r="Q33" s="205" t="str">
        <v>HOÀN THIỆN ĐI MODULE</v>
      </c>
      <c r="R33" s="70">
        <f>IF(S33="IN",'BOM_Phan II'!$Y$3,"")</f>
        <v>1</v>
      </c>
      <c r="S33" s="69" t="str">
        <f t="shared" si="2"/>
        <v>IN</v>
      </c>
      <c r="T33">
        <f t="shared" si="12"/>
        <v>3</v>
      </c>
      <c r="U33" t="str">
        <f t="shared" si="13"/>
        <v>KIỆN 8</v>
      </c>
      <c r="V33" t="str">
        <f t="shared" si="14"/>
        <v/>
      </c>
      <c r="W33" s="266" t="str">
        <v>1</v>
      </c>
      <c r="X33" s="266" t="str">
        <v/>
      </c>
      <c r="Y33" s="266">
        <f t="shared" si="5"/>
        <v>8</v>
      </c>
      <c r="Z33" s="266"/>
      <c r="AA33" s="270" t="str">
        <v>P5 - KHUNG CHAN</v>
      </c>
    </row>
    <row r="34" spans="1:27" ht="27" customHeight="1">
      <c r="A34" s="70" t="str">
        <f t="shared" si="0"/>
        <v>L01</v>
      </c>
      <c r="B34" s="70" t="str">
        <f t="shared" si="1"/>
        <v>Muc 1.1</v>
      </c>
      <c r="C34" s="204" t="str" cm="1">
        <f t="array" ref="C34">IF(D34="","",
    IF(AND(ISNUMBER(D34), D34=INT(D34)),
        $V$6 &amp; " " &amp; (IFERROR(MAX($Y$12:$Y33), 0) + 1),
        IF(ISNUMBER(SEARCH(".", D34)), "", INDEX($C$12:$C34, MATCH(2, 1/($C$12:$C34 &lt;&gt; ""))))
    )
)</f>
        <v>KIỆN 9</v>
      </c>
      <c r="D34" s="206">
        <v>9</v>
      </c>
      <c r="E34" s="206" t="str">
        <f>IF(AA34 = "", "",
    IF(ISNUMBER(SEARCH("Kiện", C34)),
       " GÓI " &amp; COUNTIF($C$13:C34, "*Kiện*") &amp; "/" &amp; COUNTIF($C$13:$C$1000, "*Kiện*") &amp; " " &amp; AA34,
       AA34)
)</f>
        <v xml:space="preserve"> GÓI 9/14 P6 - EN PANEL</v>
      </c>
      <c r="F34" s="206" t="str">
        <v/>
      </c>
      <c r="G34" s="206" t="str">
        <v/>
      </c>
      <c r="H34" s="206" t="str">
        <v/>
      </c>
      <c r="I34" s="206">
        <v>1</v>
      </c>
      <c r="J34" s="206" t="str">
        <f t="shared" si="3"/>
        <v>KIỆN 9_L01</v>
      </c>
      <c r="K34" s="206">
        <v>67</v>
      </c>
      <c r="L34" s="206">
        <v>650</v>
      </c>
      <c r="M34" s="206">
        <v>2450</v>
      </c>
      <c r="N34" s="206">
        <f t="shared" si="9"/>
        <v>1</v>
      </c>
      <c r="O34" s="206" t="str">
        <f t="shared" si="10"/>
        <v>XK_CHUẨN 3</v>
      </c>
      <c r="P34" s="84">
        <f t="shared" si="11"/>
        <v>18.36</v>
      </c>
      <c r="Q34" s="205" t="str">
        <v>GIAO RỜI</v>
      </c>
      <c r="R34" s="70">
        <f>IF(S34="IN",'BOM_Phan II'!$Y$3,"")</f>
        <v>1</v>
      </c>
      <c r="S34" s="69" t="str">
        <f t="shared" si="2"/>
        <v>IN</v>
      </c>
      <c r="T34">
        <f t="shared" si="12"/>
        <v>3</v>
      </c>
      <c r="U34" t="str">
        <f t="shared" si="13"/>
        <v>KIỆN 9</v>
      </c>
      <c r="V34" t="str">
        <f t="shared" si="14"/>
        <v/>
      </c>
      <c r="W34" s="266" t="str">
        <v>2</v>
      </c>
      <c r="X34" s="266" t="str">
        <v/>
      </c>
      <c r="Y34" s="266">
        <f t="shared" si="5"/>
        <v>9</v>
      </c>
      <c r="Z34" s="266">
        <v>1</v>
      </c>
      <c r="AA34" s="270" t="str">
        <v>P6 - EN PANEL</v>
      </c>
    </row>
    <row r="35" spans="1:27" ht="27" customHeight="1">
      <c r="A35" s="70" t="str">
        <f t="shared" si="0"/>
        <v>L01</v>
      </c>
      <c r="B35" s="70" t="str">
        <f t="shared" si="1"/>
        <v>Muc 1.1</v>
      </c>
      <c r="C35" s="204" t="str" cm="1">
        <f t="array" ref="C35">IF(D35="","",
    IF(AND(ISNUMBER(D35), D35=INT(D35)),
        $V$6 &amp; " " &amp; (IFERROR(MAX($Y$12:$Y34), 0) + 1),
        IF(ISNUMBER(SEARCH(".", D35)), "", INDEX($C$12:$C35, MATCH(2, 1/($C$12:$C35 &lt;&gt; ""))))
    )
)</f>
        <v/>
      </c>
      <c r="D35" s="206" t="str">
        <v>9.1</v>
      </c>
      <c r="E35" s="206" t="str">
        <f>IF(AA35 = "", "",
    IF(ISNUMBER(SEARCH("Kiện", C35)),
       " GÓI " &amp; COUNTIF($C$13:C35, "*Kiện*") &amp; "/" &amp; COUNTIF($C$13:$C$1000, "*Kiện*") &amp; " " &amp; AA35,
       AA35)
)</f>
        <v>Hông phụ_09_001</v>
      </c>
      <c r="F35" s="206">
        <v>17</v>
      </c>
      <c r="G35" s="206">
        <v>600</v>
      </c>
      <c r="H35" s="206">
        <v>2400</v>
      </c>
      <c r="I35" s="206">
        <v>1</v>
      </c>
      <c r="J35" s="206" t="str">
        <f t="shared" si="3"/>
        <v/>
      </c>
      <c r="K35" s="206" t="str">
        <f t="shared" si="6"/>
        <v/>
      </c>
      <c r="L35" s="206" t="str">
        <f t="shared" si="7"/>
        <v/>
      </c>
      <c r="M35" s="206" t="str">
        <f t="shared" si="8"/>
        <v/>
      </c>
      <c r="N35" s="206" t="str">
        <f t="shared" si="9"/>
        <v/>
      </c>
      <c r="O35" s="206" t="str">
        <f t="shared" si="10"/>
        <v/>
      </c>
      <c r="P35" s="84">
        <f t="shared" si="11"/>
        <v>18.36</v>
      </c>
      <c r="Q35" s="205" t="str">
        <v/>
      </c>
      <c r="R35" s="70">
        <f>IF(S35="IN",'BOM_Phan II'!$Y$3,"")</f>
        <v>1</v>
      </c>
      <c r="S35" s="69" t="str">
        <f t="shared" si="2"/>
        <v>IN</v>
      </c>
      <c r="T35">
        <f t="shared" si="12"/>
        <v>3</v>
      </c>
      <c r="U35" t="str">
        <f t="shared" si="13"/>
        <v>KIỆN 9</v>
      </c>
      <c r="V35">
        <f t="shared" si="14"/>
        <v>2.4479999999999998E-2</v>
      </c>
      <c r="W35" s="266" t="str">
        <v>2</v>
      </c>
      <c r="X35" s="266" t="str">
        <v>MDF HMR E1 2M MEL MS 024T - 17x1220x2440 (mm)</v>
      </c>
      <c r="Y35" s="266" t="str">
        <f t="shared" si="5"/>
        <v/>
      </c>
      <c r="Z35" s="266" t="s">
        <v>387</v>
      </c>
      <c r="AA35" s="270" t="str">
        <v>Hông phụ_09_001</v>
      </c>
    </row>
    <row r="36" spans="1:27" ht="27" customHeight="1">
      <c r="A36" s="70" t="str">
        <f t="shared" si="0"/>
        <v>L01</v>
      </c>
      <c r="B36" s="70" t="str">
        <f t="shared" si="1"/>
        <v>Muc 1.1</v>
      </c>
      <c r="C36" s="204" t="str" cm="1">
        <f t="array" ref="C36">IF(D36="","",
    IF(AND(ISNUMBER(D36), D36=INT(D36)),
        $V$6 &amp; " " &amp; (IFERROR(MAX($Y$12:$Y35), 0) + 1),
        IF(ISNUMBER(SEARCH(".", D36)), "", INDEX($C$12:$C36, MATCH(2, 1/($C$12:$C36 &lt;&gt; ""))))
    )
)</f>
        <v>KIỆN 10</v>
      </c>
      <c r="D36" s="206">
        <v>10</v>
      </c>
      <c r="E36" s="206" t="str">
        <f>IF(AA36 = "", "",
    IF(ISNUMBER(SEARCH("Kiện", C36)),
       " GÓI " &amp; COUNTIF($C$13:C36, "*Kiện*") &amp; "/" &amp; COUNTIF($C$13:$C$1000, "*Kiện*") &amp; " " &amp; AA36,
       AA36)
)</f>
        <v xml:space="preserve"> GÓI 10/14 P7 - FILLER</v>
      </c>
      <c r="F36" s="206" t="str">
        <v/>
      </c>
      <c r="G36" s="206" t="str">
        <v/>
      </c>
      <c r="H36" s="206" t="str">
        <v/>
      </c>
      <c r="I36" s="206">
        <v>1</v>
      </c>
      <c r="J36" s="206" t="str">
        <f t="shared" si="3"/>
        <v>KIỆN 10_L01</v>
      </c>
      <c r="K36" s="206">
        <v>84</v>
      </c>
      <c r="L36" s="206">
        <v>90</v>
      </c>
      <c r="M36" s="206">
        <v>2450</v>
      </c>
      <c r="N36" s="206">
        <f t="shared" si="9"/>
        <v>1</v>
      </c>
      <c r="O36" s="206" t="str">
        <f t="shared" si="10"/>
        <v>XK_CHUẨN 3</v>
      </c>
      <c r="P36" s="84">
        <f t="shared" si="11"/>
        <v>2.1708150000000002</v>
      </c>
      <c r="Q36" s="205" t="str">
        <v>GIAO RỜI</v>
      </c>
      <c r="R36" s="70">
        <f>IF(S36="IN",'BOM_Phan II'!$Y$3,"")</f>
        <v>1</v>
      </c>
      <c r="S36" s="69" t="str">
        <f t="shared" si="2"/>
        <v>IN</v>
      </c>
      <c r="T36">
        <f t="shared" si="12"/>
        <v>3</v>
      </c>
      <c r="U36" t="str">
        <f t="shared" si="13"/>
        <v>KIỆN 10</v>
      </c>
      <c r="V36" t="str">
        <f t="shared" si="14"/>
        <v/>
      </c>
      <c r="W36" s="266" t="str">
        <v>2</v>
      </c>
      <c r="X36" s="266" t="str">
        <v/>
      </c>
      <c r="Y36" s="266">
        <f t="shared" si="5"/>
        <v>10</v>
      </c>
      <c r="Z36" s="266">
        <v>2</v>
      </c>
      <c r="AA36" s="270" t="str">
        <v>P7 - FILLER</v>
      </c>
    </row>
    <row r="37" spans="1:27" ht="27" customHeight="1">
      <c r="A37" s="70" t="str">
        <f t="shared" si="0"/>
        <v>L01</v>
      </c>
      <c r="B37" s="70" t="str">
        <f t="shared" si="1"/>
        <v>Muc 1.1</v>
      </c>
      <c r="C37" s="204" t="str" cm="1">
        <f t="array" ref="C37">IF(D37="","",
    IF(AND(ISNUMBER(D37), D37=INT(D37)),
        $V$6 &amp; " " &amp; (IFERROR(MAX($Y$12:$Y36), 0) + 1),
        IF(ISNUMBER(SEARCH(".", D37)), "", INDEX($C$12:$C37, MATCH(2, 1/($C$12:$C37 &lt;&gt; ""))))
    )
)</f>
        <v/>
      </c>
      <c r="D37" s="206" t="str">
        <v>10.1</v>
      </c>
      <c r="E37" s="206" t="str">
        <f>IF(AA37 = "", "",
    IF(ISNUMBER(SEARCH("Kiện", C37)),
       " GÓI " &amp; COUNTIF($C$13:C37, "*Kiện*") &amp; "/" &amp; COUNTIF($C$13:$C$1000, "*Kiện*") &amp; " " &amp; AA37,
       AA37)
)</f>
        <v>Gia giảm_10_001</v>
      </c>
      <c r="F37" s="206">
        <v>17</v>
      </c>
      <c r="G37" s="206">
        <v>40</v>
      </c>
      <c r="H37" s="206">
        <v>910</v>
      </c>
      <c r="I37" s="206">
        <v>1</v>
      </c>
      <c r="J37" s="206" t="str">
        <f t="shared" si="3"/>
        <v/>
      </c>
      <c r="K37" s="206" t="str">
        <f t="shared" si="6"/>
        <v/>
      </c>
      <c r="L37" s="206" t="str">
        <f t="shared" si="7"/>
        <v/>
      </c>
      <c r="M37" s="206" t="str">
        <f t="shared" si="8"/>
        <v/>
      </c>
      <c r="N37" s="206" t="str">
        <f t="shared" si="9"/>
        <v/>
      </c>
      <c r="O37" s="206" t="str">
        <f t="shared" si="10"/>
        <v/>
      </c>
      <c r="P37" s="84">
        <f t="shared" si="11"/>
        <v>0.46409999999999996</v>
      </c>
      <c r="Q37" s="205" t="str">
        <v>Tính dư chiều dài cắt thực tế</v>
      </c>
      <c r="R37" s="70">
        <f>IF(S37="IN",'BOM_Phan II'!$Y$3,"")</f>
        <v>1</v>
      </c>
      <c r="S37" s="69" t="str">
        <f t="shared" si="2"/>
        <v>IN</v>
      </c>
      <c r="T37">
        <f t="shared" si="12"/>
        <v>3</v>
      </c>
      <c r="U37" t="str">
        <f t="shared" si="13"/>
        <v>KIỆN 10</v>
      </c>
      <c r="V37">
        <f t="shared" si="14"/>
        <v>6.1879999999999997E-4</v>
      </c>
      <c r="W37" s="266" t="str">
        <v>2</v>
      </c>
      <c r="X37" s="266" t="str">
        <v>MDF HMR E1 2M MEL MS 024T - 17x1220x2440 (mm)</v>
      </c>
      <c r="Y37" s="266" t="str">
        <f t="shared" si="5"/>
        <v/>
      </c>
      <c r="Z37" s="266" t="s">
        <v>388</v>
      </c>
      <c r="AA37" s="270" t="str">
        <v>Gia giảm_10_001</v>
      </c>
    </row>
    <row r="38" spans="1:27" ht="27" customHeight="1">
      <c r="A38" s="70" t="str">
        <f t="shared" si="0"/>
        <v>L01</v>
      </c>
      <c r="B38" s="70" t="str">
        <f t="shared" si="1"/>
        <v>Muc 1.1</v>
      </c>
      <c r="C38" s="204" t="str" cm="1">
        <f t="array" ref="C38">IF(D38="","",
    IF(AND(ISNUMBER(D38), D38=INT(D38)),
        $V$6 &amp; " " &amp; (IFERROR(MAX($Y$12:$Y37), 0) + 1),
        IF(ISNUMBER(SEARCH(".", D38)), "", INDEX($C$12:$C38, MATCH(2, 1/($C$12:$C38 &lt;&gt; ""))))
    )
)</f>
        <v/>
      </c>
      <c r="D38" s="206" t="str">
        <v>10.2</v>
      </c>
      <c r="E38" s="206" t="str">
        <f>IF(AA38 = "", "",
    IF(ISNUMBER(SEARCH("Kiện", C38)),
       " GÓI " &amp; COUNTIF($C$13:C38, "*Kiện*") &amp; "/" &amp; COUNTIF($C$13:$C$1000, "*Kiện*") &amp; " " &amp; AA38,
       AA38)
)</f>
        <v>Gia giảm_10_002</v>
      </c>
      <c r="F38" s="206">
        <v>17</v>
      </c>
      <c r="G38" s="206">
        <v>40</v>
      </c>
      <c r="H38" s="206">
        <v>2400</v>
      </c>
      <c r="I38" s="206">
        <v>1</v>
      </c>
      <c r="J38" s="206" t="str">
        <f t="shared" si="3"/>
        <v/>
      </c>
      <c r="K38" s="206" t="str">
        <f t="shared" si="6"/>
        <v/>
      </c>
      <c r="L38" s="206" t="str">
        <f t="shared" si="7"/>
        <v/>
      </c>
      <c r="M38" s="206" t="str">
        <f t="shared" si="8"/>
        <v/>
      </c>
      <c r="N38" s="206" t="str">
        <f t="shared" si="9"/>
        <v/>
      </c>
      <c r="O38" s="206" t="str">
        <f t="shared" si="10"/>
        <v/>
      </c>
      <c r="P38" s="84">
        <f t="shared" si="11"/>
        <v>1.224</v>
      </c>
      <c r="Q38" s="205" t="str">
        <v/>
      </c>
      <c r="R38" s="70">
        <f>IF(S38="IN",'BOM_Phan II'!$Y$3,"")</f>
        <v>1</v>
      </c>
      <c r="S38" s="69" t="str">
        <f t="shared" si="2"/>
        <v>IN</v>
      </c>
      <c r="T38">
        <f t="shared" si="12"/>
        <v>3</v>
      </c>
      <c r="U38" t="str">
        <f t="shared" si="13"/>
        <v>KIỆN 10</v>
      </c>
      <c r="V38">
        <f t="shared" si="14"/>
        <v>1.632E-3</v>
      </c>
      <c r="W38" s="266" t="str">
        <v>2</v>
      </c>
      <c r="X38" s="266" t="str">
        <v>MDF HMR E1 2M MEL MS 024T - 17x1220x2440 (mm)</v>
      </c>
      <c r="Y38" s="266" t="str">
        <f t="shared" si="5"/>
        <v/>
      </c>
      <c r="Z38" s="266" t="s">
        <v>387</v>
      </c>
      <c r="AA38" s="270" t="str">
        <v>Gia giảm_10_002</v>
      </c>
    </row>
    <row r="39" spans="1:27" ht="27" customHeight="1">
      <c r="A39" s="70" t="str">
        <f t="shared" si="0"/>
        <v>L01</v>
      </c>
      <c r="B39" s="70" t="str">
        <f t="shared" si="1"/>
        <v>Muc 1.1</v>
      </c>
      <c r="C39" s="204" t="str" cm="1">
        <f t="array" ref="C39">IF(D39="","",
    IF(AND(ISNUMBER(D39), D39=INT(D39)),
        $V$6 &amp; " " &amp; (IFERROR(MAX($Y$12:$Y38), 0) + 1),
        IF(ISNUMBER(SEARCH(".", D39)), "", INDEX($C$12:$C39, MATCH(2, 1/($C$12:$C39 &lt;&gt; ""))))
    )
)</f>
        <v/>
      </c>
      <c r="D39" s="206" t="str">
        <v>10.3</v>
      </c>
      <c r="E39" s="206" t="str">
        <f>IF(AA39 = "", "",
    IF(ISNUMBER(SEARCH("Kiện", C39)),
       " GÓI " &amp; COUNTIF($C$13:C39, "*Kiện*") &amp; "/" &amp; COUNTIF($C$13:$C$1000, "*Kiện*") &amp; " " &amp; AA39,
       AA39)
)</f>
        <v>Gia giảm_10_003</v>
      </c>
      <c r="F39" s="206">
        <v>17</v>
      </c>
      <c r="G39" s="206">
        <v>20</v>
      </c>
      <c r="H39" s="206">
        <v>631</v>
      </c>
      <c r="I39" s="206">
        <v>1</v>
      </c>
      <c r="J39" s="206" t="str">
        <f t="shared" si="3"/>
        <v/>
      </c>
      <c r="K39" s="206" t="str">
        <f t="shared" si="6"/>
        <v/>
      </c>
      <c r="L39" s="206" t="str">
        <f t="shared" si="7"/>
        <v/>
      </c>
      <c r="M39" s="206" t="str">
        <f t="shared" si="8"/>
        <v/>
      </c>
      <c r="N39" s="206" t="str">
        <f t="shared" si="9"/>
        <v/>
      </c>
      <c r="O39" s="206" t="str">
        <f t="shared" si="10"/>
        <v/>
      </c>
      <c r="P39" s="84">
        <f t="shared" si="11"/>
        <v>0.16090499999999999</v>
      </c>
      <c r="Q39" s="205" t="str">
        <v>Tính dư chiều dài cắt thực tế</v>
      </c>
      <c r="R39" s="70">
        <f>IF(S39="IN",'BOM_Phan II'!$Y$3,"")</f>
        <v>1</v>
      </c>
      <c r="S39" s="69" t="str">
        <f t="shared" si="2"/>
        <v>IN</v>
      </c>
      <c r="T39">
        <f t="shared" si="12"/>
        <v>3</v>
      </c>
      <c r="U39" t="str">
        <f t="shared" si="13"/>
        <v>KIỆN 10</v>
      </c>
      <c r="V39">
        <f t="shared" si="14"/>
        <v>2.1453999999999999E-4</v>
      </c>
      <c r="W39" s="266" t="str">
        <v>2</v>
      </c>
      <c r="X39" s="266" t="str">
        <v>MDF HMR E1 2M MEL MS 024T - 17x1220x2440 (mm)</v>
      </c>
      <c r="Y39" s="266" t="str">
        <f t="shared" si="5"/>
        <v/>
      </c>
      <c r="Z39" s="266" t="s">
        <v>388</v>
      </c>
      <c r="AA39" s="270" t="str">
        <v>Gia giảm_10_003</v>
      </c>
    </row>
    <row r="40" spans="1:27" ht="27" customHeight="1">
      <c r="A40" s="70" t="str">
        <f t="shared" si="0"/>
        <v>L01</v>
      </c>
      <c r="B40" s="70" t="str">
        <f t="shared" si="1"/>
        <v>Muc 1.1</v>
      </c>
      <c r="C40" s="204" t="str" cm="1">
        <f t="array" ref="C40">IF(D40="","",
    IF(AND(ISNUMBER(D40), D40=INT(D40)),
        $V$6 &amp; " " &amp; (IFERROR(MAX($Y$12:$Y39), 0) + 1),
        IF(ISNUMBER(SEARCH(".", D40)), "", INDEX($C$12:$C40, MATCH(2, 1/($C$12:$C40 &lt;&gt; ""))))
    )
)</f>
        <v/>
      </c>
      <c r="D40" s="206" t="str">
        <v>10.4</v>
      </c>
      <c r="E40" s="206" t="str">
        <f>IF(AA40 = "", "",
    IF(ISNUMBER(SEARCH("Kiện", C40)),
       " GÓI " &amp; COUNTIF($C$13:C40, "*Kiện*") &amp; "/" &amp; COUNTIF($C$13:$C$1000, "*Kiện*") &amp; " " &amp; AA40,
       AA40)
)</f>
        <v>Xương kè gia giảm_10_004</v>
      </c>
      <c r="F40" s="206">
        <v>17</v>
      </c>
      <c r="G40" s="206">
        <v>40</v>
      </c>
      <c r="H40" s="206">
        <v>631</v>
      </c>
      <c r="I40" s="206">
        <v>1</v>
      </c>
      <c r="J40" s="206" t="str">
        <f t="shared" si="3"/>
        <v/>
      </c>
      <c r="K40" s="206" t="str">
        <f t="shared" si="6"/>
        <v/>
      </c>
      <c r="L40" s="206" t="str">
        <f t="shared" si="7"/>
        <v/>
      </c>
      <c r="M40" s="206" t="str">
        <f t="shared" si="8"/>
        <v/>
      </c>
      <c r="N40" s="206" t="str">
        <f t="shared" si="9"/>
        <v/>
      </c>
      <c r="O40" s="206" t="str">
        <f t="shared" si="10"/>
        <v/>
      </c>
      <c r="P40" s="84">
        <f t="shared" si="11"/>
        <v>0.32180999999999998</v>
      </c>
      <c r="Q40" s="205" t="str">
        <v>Tính dư chiều dài cắt thực tế</v>
      </c>
      <c r="R40" s="70">
        <f>IF(S40="IN",'BOM_Phan II'!$Y$3,"")</f>
        <v>1</v>
      </c>
      <c r="S40" s="69" t="str">
        <f t="shared" si="2"/>
        <v>IN</v>
      </c>
      <c r="T40">
        <f t="shared" si="12"/>
        <v>3</v>
      </c>
      <c r="U40" t="str">
        <f t="shared" si="13"/>
        <v>KIỆN 10</v>
      </c>
      <c r="V40">
        <f t="shared" si="14"/>
        <v>4.2907999999999998E-4</v>
      </c>
      <c r="W40" s="266" t="str">
        <v>2</v>
      </c>
      <c r="X40" s="266" t="str">
        <v>VÁN tận dụng (Loại bất kỳ)</v>
      </c>
      <c r="Y40" s="266" t="str">
        <f t="shared" si="5"/>
        <v/>
      </c>
      <c r="Z40" s="266" t="s">
        <v>388</v>
      </c>
      <c r="AA40" s="270" t="str">
        <v>Xương kè gia giảm_10_004</v>
      </c>
    </row>
    <row r="41" spans="1:27" ht="27" customHeight="1">
      <c r="A41" s="70" t="str">
        <f t="shared" si="0"/>
        <v>L01</v>
      </c>
      <c r="B41" s="70" t="str">
        <f t="shared" si="1"/>
        <v>Muc 1.1</v>
      </c>
      <c r="C41" s="204" t="str" cm="1">
        <f t="array" ref="C41">IF(D41="","",
    IF(AND(ISNUMBER(D41), D41=INT(D41)),
        $V$6 &amp; " " &amp; (IFERROR(MAX($Y$12:$Y40), 0) + 1),
        IF(ISNUMBER(SEARCH(".", D41)), "", INDEX($C$12:$C41, MATCH(2, 1/($C$12:$C41 &lt;&gt; ""))))
    )
)</f>
        <v>KIỆN 11</v>
      </c>
      <c r="D41" s="206">
        <v>11</v>
      </c>
      <c r="E41" s="206" t="str">
        <f>IF(AA41 = "", "",
    IF(ISNUMBER(SEARCH("Kiện", C41)),
       " GÓI " &amp; COUNTIF($C$13:C41, "*Kiện*") &amp; "/" &amp; COUNTIF($C$13:$C$1000, "*Kiện*") &amp; " " &amp; AA41,
       AA41)
)</f>
        <v xml:space="preserve"> GÓI 11/14 P8 - KE HAU</v>
      </c>
      <c r="F41" s="206" t="str">
        <v/>
      </c>
      <c r="G41" s="206" t="str">
        <v/>
      </c>
      <c r="H41" s="206" t="str">
        <v/>
      </c>
      <c r="I41" s="206">
        <v>1</v>
      </c>
      <c r="J41" s="206" t="str">
        <f t="shared" si="3"/>
        <v>KIỆN 11_L01</v>
      </c>
      <c r="K41" s="206">
        <v>82</v>
      </c>
      <c r="L41" s="206">
        <v>128</v>
      </c>
      <c r="M41" s="206">
        <v>648</v>
      </c>
      <c r="N41" s="206">
        <f t="shared" si="9"/>
        <v>1</v>
      </c>
      <c r="O41" s="206" t="str">
        <f t="shared" si="10"/>
        <v>XK_CHUẨN 3</v>
      </c>
      <c r="P41" s="84">
        <f t="shared" si="11"/>
        <v>1.119456</v>
      </c>
      <c r="Q41" s="205" t="str">
        <v>GIAO RỜI</v>
      </c>
      <c r="R41" s="70">
        <f>IF(S41="IN",'BOM_Phan II'!$Y$3,"")</f>
        <v>1</v>
      </c>
      <c r="S41" s="69" t="str">
        <f t="shared" si="2"/>
        <v>IN</v>
      </c>
      <c r="T41">
        <f t="shared" si="12"/>
        <v>3</v>
      </c>
      <c r="U41" t="str">
        <f t="shared" si="13"/>
        <v>KIỆN 11</v>
      </c>
      <c r="V41" t="str">
        <f t="shared" si="14"/>
        <v/>
      </c>
      <c r="W41" s="266" t="str">
        <v>2</v>
      </c>
      <c r="X41" s="266" t="str">
        <v/>
      </c>
      <c r="Y41" s="266">
        <f t="shared" si="5"/>
        <v>11</v>
      </c>
      <c r="Z41" s="266">
        <v>2</v>
      </c>
      <c r="AA41" s="270" t="str">
        <v>P8 - KE HAU</v>
      </c>
    </row>
    <row r="42" spans="1:27" ht="27" customHeight="1">
      <c r="A42" s="70" t="str">
        <f t="shared" si="0"/>
        <v>L01</v>
      </c>
      <c r="B42" s="70" t="str">
        <f t="shared" si="1"/>
        <v>Muc 1.1</v>
      </c>
      <c r="C42" s="204" t="str" cm="1">
        <f t="array" ref="C42">IF(D42="","",
    IF(AND(ISNUMBER(D42), D42=INT(D42)),
        $V$6 &amp; " " &amp; (IFERROR(MAX($Y$12:$Y41), 0) + 1),
        IF(ISNUMBER(SEARCH(".", D42)), "", INDEX($C$12:$C42, MATCH(2, 1/($C$12:$C42 &lt;&gt; ""))))
    )
)</f>
        <v/>
      </c>
      <c r="D42" s="206" t="str">
        <v>11.1</v>
      </c>
      <c r="E42" s="206" t="str">
        <f>IF(AA42 = "", "",
    IF(ISNUMBER(SEARCH("Kiện", C42)),
       " GÓI " &amp; COUNTIF($C$13:C42, "*Kiện*") &amp; "/" &amp; COUNTIF($C$13:$C$1000, "*Kiện*") &amp; " " &amp; AA42,
       AA42)
)</f>
        <v>Kè hậu_11_001</v>
      </c>
      <c r="F42" s="206">
        <v>16</v>
      </c>
      <c r="G42" s="206">
        <v>78</v>
      </c>
      <c r="H42" s="206">
        <v>598</v>
      </c>
      <c r="I42" s="206">
        <v>2</v>
      </c>
      <c r="J42" s="206" t="str">
        <f t="shared" si="3"/>
        <v/>
      </c>
      <c r="K42" s="206" t="str">
        <f t="shared" si="6"/>
        <v/>
      </c>
      <c r="L42" s="206" t="str">
        <f t="shared" si="7"/>
        <v/>
      </c>
      <c r="M42" s="206" t="str">
        <f t="shared" si="8"/>
        <v/>
      </c>
      <c r="N42" s="206" t="str">
        <f t="shared" si="9"/>
        <v/>
      </c>
      <c r="O42" s="206" t="str">
        <f t="shared" si="10"/>
        <v/>
      </c>
      <c r="P42" s="84">
        <f t="shared" si="11"/>
        <v>1.119456</v>
      </c>
      <c r="Q42" s="205" t="str">
        <v/>
      </c>
      <c r="R42" s="70">
        <f>IF(S42="IN",'BOM_Phan II'!$Y$3,"")</f>
        <v>1</v>
      </c>
      <c r="S42" s="69" t="str">
        <f t="shared" si="2"/>
        <v>IN</v>
      </c>
      <c r="T42">
        <f t="shared" si="12"/>
        <v>3</v>
      </c>
      <c r="U42" t="str">
        <f t="shared" si="13"/>
        <v>KIỆN 11</v>
      </c>
      <c r="V42">
        <f t="shared" si="14"/>
        <v>1.4926080000000001E-3</v>
      </c>
      <c r="W42" s="266" t="str">
        <v>2</v>
      </c>
      <c r="X42" s="266" t="str">
        <v>PB HMR E1 2M MEL MS 024T - 16x1220x2440 (mm)</v>
      </c>
      <c r="Y42" s="266" t="str">
        <f t="shared" si="5"/>
        <v/>
      </c>
      <c r="Z42" s="266" t="s">
        <v>392</v>
      </c>
      <c r="AA42" s="270" t="str">
        <v>Kè hậu_11_001</v>
      </c>
    </row>
    <row r="43" spans="1:27" ht="27" customHeight="1">
      <c r="A43" s="70" t="str">
        <f t="shared" si="0"/>
        <v>L01</v>
      </c>
      <c r="B43" s="70" t="str">
        <f t="shared" si="1"/>
        <v>Muc 1.1</v>
      </c>
      <c r="C43" s="204" t="str" cm="1">
        <f t="array" ref="C43">IF(D43="","",
    IF(AND(ISNUMBER(D43), D43=INT(D43)),
        $V$6 &amp; " " &amp; (IFERROR(MAX($Y$12:$Y42), 0) + 1),
        IF(ISNUMBER(SEARCH(".", D43)), "", INDEX($C$12:$C43, MATCH(2, 1/($C$12:$C43 &lt;&gt; ""))))
    )
)</f>
        <v>KIỆN 12</v>
      </c>
      <c r="D43" s="206">
        <v>12</v>
      </c>
      <c r="E43" s="206" t="str">
        <f>IF(AA43 = "", "",
    IF(ISNUMBER(SEARCH("Kiện", C43)),
       " GÓI " &amp; COUNTIF($C$13:C43, "*Kiện*") &amp; "/" &amp; COUNTIF($C$13:$C$1000, "*Kiện*") &amp; " " &amp; AA43,
       AA43)
)</f>
        <v xml:space="preserve"> GÓI 12/14 P9 - CANH P1</v>
      </c>
      <c r="F43" s="206" t="str">
        <v/>
      </c>
      <c r="G43" s="206" t="str">
        <v/>
      </c>
      <c r="H43" s="206" t="str">
        <v/>
      </c>
      <c r="I43" s="206">
        <v>1</v>
      </c>
      <c r="J43" s="206" t="str">
        <f t="shared" si="3"/>
        <v>KIỆN 12_L01</v>
      </c>
      <c r="K43" s="206">
        <v>67</v>
      </c>
      <c r="L43" s="206">
        <v>647</v>
      </c>
      <c r="M43" s="206">
        <v>2330</v>
      </c>
      <c r="N43" s="206">
        <f t="shared" si="9"/>
        <v>1</v>
      </c>
      <c r="O43" s="206" t="str">
        <f t="shared" si="10"/>
        <v>XK_CHUẨN 3</v>
      </c>
      <c r="P43" s="84">
        <f t="shared" si="11"/>
        <v>17.354789999999998</v>
      </c>
      <c r="Q43" s="205" t="str">
        <v>GIAO RỜI</v>
      </c>
      <c r="R43" s="70">
        <f>IF(S43="IN",'BOM_Phan II'!$Y$3,"")</f>
        <v>1</v>
      </c>
      <c r="S43" s="69" t="str">
        <f t="shared" si="2"/>
        <v>IN</v>
      </c>
      <c r="T43">
        <f t="shared" si="12"/>
        <v>3</v>
      </c>
      <c r="U43" t="str">
        <f t="shared" si="13"/>
        <v>KIỆN 12</v>
      </c>
      <c r="V43" t="str">
        <f t="shared" si="14"/>
        <v/>
      </c>
      <c r="W43" s="266" t="str">
        <v>2</v>
      </c>
      <c r="X43" s="266" t="str">
        <v/>
      </c>
      <c r="Y43" s="266">
        <f t="shared" si="5"/>
        <v>12</v>
      </c>
      <c r="Z43" s="266">
        <v>1</v>
      </c>
      <c r="AA43" s="270" t="str">
        <v>P9 - CANH P1</v>
      </c>
    </row>
    <row r="44" spans="1:27" ht="27" customHeight="1">
      <c r="A44" s="70" t="str">
        <f t="shared" si="0"/>
        <v>L01</v>
      </c>
      <c r="B44" s="70" t="str">
        <f t="shared" si="1"/>
        <v>Muc 1.1</v>
      </c>
      <c r="C44" s="204" t="str" cm="1">
        <f t="array" ref="C44">IF(D44="","",
    IF(AND(ISNUMBER(D44), D44=INT(D44)),
        $V$6 &amp; " " &amp; (IFERROR(MAX($Y$12:$Y43), 0) + 1),
        IF(ISNUMBER(SEARCH(".", D44)), "", INDEX($C$12:$C44, MATCH(2, 1/($C$12:$C44 &lt;&gt; ""))))
    )
)</f>
        <v/>
      </c>
      <c r="D44" s="206" t="str">
        <v>12.1</v>
      </c>
      <c r="E44" s="206" t="str">
        <f>IF(AA44 = "", "",
    IF(ISNUMBER(SEARCH("Kiện", C44)),
       " GÓI " &amp; COUNTIF($C$13:C44, "*Kiện*") &amp; "/" &amp; COUNTIF($C$13:$C$1000, "*Kiện*") &amp; " " &amp; AA44,
       AA44)
)</f>
        <v>Cánh trái_12_001</v>
      </c>
      <c r="F44" s="206">
        <v>17</v>
      </c>
      <c r="G44" s="206">
        <v>597</v>
      </c>
      <c r="H44" s="206">
        <v>2280</v>
      </c>
      <c r="I44" s="206">
        <v>1</v>
      </c>
      <c r="J44" s="206" t="str">
        <f t="shared" si="3"/>
        <v/>
      </c>
      <c r="K44" s="206" t="str">
        <f t="shared" si="6"/>
        <v/>
      </c>
      <c r="L44" s="206" t="str">
        <f t="shared" si="7"/>
        <v/>
      </c>
      <c r="M44" s="206" t="str">
        <f t="shared" si="8"/>
        <v/>
      </c>
      <c r="N44" s="206" t="str">
        <f t="shared" si="9"/>
        <v/>
      </c>
      <c r="O44" s="206" t="str">
        <f t="shared" si="10"/>
        <v/>
      </c>
      <c r="P44" s="84">
        <f t="shared" si="11"/>
        <v>17.354789999999998</v>
      </c>
      <c r="Q44" s="205" t="str">
        <v/>
      </c>
      <c r="R44" s="70">
        <f>IF(S44="IN",'BOM_Phan II'!$Y$3,"")</f>
        <v>1</v>
      </c>
      <c r="S44" s="69" t="str">
        <f t="shared" si="2"/>
        <v>IN</v>
      </c>
      <c r="T44">
        <f t="shared" si="12"/>
        <v>3</v>
      </c>
      <c r="U44" t="str">
        <f t="shared" si="13"/>
        <v>KIỆN 12</v>
      </c>
      <c r="V44">
        <f t="shared" si="14"/>
        <v>2.3139719999999999E-2</v>
      </c>
      <c r="W44" s="266" t="str">
        <v>2</v>
      </c>
      <c r="X44" s="266" t="str">
        <v>MDF HMR E1 2M MEL MS 024T - 17x1220x2440 (mm)</v>
      </c>
      <c r="Y44" s="266" t="str">
        <f t="shared" si="5"/>
        <v/>
      </c>
      <c r="Z44" s="266" t="s">
        <v>387</v>
      </c>
      <c r="AA44" s="270" t="str">
        <v>Cánh trái_12_001</v>
      </c>
    </row>
    <row r="45" spans="1:27" ht="27" customHeight="1">
      <c r="A45" s="70" t="str">
        <f t="shared" si="0"/>
        <v>L01</v>
      </c>
      <c r="B45" s="70" t="str">
        <f t="shared" si="1"/>
        <v>Muc 1.1</v>
      </c>
      <c r="C45" s="204" t="str" cm="1">
        <f t="array" ref="C45">IF(D45="","",
    IF(AND(ISNUMBER(D45), D45=INT(D45)),
        $V$6 &amp; " " &amp; (IFERROR(MAX($Y$12:$Y44), 0) + 1),
        IF(ISNUMBER(SEARCH(".", D45)), "", INDEX($C$12:$C45, MATCH(2, 1/($C$12:$C45 &lt;&gt; ""))))
    )
)</f>
        <v>KIỆN 13</v>
      </c>
      <c r="D45" s="206">
        <v>13</v>
      </c>
      <c r="E45" s="206" t="str">
        <f>IF(AA45 = "", "",
    IF(ISNUMBER(SEARCH("Kiện", C45)),
       " GÓI " &amp; COUNTIF($C$13:C45, "*Kiện*") &amp; "/" &amp; COUNTIF($C$13:$C$1000, "*Kiện*") &amp; " " &amp; AA45,
       AA45)
)</f>
        <v xml:space="preserve"> GÓI 13/14 P10 - CANH P3 + P4</v>
      </c>
      <c r="F45" s="206" t="str">
        <v/>
      </c>
      <c r="G45" s="206" t="str">
        <v/>
      </c>
      <c r="H45" s="206" t="str">
        <v/>
      </c>
      <c r="I45" s="206">
        <v>1</v>
      </c>
      <c r="J45" s="206" t="str">
        <f t="shared" si="3"/>
        <v>KIỆN 13_L01</v>
      </c>
      <c r="K45" s="206">
        <v>118</v>
      </c>
      <c r="L45" s="206">
        <v>565</v>
      </c>
      <c r="M45" s="206">
        <v>800</v>
      </c>
      <c r="N45" s="206">
        <f t="shared" si="9"/>
        <v>1</v>
      </c>
      <c r="O45" s="206" t="str">
        <f t="shared" si="10"/>
        <v>XK_CHUẨN 3</v>
      </c>
      <c r="P45" s="84">
        <f t="shared" si="11"/>
        <v>17.002124999999999</v>
      </c>
      <c r="Q45" s="205" t="str">
        <v>GIAO RỜI</v>
      </c>
      <c r="R45" s="70">
        <f>IF(S45="IN",'BOM_Phan II'!$Y$3,"")</f>
        <v>1</v>
      </c>
      <c r="S45" s="69" t="str">
        <f t="shared" si="2"/>
        <v>IN</v>
      </c>
      <c r="T45">
        <f t="shared" si="12"/>
        <v>3</v>
      </c>
      <c r="U45" t="str">
        <f t="shared" si="13"/>
        <v>KIỆN 13</v>
      </c>
      <c r="V45" t="str">
        <f t="shared" si="14"/>
        <v/>
      </c>
      <c r="W45" s="266" t="str">
        <v>2</v>
      </c>
      <c r="X45" s="266" t="str">
        <v/>
      </c>
      <c r="Y45" s="266">
        <f t="shared" si="5"/>
        <v>13</v>
      </c>
      <c r="Z45" s="266">
        <v>4</v>
      </c>
      <c r="AA45" s="270" t="str">
        <v>P10 - CANH P3 + P4</v>
      </c>
    </row>
    <row r="46" spans="1:27" ht="27" customHeight="1">
      <c r="A46" s="70" t="str">
        <f t="shared" si="0"/>
        <v>L01</v>
      </c>
      <c r="B46" s="70" t="str">
        <f t="shared" si="1"/>
        <v>Muc 1.1</v>
      </c>
      <c r="C46" s="204" t="str" cm="1">
        <f t="array" ref="C46">IF(D46="","",
    IF(AND(ISNUMBER(D46), D46=INT(D46)),
        $V$6 &amp; " " &amp; (IFERROR(MAX($Y$12:$Y45), 0) + 1),
        IF(ISNUMBER(SEARCH(".", D46)), "", INDEX($C$12:$C46, MATCH(2, 1/($C$12:$C46 &lt;&gt; ""))))
    )
)</f>
        <v/>
      </c>
      <c r="D46" s="206" t="str">
        <v>13.1</v>
      </c>
      <c r="E46" s="206" t="str">
        <f>IF(AA46 = "", "",
    IF(ISNUMBER(SEARCH("Kiện", C46)),
       " GÓI " &amp; COUNTIF($C$13:C46, "*Kiện*") &amp; "/" &amp; COUNTIF($C$13:$C$1000, "*Kiện*") &amp; " " &amp; AA46,
       AA46)
)</f>
        <v>Cánh phải_P3_13_001</v>
      </c>
      <c r="F46" s="206">
        <v>17</v>
      </c>
      <c r="G46" s="206">
        <v>445</v>
      </c>
      <c r="H46" s="206">
        <v>750</v>
      </c>
      <c r="I46" s="206">
        <v>1</v>
      </c>
      <c r="J46" s="206" t="str">
        <f t="shared" si="3"/>
        <v/>
      </c>
      <c r="K46" s="206" t="str">
        <f t="shared" si="6"/>
        <v/>
      </c>
      <c r="L46" s="206" t="str">
        <f t="shared" si="7"/>
        <v/>
      </c>
      <c r="M46" s="206" t="str">
        <f t="shared" si="8"/>
        <v/>
      </c>
      <c r="N46" s="206" t="str">
        <f t="shared" si="9"/>
        <v/>
      </c>
      <c r="O46" s="206" t="str">
        <f t="shared" si="10"/>
        <v/>
      </c>
      <c r="P46" s="84">
        <f t="shared" si="11"/>
        <v>4.2553124999999996</v>
      </c>
      <c r="Q46" s="205" t="str">
        <v/>
      </c>
      <c r="R46" s="70">
        <f>IF(S46="IN",'BOM_Phan II'!$Y$3,"")</f>
        <v>1</v>
      </c>
      <c r="S46" s="69" t="str">
        <f t="shared" si="2"/>
        <v>IN</v>
      </c>
      <c r="T46">
        <f t="shared" si="12"/>
        <v>3</v>
      </c>
      <c r="U46" t="str">
        <f t="shared" si="13"/>
        <v>KIỆN 13</v>
      </c>
      <c r="V46">
        <f t="shared" si="14"/>
        <v>5.67375E-3</v>
      </c>
      <c r="W46" s="266" t="str">
        <v>2</v>
      </c>
      <c r="X46" s="266" t="str">
        <v>MDF HMR E1 2M MEL MS 024T - 17x1220x2440 (mm)</v>
      </c>
      <c r="Y46" s="266" t="str">
        <f t="shared" si="5"/>
        <v/>
      </c>
      <c r="Z46" s="266" t="s">
        <v>387</v>
      </c>
      <c r="AA46" s="270" t="str">
        <v>Cánh phải_P3_13_001</v>
      </c>
    </row>
    <row r="47" spans="1:27" ht="27" customHeight="1">
      <c r="A47" s="70" t="str">
        <f t="shared" si="0"/>
        <v>L01</v>
      </c>
      <c r="B47" s="70" t="str">
        <f t="shared" si="1"/>
        <v>Muc 1.1</v>
      </c>
      <c r="C47" s="204" t="str" cm="1">
        <f t="array" ref="C47">IF(D47="","",
    IF(AND(ISNUMBER(D47), D47=INT(D47)),
        $V$6 &amp; " " &amp; (IFERROR(MAX($Y$12:$Y46), 0) + 1),
        IF(ISNUMBER(SEARCH(".", D47)), "", INDEX($C$12:$C47, MATCH(2, 1/($C$12:$C47 &lt;&gt; ""))))
    )
)</f>
        <v/>
      </c>
      <c r="D47" s="206" t="str">
        <v>13.2</v>
      </c>
      <c r="E47" s="206" t="str">
        <f>IF(AA47 = "", "",
    IF(ISNUMBER(SEARCH("Kiện", C47)),
       " GÓI " &amp; COUNTIF($C$13:C47, "*Kiện*") &amp; "/" &amp; COUNTIF($C$13:$C$1000, "*Kiện*") &amp; " " &amp; AA47,
       AA47)
)</f>
        <v>Cánh trái_P3_13_002</v>
      </c>
      <c r="F47" s="206">
        <v>17</v>
      </c>
      <c r="G47" s="206">
        <v>445</v>
      </c>
      <c r="H47" s="206">
        <v>750</v>
      </c>
      <c r="I47" s="206">
        <v>1</v>
      </c>
      <c r="J47" s="206" t="str">
        <f t="shared" si="3"/>
        <v/>
      </c>
      <c r="K47" s="206" t="str">
        <f t="shared" si="6"/>
        <v/>
      </c>
      <c r="L47" s="206" t="str">
        <f t="shared" si="7"/>
        <v/>
      </c>
      <c r="M47" s="206" t="str">
        <f t="shared" si="8"/>
        <v/>
      </c>
      <c r="N47" s="206" t="str">
        <f t="shared" si="9"/>
        <v/>
      </c>
      <c r="O47" s="206" t="str">
        <f t="shared" si="10"/>
        <v/>
      </c>
      <c r="P47" s="84">
        <f t="shared" si="11"/>
        <v>4.2553124999999996</v>
      </c>
      <c r="Q47" s="205" t="str">
        <v/>
      </c>
      <c r="R47" s="70">
        <f>IF(S47="IN",'BOM_Phan II'!$Y$3,"")</f>
        <v>1</v>
      </c>
      <c r="S47" s="69" t="str">
        <f t="shared" si="2"/>
        <v>IN</v>
      </c>
      <c r="T47">
        <f t="shared" si="12"/>
        <v>3</v>
      </c>
      <c r="U47" t="str">
        <f t="shared" si="13"/>
        <v>KIỆN 13</v>
      </c>
      <c r="V47">
        <f t="shared" si="14"/>
        <v>5.67375E-3</v>
      </c>
      <c r="W47" s="266" t="str">
        <v>2</v>
      </c>
      <c r="X47" s="266" t="str">
        <v>MDF HMR E1 2M MEL MS 024T - 17x1220x2440 (mm)</v>
      </c>
      <c r="Y47" s="266" t="str">
        <f t="shared" si="5"/>
        <v/>
      </c>
      <c r="Z47" s="266" t="s">
        <v>388</v>
      </c>
      <c r="AA47" s="270" t="str">
        <v>Cánh trái_P3_13_002</v>
      </c>
    </row>
    <row r="48" spans="1:27" ht="27" customHeight="1">
      <c r="A48" s="70" t="str">
        <f t="shared" si="0"/>
        <v>L01</v>
      </c>
      <c r="B48" s="70" t="str">
        <f t="shared" si="1"/>
        <v>Muc 1.1</v>
      </c>
      <c r="C48" s="204" t="str" cm="1">
        <f t="array" ref="C48">IF(D48="","",
    IF(AND(ISNUMBER(D48), D48=INT(D48)),
        $V$6 &amp; " " &amp; (IFERROR(MAX($Y$12:$Y47), 0) + 1),
        IF(ISNUMBER(SEARCH(".", D48)), "", INDEX($C$12:$C48, MATCH(2, 1/($C$12:$C48 &lt;&gt; ""))))
    )
)</f>
        <v/>
      </c>
      <c r="D48" s="206" t="str">
        <v>13.3</v>
      </c>
      <c r="E48" s="206" t="str">
        <f>IF(AA48 = "", "",
    IF(ISNUMBER(SEARCH("Kiện", C48)),
       " GÓI " &amp; COUNTIF($C$13:C48, "*Kiện*") &amp; "/" &amp; COUNTIF($C$13:$C$1000, "*Kiện*") &amp; " " &amp; AA48,
       AA48)
)</f>
        <v>Cánh phải_P4_13_003</v>
      </c>
      <c r="F48" s="206">
        <v>17</v>
      </c>
      <c r="G48" s="206">
        <v>444</v>
      </c>
      <c r="H48" s="206">
        <v>750</v>
      </c>
      <c r="I48" s="206">
        <v>1</v>
      </c>
      <c r="J48" s="206" t="str">
        <f t="shared" si="3"/>
        <v/>
      </c>
      <c r="K48" s="206" t="str">
        <f t="shared" si="6"/>
        <v/>
      </c>
      <c r="L48" s="206" t="str">
        <f t="shared" si="7"/>
        <v/>
      </c>
      <c r="M48" s="206" t="str">
        <f t="shared" si="8"/>
        <v/>
      </c>
      <c r="N48" s="206" t="str">
        <f t="shared" si="9"/>
        <v/>
      </c>
      <c r="O48" s="206" t="str">
        <f t="shared" si="10"/>
        <v/>
      </c>
      <c r="P48" s="84">
        <f t="shared" si="11"/>
        <v>4.2457500000000001</v>
      </c>
      <c r="Q48" s="205" t="str">
        <v/>
      </c>
      <c r="R48" s="70">
        <f>IF(S48="IN",'BOM_Phan II'!$Y$3,"")</f>
        <v>1</v>
      </c>
      <c r="S48" s="69" t="str">
        <f t="shared" si="2"/>
        <v>IN</v>
      </c>
      <c r="T48">
        <f t="shared" si="12"/>
        <v>3</v>
      </c>
      <c r="U48" t="str">
        <f t="shared" si="13"/>
        <v>KIỆN 13</v>
      </c>
      <c r="V48">
        <f t="shared" si="14"/>
        <v>5.6610000000000002E-3</v>
      </c>
      <c r="W48" s="266" t="str">
        <v>2</v>
      </c>
      <c r="X48" s="266" t="str">
        <v>MDF HMR E1 2M MEL MS 024T - 17x1220x2440 (mm)</v>
      </c>
      <c r="Y48" s="266" t="str">
        <f t="shared" si="5"/>
        <v/>
      </c>
      <c r="Z48" s="266" t="s">
        <v>389</v>
      </c>
      <c r="AA48" s="270" t="str">
        <v>Cánh phải_P4_13_003</v>
      </c>
    </row>
    <row r="49" spans="1:27" ht="27" customHeight="1">
      <c r="A49" s="70" t="str">
        <f t="shared" si="0"/>
        <v>L01</v>
      </c>
      <c r="B49" s="70" t="str">
        <f t="shared" si="1"/>
        <v>Muc 1.1</v>
      </c>
      <c r="C49" s="204" t="str" cm="1">
        <f t="array" ref="C49">IF(D49="","",
    IF(AND(ISNUMBER(D49), D49=INT(D49)),
        $V$6 &amp; " " &amp; (IFERROR(MAX($Y$12:$Y48), 0) + 1),
        IF(ISNUMBER(SEARCH(".", D49)), "", INDEX($C$12:$C49, MATCH(2, 1/($C$12:$C49 &lt;&gt; ""))))
    )
)</f>
        <v/>
      </c>
      <c r="D49" s="206" t="str">
        <v>13.4</v>
      </c>
      <c r="E49" s="206" t="str">
        <f>IF(AA49 = "", "",
    IF(ISNUMBER(SEARCH("Kiện", C49)),
       " GÓI " &amp; COUNTIF($C$13:C49, "*Kiện*") &amp; "/" &amp; COUNTIF($C$13:$C$1000, "*Kiện*") &amp; " " &amp; AA49,
       AA49)
)</f>
        <v>Cánh trái_P4_13_004</v>
      </c>
      <c r="F49" s="206">
        <v>17</v>
      </c>
      <c r="G49" s="206">
        <v>444</v>
      </c>
      <c r="H49" s="206">
        <v>750</v>
      </c>
      <c r="I49" s="206">
        <v>1</v>
      </c>
      <c r="J49" s="206" t="str">
        <f t="shared" si="3"/>
        <v/>
      </c>
      <c r="K49" s="206" t="str">
        <f t="shared" si="6"/>
        <v/>
      </c>
      <c r="L49" s="206" t="str">
        <f t="shared" si="7"/>
        <v/>
      </c>
      <c r="M49" s="206" t="str">
        <f t="shared" si="8"/>
        <v/>
      </c>
      <c r="N49" s="206" t="str">
        <f t="shared" si="9"/>
        <v/>
      </c>
      <c r="O49" s="206" t="str">
        <f t="shared" si="10"/>
        <v/>
      </c>
      <c r="P49" s="84">
        <f t="shared" si="11"/>
        <v>4.2457500000000001</v>
      </c>
      <c r="Q49" s="205" t="str">
        <v/>
      </c>
      <c r="R49" s="70">
        <f>IF(S49="IN",'BOM_Phan II'!$Y$3,"")</f>
        <v>1</v>
      </c>
      <c r="S49" s="69" t="str">
        <f t="shared" si="2"/>
        <v>IN</v>
      </c>
      <c r="T49">
        <f t="shared" si="12"/>
        <v>3</v>
      </c>
      <c r="U49" t="str">
        <f t="shared" si="13"/>
        <v>KIỆN 13</v>
      </c>
      <c r="V49">
        <f t="shared" si="14"/>
        <v>5.6610000000000002E-3</v>
      </c>
      <c r="W49" s="266" t="str">
        <v>2</v>
      </c>
      <c r="X49" s="266" t="str">
        <v>MDF HMR E1 2M MEL MS 024T - 17x1220x2440 (mm)</v>
      </c>
      <c r="Y49" s="266" t="str">
        <f t="shared" si="5"/>
        <v/>
      </c>
      <c r="Z49" s="266" t="s">
        <v>390</v>
      </c>
      <c r="AA49" s="270" t="str">
        <v>Cánh trái_P4_13_004</v>
      </c>
    </row>
    <row r="50" spans="1:27" ht="27" customHeight="1">
      <c r="A50" s="70" t="str">
        <f t="shared" si="0"/>
        <v>L01</v>
      </c>
      <c r="B50" s="70" t="str">
        <f t="shared" si="1"/>
        <v>Muc 1.1</v>
      </c>
      <c r="C50" s="204" t="str" cm="1">
        <f t="array" ref="C50">IF(D50="","",
    IF(AND(ISNUMBER(D50), D50=INT(D50)),
        $V$6 &amp; " " &amp; (IFERROR(MAX($Y$12:$Y49), 0) + 1),
        IF(ISNUMBER(SEARCH(".", D50)), "", INDEX($C$12:$C50, MATCH(2, 1/($C$12:$C50 &lt;&gt; ""))))
    )
)</f>
        <v>KIỆN 14</v>
      </c>
      <c r="D50" s="206">
        <v>14</v>
      </c>
      <c r="E50" s="206" t="str">
        <f>IF(AA50 = "", "",
    IF(ISNUMBER(SEARCH("Kiện", C50)),
       " GÓI " &amp; COUNTIF($C$13:C50, "*Kiện*") &amp; "/" &amp; COUNTIF($C$13:$C$1000, "*Kiện*") &amp; " " &amp; AA50,
       AA50)
)</f>
        <v xml:space="preserve"> GÓI 14/14 P11 - LEN CHAN</v>
      </c>
      <c r="F50" s="206" t="str">
        <v/>
      </c>
      <c r="G50" s="206" t="str">
        <v/>
      </c>
      <c r="H50" s="206" t="str">
        <v/>
      </c>
      <c r="I50" s="206">
        <v>1</v>
      </c>
      <c r="J50" s="206" t="str">
        <f t="shared" si="3"/>
        <v>KIỆN 14_L01</v>
      </c>
      <c r="K50" s="206">
        <v>84</v>
      </c>
      <c r="L50" s="206">
        <v>170</v>
      </c>
      <c r="M50" s="206">
        <v>2150</v>
      </c>
      <c r="N50" s="206">
        <f t="shared" si="9"/>
        <v>1</v>
      </c>
      <c r="O50" s="206" t="str">
        <f t="shared" si="10"/>
        <v>XK_CHUẨN 3</v>
      </c>
      <c r="P50" s="84">
        <f t="shared" si="11"/>
        <v>3.75156</v>
      </c>
      <c r="Q50" s="205" t="str">
        <v>GIAO RỜI</v>
      </c>
      <c r="R50" s="70">
        <f>IF(S50="IN",'BOM_Phan II'!$Y$3,"")</f>
        <v>1</v>
      </c>
      <c r="S50" s="69" t="str">
        <f t="shared" si="2"/>
        <v>IN</v>
      </c>
      <c r="T50">
        <f t="shared" si="12"/>
        <v>3</v>
      </c>
      <c r="U50" t="str">
        <f t="shared" si="13"/>
        <v>KIỆN 14</v>
      </c>
      <c r="V50" t="str">
        <f t="shared" si="14"/>
        <v/>
      </c>
      <c r="W50" s="266" t="str">
        <v>2</v>
      </c>
      <c r="X50" s="266" t="str">
        <v/>
      </c>
      <c r="Y50" s="266">
        <f t="shared" si="5"/>
        <v>14</v>
      </c>
      <c r="Z50" s="266">
        <v>2</v>
      </c>
      <c r="AA50" s="270" t="str">
        <v>P11 - LEN CHAN</v>
      </c>
    </row>
    <row r="51" spans="1:27" ht="27" customHeight="1">
      <c r="A51" s="70" t="str">
        <f t="shared" si="0"/>
        <v>L01</v>
      </c>
      <c r="B51" s="70" t="str">
        <f t="shared" si="1"/>
        <v>Muc 1.1</v>
      </c>
      <c r="C51" s="204" t="str" cm="1">
        <f t="array" ref="C51">IF(D51="","",
    IF(AND(ISNUMBER(D51), D51=INT(D51)),
        $V$6 &amp; " " &amp; (IFERROR(MAX($Y$12:$Y50), 0) + 1),
        IF(ISNUMBER(SEARCH(".", D51)), "", INDEX($C$12:$C51, MATCH(2, 1/($C$12:$C51 &lt;&gt; ""))))
    )
)</f>
        <v/>
      </c>
      <c r="D51" s="206" t="str">
        <v>14.1</v>
      </c>
      <c r="E51" s="206" t="str">
        <f>IF(AA51 = "", "",
    IF(ISNUMBER(SEARCH("Kiện", C51)),
       " GÓI " &amp; COUNTIF($C$13:C51, "*Kiện*") &amp; "/" &amp; COUNTIF($C$13:$C$1000, "*Kiện*") &amp; " " &amp; AA51,
       AA51)
)</f>
        <v>Len chân_P1_14_001</v>
      </c>
      <c r="F51" s="206">
        <v>17</v>
      </c>
      <c r="G51" s="206">
        <v>120</v>
      </c>
      <c r="H51" s="206">
        <v>630</v>
      </c>
      <c r="I51" s="206">
        <v>1</v>
      </c>
      <c r="J51" s="206" t="str">
        <f t="shared" si="3"/>
        <v/>
      </c>
      <c r="K51" s="206" t="str">
        <f t="shared" si="6"/>
        <v/>
      </c>
      <c r="L51" s="206" t="str">
        <f t="shared" si="7"/>
        <v/>
      </c>
      <c r="M51" s="206" t="str">
        <f t="shared" si="8"/>
        <v/>
      </c>
      <c r="N51" s="206" t="str">
        <f t="shared" si="9"/>
        <v/>
      </c>
      <c r="O51" s="206" t="str">
        <f t="shared" si="10"/>
        <v/>
      </c>
      <c r="P51" s="84">
        <f t="shared" si="11"/>
        <v>0.96389999999999998</v>
      </c>
      <c r="Q51" s="205" t="str">
        <v>Tính dư chiều dài cắt thực tế</v>
      </c>
      <c r="R51" s="70">
        <f>IF(S51="IN",'BOM_Phan II'!$Y$3,"")</f>
        <v>1</v>
      </c>
      <c r="S51" s="69" t="str">
        <f t="shared" si="2"/>
        <v>IN</v>
      </c>
      <c r="T51">
        <f t="shared" si="12"/>
        <v>3</v>
      </c>
      <c r="U51" t="str">
        <f t="shared" si="13"/>
        <v>KIỆN 14</v>
      </c>
      <c r="V51">
        <f t="shared" si="14"/>
        <v>1.2852E-3</v>
      </c>
      <c r="W51" s="266" t="str">
        <v>2</v>
      </c>
      <c r="X51" s="266" t="str">
        <v>MDF HMR E1 2M MEL MS 024T - 17x1220x2440 (mm)</v>
      </c>
      <c r="Y51" s="266" t="str">
        <f t="shared" si="5"/>
        <v/>
      </c>
      <c r="Z51" s="266" t="s">
        <v>388</v>
      </c>
      <c r="AA51" s="270" t="str">
        <v>Len chân_P1_14_001</v>
      </c>
    </row>
    <row r="52" spans="1:27" ht="27" customHeight="1">
      <c r="A52" s="70" t="str">
        <f t="shared" si="0"/>
        <v>L01</v>
      </c>
      <c r="B52" s="70" t="str">
        <f t="shared" si="1"/>
        <v>Muc 1.1</v>
      </c>
      <c r="C52" s="204" t="str" cm="1">
        <f t="array" ref="C52">IF(D52="","",
    IF(AND(ISNUMBER(D52), D52=INT(D52)),
        $V$6 &amp; " " &amp; (IFERROR(MAX($Y$12:$Y51), 0) + 1),
        IF(ISNUMBER(SEARCH(".", D52)), "", INDEX($C$12:$C52, MATCH(2, 1/($C$12:$C52 &lt;&gt; ""))))
    )
)</f>
        <v/>
      </c>
      <c r="D52" s="206" t="str">
        <v>14.2</v>
      </c>
      <c r="E52" s="206" t="str">
        <f>IF(AA52 = "", "",
    IF(ISNUMBER(SEARCH("Kiện", C52)),
       " GÓI " &amp; COUNTIF($C$13:C52, "*Kiện*") &amp; "/" &amp; COUNTIF($C$13:$C$1000, "*Kiện*") &amp; " " &amp; AA52,
       AA52)
)</f>
        <v>Len chân_P3+P4_14_002</v>
      </c>
      <c r="F52" s="206">
        <v>17</v>
      </c>
      <c r="G52" s="206">
        <v>120</v>
      </c>
      <c r="H52" s="206">
        <v>1822</v>
      </c>
      <c r="I52" s="206">
        <v>1</v>
      </c>
      <c r="J52" s="206" t="str">
        <f t="shared" si="3"/>
        <v/>
      </c>
      <c r="K52" s="206" t="str">
        <f t="shared" si="6"/>
        <v/>
      </c>
      <c r="L52" s="206" t="str">
        <f t="shared" si="7"/>
        <v/>
      </c>
      <c r="M52" s="206" t="str">
        <f t="shared" si="8"/>
        <v/>
      </c>
      <c r="N52" s="206" t="str">
        <f t="shared" si="9"/>
        <v/>
      </c>
      <c r="O52" s="206" t="str">
        <f t="shared" si="10"/>
        <v/>
      </c>
      <c r="P52" s="84">
        <f t="shared" si="11"/>
        <v>2.7876600000000002</v>
      </c>
      <c r="Q52" s="205" t="str">
        <v>Tính dư chiều dài cắt thực tế</v>
      </c>
      <c r="R52" s="70">
        <f>IF(S52="IN",'BOM_Phan II'!$Y$3,"")</f>
        <v>1</v>
      </c>
      <c r="S52" s="69" t="str">
        <f t="shared" si="2"/>
        <v>IN</v>
      </c>
      <c r="T52">
        <f t="shared" si="12"/>
        <v>3</v>
      </c>
      <c r="U52" t="str">
        <f t="shared" si="13"/>
        <v>KIỆN 14</v>
      </c>
      <c r="V52">
        <f t="shared" si="14"/>
        <v>3.7168800000000001E-3</v>
      </c>
      <c r="W52" s="266" t="str">
        <v>2</v>
      </c>
      <c r="X52" s="266" t="str">
        <v>MDF HMR E1 2M MEL MS 024T - 17x1220x2440 (mm)</v>
      </c>
      <c r="Y52" s="266" t="str">
        <f t="shared" si="5"/>
        <v/>
      </c>
      <c r="Z52" s="266" t="s">
        <v>387</v>
      </c>
      <c r="AA52" s="270" t="str">
        <v>Len chân_P3+P4_14_002</v>
      </c>
    </row>
    <row r="53" spans="1:27" ht="27" hidden="1" customHeight="1">
      <c r="A53" s="70" t="str">
        <f t="shared" si="0"/>
        <v/>
      </c>
      <c r="B53" s="70" t="str">
        <f t="shared" si="1"/>
        <v/>
      </c>
      <c r="C53" s="204" t="str" cm="1">
        <f t="array" ref="C53">IF(D53="","",
    IF(AND(ISNUMBER(D53), D53=INT(D53)),
        $V$6 &amp; " " &amp; (IFERROR(MAX($Y$12:$Y52), 0) + 1),
        IF(ISNUMBER(SEARCH(".", D53)), "", INDEX($C$12:$C53, MATCH(2, 1/($C$12:$C53 &lt;&gt; ""))))
    )
)</f>
        <v/>
      </c>
      <c r="D53" s="206" t="str">
        <v/>
      </c>
      <c r="E53" s="206" t="str">
        <f>IF(AA53 = "", "",
    IF(ISNUMBER(SEARCH("Kiện", C53)),
       " GÓI " &amp; COUNTIF($C$13:C53, "*Kiện*") &amp; "/" &amp; COUNTIF($C$13:$C$1000, "*Kiện*") &amp; " " &amp; AA53,
       AA53)
)</f>
        <v/>
      </c>
      <c r="F53" s="206" t="str">
        <v/>
      </c>
      <c r="G53" s="206" t="str">
        <v/>
      </c>
      <c r="H53" s="206" t="str">
        <v/>
      </c>
      <c r="I53" s="206" t="str">
        <v/>
      </c>
      <c r="J53" s="206" t="str">
        <f t="shared" si="3"/>
        <v/>
      </c>
      <c r="K53" s="206" t="str">
        <f t="shared" si="6"/>
        <v/>
      </c>
      <c r="L53" s="206" t="str">
        <f t="shared" si="7"/>
        <v/>
      </c>
      <c r="M53" s="206" t="str">
        <f t="shared" si="8"/>
        <v/>
      </c>
      <c r="N53" s="206" t="str">
        <f t="shared" si="9"/>
        <v/>
      </c>
      <c r="O53" s="206" t="str">
        <f t="shared" si="10"/>
        <v/>
      </c>
      <c r="P53" s="84" t="str">
        <f t="shared" si="11"/>
        <v/>
      </c>
      <c r="Q53" s="205" t="str">
        <v/>
      </c>
      <c r="R53" s="70" t="str">
        <f>IF(S53="IN",'BOM_Phan II'!$Y$3,"")</f>
        <v/>
      </c>
      <c r="S53" s="69" t="str">
        <f t="shared" si="2"/>
        <v/>
      </c>
      <c r="T53">
        <f t="shared" si="12"/>
        <v>3</v>
      </c>
      <c r="U53" t="str">
        <f t="shared" si="13"/>
        <v>KIỆN 14</v>
      </c>
      <c r="V53" t="str">
        <f t="shared" si="14"/>
        <v/>
      </c>
      <c r="W53" s="266"/>
      <c r="X53" s="266" t="str">
        <v/>
      </c>
      <c r="Y53" s="266" t="str">
        <f t="shared" si="5"/>
        <v/>
      </c>
      <c r="Z53" s="266"/>
      <c r="AA53" s="270" t="str">
        <v/>
      </c>
    </row>
    <row r="54" spans="1:27" ht="27" hidden="1" customHeight="1">
      <c r="A54" s="70" t="str">
        <f t="shared" si="0"/>
        <v/>
      </c>
      <c r="B54" s="70" t="str">
        <f t="shared" si="1"/>
        <v/>
      </c>
      <c r="C54" s="204" t="str" cm="1">
        <f t="array" ref="C54">IF(D54="","",
    IF(AND(ISNUMBER(D54), D54=INT(D54)),
        $V$6 &amp; " " &amp; (IFERROR(MAX($Y$12:$Y53), 0) + 1),
        IF(ISNUMBER(SEARCH(".", D54)), "", INDEX($C$12:$C54, MATCH(2, 1/($C$12:$C54 &lt;&gt; ""))))
    )
)</f>
        <v/>
      </c>
      <c r="D54" s="206"/>
      <c r="E54" s="206" t="str">
        <f>IF(AA54 = "", "",
    IF(ISNUMBER(SEARCH("Kiện", C54)),
       " GÓI " &amp; COUNTIF($C$13:C54, "*Kiện*") &amp; "/" &amp; COUNTIF($C$13:$C$1000, "*Kiện*") &amp; " " &amp; AA54,
       AA54)
)</f>
        <v/>
      </c>
      <c r="F54" s="206"/>
      <c r="G54" s="206"/>
      <c r="H54" s="206"/>
      <c r="I54" s="206"/>
      <c r="J54" s="206" t="str">
        <f t="shared" si="3"/>
        <v/>
      </c>
      <c r="K54" s="206" t="str">
        <f t="shared" si="6"/>
        <v/>
      </c>
      <c r="L54" s="206" t="str">
        <f t="shared" si="7"/>
        <v/>
      </c>
      <c r="M54" s="206" t="str">
        <f t="shared" si="8"/>
        <v/>
      </c>
      <c r="N54" s="206" t="str">
        <f t="shared" si="9"/>
        <v/>
      </c>
      <c r="O54" s="206" t="str">
        <f t="shared" si="10"/>
        <v/>
      </c>
      <c r="P54" s="84" t="str">
        <f t="shared" si="11"/>
        <v/>
      </c>
      <c r="Q54" s="205"/>
      <c r="R54" s="70" t="str">
        <f>IF(S54="IN",'BOM_Phan II'!$Y$3,"")</f>
        <v/>
      </c>
      <c r="S54" s="69" t="str">
        <f t="shared" si="2"/>
        <v/>
      </c>
      <c r="T54">
        <f t="shared" si="12"/>
        <v>3</v>
      </c>
      <c r="U54" t="str">
        <f t="shared" si="13"/>
        <v>KIỆN 14</v>
      </c>
      <c r="V54" t="str">
        <f t="shared" si="14"/>
        <v/>
      </c>
      <c r="W54" s="266"/>
      <c r="X54" s="266"/>
      <c r="Y54" s="266" t="str">
        <f t="shared" si="5"/>
        <v/>
      </c>
      <c r="Z54" s="266"/>
      <c r="AA54" s="270"/>
    </row>
    <row r="55" spans="1:27" ht="27" hidden="1" customHeight="1">
      <c r="A55" s="70" t="str">
        <f t="shared" si="0"/>
        <v/>
      </c>
      <c r="B55" s="70" t="str">
        <f t="shared" si="1"/>
        <v/>
      </c>
      <c r="C55" s="204" t="str" cm="1">
        <f t="array" ref="C55">IF(D55="","",
    IF(AND(ISNUMBER(D55), D55=INT(D55)),
        $V$6 &amp; " " &amp; (IFERROR(MAX($Y$12:$Y54), 0) + 1),
        IF(ISNUMBER(SEARCH(".", D55)), "", INDEX($C$12:$C55, MATCH(2, 1/($C$12:$C55 &lt;&gt; ""))))
    )
)</f>
        <v/>
      </c>
      <c r="D55" s="206"/>
      <c r="E55" s="206" t="str">
        <f>IF(AA55 = "", "",
    IF(ISNUMBER(SEARCH("Kiện", C55)),
       " GÓI " &amp; COUNTIF($C$13:C55, "*Kiện*") &amp; "/" &amp; COUNTIF($C$13:$C$1000, "*Kiện*") &amp; " " &amp; AA55,
       AA55)
)</f>
        <v/>
      </c>
      <c r="F55" s="206"/>
      <c r="G55" s="206"/>
      <c r="H55" s="206"/>
      <c r="I55" s="206"/>
      <c r="J55" s="206" t="str">
        <f t="shared" si="3"/>
        <v/>
      </c>
      <c r="K55" s="206" t="str">
        <f t="shared" si="6"/>
        <v/>
      </c>
      <c r="L55" s="206" t="str">
        <f t="shared" si="7"/>
        <v/>
      </c>
      <c r="M55" s="206" t="str">
        <f t="shared" si="8"/>
        <v/>
      </c>
      <c r="N55" s="206" t="str">
        <f t="shared" si="9"/>
        <v/>
      </c>
      <c r="O55" s="206" t="str">
        <f t="shared" si="10"/>
        <v/>
      </c>
      <c r="P55" s="84" t="str">
        <f t="shared" si="11"/>
        <v/>
      </c>
      <c r="Q55" s="205"/>
      <c r="R55" s="70" t="str">
        <f>IF(S55="IN",'BOM_Phan II'!$Y$3,"")</f>
        <v/>
      </c>
      <c r="S55" s="69" t="str">
        <f t="shared" si="2"/>
        <v/>
      </c>
      <c r="T55">
        <f t="shared" si="12"/>
        <v>3</v>
      </c>
      <c r="U55" t="str">
        <f t="shared" si="13"/>
        <v>KIỆN 14</v>
      </c>
      <c r="V55" t="str">
        <f t="shared" si="14"/>
        <v/>
      </c>
      <c r="W55" s="266"/>
      <c r="X55" s="266"/>
      <c r="Y55" s="266" t="str">
        <f t="shared" si="5"/>
        <v/>
      </c>
      <c r="Z55" s="266"/>
      <c r="AA55" s="270"/>
    </row>
    <row r="56" spans="1:27" ht="27" hidden="1" customHeight="1">
      <c r="A56" s="70" t="str">
        <f t="shared" si="0"/>
        <v/>
      </c>
      <c r="B56" s="70" t="str">
        <f t="shared" si="1"/>
        <v/>
      </c>
      <c r="C56" s="204" t="str" cm="1">
        <f t="array" ref="C56">IF(D56="","",
    IF(AND(ISNUMBER(D56), D56=INT(D56)),
        $V$6 &amp; " " &amp; (IFERROR(MAX($Y$12:$Y55), 0) + 1),
        IF(ISNUMBER(SEARCH(".", D56)), "", INDEX($C$12:$C56, MATCH(2, 1/($C$12:$C56 &lt;&gt; ""))))
    )
)</f>
        <v/>
      </c>
      <c r="D56" s="206"/>
      <c r="E56" s="206" t="str">
        <f>IF(AA56 = "", "",
    IF(ISNUMBER(SEARCH("Kiện", C56)),
       " GÓI " &amp; COUNTIF($C$13:C56, "*Kiện*") &amp; "/" &amp; COUNTIF($C$13:$C$1000, "*Kiện*") &amp; " " &amp; AA56,
       AA56)
)</f>
        <v/>
      </c>
      <c r="F56" s="206"/>
      <c r="G56" s="206"/>
      <c r="H56" s="206"/>
      <c r="I56" s="206"/>
      <c r="J56" s="206" t="str">
        <f t="shared" si="3"/>
        <v/>
      </c>
      <c r="K56" s="206" t="str">
        <f t="shared" si="6"/>
        <v/>
      </c>
      <c r="L56" s="206" t="str">
        <f t="shared" si="7"/>
        <v/>
      </c>
      <c r="M56" s="206" t="str">
        <f t="shared" si="8"/>
        <v/>
      </c>
      <c r="N56" s="206" t="str">
        <f t="shared" si="9"/>
        <v/>
      </c>
      <c r="O56" s="206" t="str">
        <f t="shared" si="10"/>
        <v/>
      </c>
      <c r="P56" s="84" t="str">
        <f t="shared" si="11"/>
        <v/>
      </c>
      <c r="Q56" s="205"/>
      <c r="R56" s="70" t="str">
        <f>IF(S56="IN",'BOM_Phan II'!$Y$3,"")</f>
        <v/>
      </c>
      <c r="S56" s="69" t="str">
        <f t="shared" si="2"/>
        <v/>
      </c>
      <c r="T56">
        <f t="shared" si="12"/>
        <v>3</v>
      </c>
      <c r="U56" t="str">
        <f t="shared" si="13"/>
        <v>KIỆN 14</v>
      </c>
      <c r="V56" t="str">
        <f t="shared" si="14"/>
        <v/>
      </c>
      <c r="W56" s="266"/>
      <c r="X56" s="266"/>
      <c r="Y56" s="266" t="str">
        <f t="shared" si="5"/>
        <v/>
      </c>
      <c r="Z56" s="266"/>
      <c r="AA56" s="270"/>
    </row>
    <row r="57" spans="1:27" ht="27" hidden="1" customHeight="1">
      <c r="A57" s="70" t="str">
        <f t="shared" si="0"/>
        <v/>
      </c>
      <c r="B57" s="70" t="str">
        <f t="shared" si="1"/>
        <v/>
      </c>
      <c r="C57" s="204" t="str" cm="1">
        <f t="array" ref="C57">IF(D57="","",
    IF(AND(ISNUMBER(D57), D57=INT(D57)),
        $V$6 &amp; " " &amp; (IFERROR(MAX($Y$12:$Y56), 0) + 1),
        IF(ISNUMBER(SEARCH(".", D57)), "", INDEX($C$12:$C57, MATCH(2, 1/($C$12:$C57 &lt;&gt; ""))))
    )
)</f>
        <v/>
      </c>
      <c r="D57" s="206"/>
      <c r="E57" s="206" t="str">
        <f>IF(AA57 = "", "",
    IF(ISNUMBER(SEARCH("Kiện", C57)),
       " GÓI " &amp; COUNTIF($C$13:C57, "*Kiện*") &amp; "/" &amp; COUNTIF($C$13:$C$1000, "*Kiện*") &amp; " " &amp; AA57,
       AA57)
)</f>
        <v/>
      </c>
      <c r="F57" s="206"/>
      <c r="G57" s="206"/>
      <c r="H57" s="206"/>
      <c r="I57" s="206"/>
      <c r="J57" s="206" t="str">
        <f t="shared" si="3"/>
        <v/>
      </c>
      <c r="K57" s="206" t="str">
        <f t="shared" si="6"/>
        <v/>
      </c>
      <c r="L57" s="206" t="str">
        <f t="shared" si="7"/>
        <v/>
      </c>
      <c r="M57" s="206" t="str">
        <f t="shared" si="8"/>
        <v/>
      </c>
      <c r="N57" s="206" t="str">
        <f t="shared" si="9"/>
        <v/>
      </c>
      <c r="O57" s="206" t="str">
        <f t="shared" si="10"/>
        <v/>
      </c>
      <c r="P57" s="84" t="str">
        <f t="shared" si="11"/>
        <v/>
      </c>
      <c r="Q57" s="205"/>
      <c r="R57" s="70" t="str">
        <f>IF(S57="IN",'BOM_Phan II'!$Y$3,"")</f>
        <v/>
      </c>
      <c r="S57" s="69" t="str">
        <f t="shared" si="2"/>
        <v/>
      </c>
      <c r="T57">
        <f t="shared" si="12"/>
        <v>3</v>
      </c>
      <c r="U57" t="str">
        <f t="shared" si="13"/>
        <v>KIỆN 14</v>
      </c>
      <c r="V57" t="str">
        <f t="shared" si="14"/>
        <v/>
      </c>
      <c r="W57" s="266"/>
      <c r="X57" s="266"/>
      <c r="Y57" s="266" t="str">
        <f t="shared" si="5"/>
        <v/>
      </c>
      <c r="Z57" s="266"/>
      <c r="AA57" s="270"/>
    </row>
    <row r="58" spans="1:27" ht="27" hidden="1" customHeight="1">
      <c r="A58" s="70" t="str">
        <f t="shared" si="0"/>
        <v/>
      </c>
      <c r="B58" s="70" t="str">
        <f t="shared" si="1"/>
        <v/>
      </c>
      <c r="C58" s="204" t="str" cm="1">
        <f t="array" ref="C58">IF(D58="","",
    IF(AND(ISNUMBER(D58), D58=INT(D58)),
        $V$6 &amp; " " &amp; (IFERROR(MAX($Y$12:$Y57), 0) + 1),
        IF(ISNUMBER(SEARCH(".", D58)), "", INDEX($C$12:$C58, MATCH(2, 1/($C$12:$C58 &lt;&gt; ""))))
    )
)</f>
        <v/>
      </c>
      <c r="D58" s="206"/>
      <c r="E58" s="206" t="str">
        <f>IF(AA58 = "", "",
    IF(ISNUMBER(SEARCH("Kiện", C58)),
       " GÓI " &amp; COUNTIF($C$13:C58, "*Kiện*") &amp; "/" &amp; COUNTIF($C$13:$C$1000, "*Kiện*") &amp; " " &amp; AA58,
       AA58)
)</f>
        <v/>
      </c>
      <c r="F58" s="206"/>
      <c r="G58" s="206"/>
      <c r="H58" s="206"/>
      <c r="I58" s="206"/>
      <c r="J58" s="206" t="str">
        <f t="shared" si="3"/>
        <v/>
      </c>
      <c r="K58" s="206" t="str">
        <f t="shared" si="6"/>
        <v/>
      </c>
      <c r="L58" s="206" t="str">
        <f t="shared" si="7"/>
        <v/>
      </c>
      <c r="M58" s="206" t="str">
        <f t="shared" si="8"/>
        <v/>
      </c>
      <c r="N58" s="206" t="str">
        <f t="shared" si="9"/>
        <v/>
      </c>
      <c r="O58" s="206" t="str">
        <f t="shared" si="10"/>
        <v/>
      </c>
      <c r="P58" s="84" t="str">
        <f t="shared" si="11"/>
        <v/>
      </c>
      <c r="Q58" s="205"/>
      <c r="R58" s="70" t="str">
        <f>IF(S58="IN",'BOM_Phan II'!$Y$3,"")</f>
        <v/>
      </c>
      <c r="S58" s="69" t="str">
        <f t="shared" si="2"/>
        <v/>
      </c>
      <c r="T58">
        <f t="shared" si="12"/>
        <v>3</v>
      </c>
      <c r="U58" t="str">
        <f t="shared" si="13"/>
        <v>KIỆN 14</v>
      </c>
      <c r="V58" t="str">
        <f t="shared" si="14"/>
        <v/>
      </c>
      <c r="W58" s="266"/>
      <c r="X58" s="266"/>
      <c r="Y58" s="266" t="str">
        <f t="shared" si="5"/>
        <v/>
      </c>
      <c r="Z58" s="266"/>
      <c r="AA58" s="270"/>
    </row>
    <row r="59" spans="1:27" ht="27" hidden="1" customHeight="1">
      <c r="A59" s="70" t="str">
        <f t="shared" si="0"/>
        <v/>
      </c>
      <c r="B59" s="70" t="str">
        <f t="shared" si="1"/>
        <v/>
      </c>
      <c r="C59" s="204" t="str" cm="1">
        <f t="array" ref="C59">IF(D59="","",
    IF(AND(ISNUMBER(D59), D59=INT(D59)),
        $V$6 &amp; " " &amp; (IFERROR(MAX($Y$12:$Y58), 0) + 1),
        IF(ISNUMBER(SEARCH(".", D59)), "", INDEX($C$12:$C59, MATCH(2, 1/($C$12:$C59 &lt;&gt; ""))))
    )
)</f>
        <v/>
      </c>
      <c r="D59" s="206"/>
      <c r="E59" s="206" t="str">
        <f>IF(AA59 = "", "",
    IF(ISNUMBER(SEARCH("Kiện", C59)),
       " GÓI " &amp; COUNTIF($C$13:C59, "*Kiện*") &amp; "/" &amp; COUNTIF($C$13:$C$1000, "*Kiện*") &amp; " " &amp; AA59,
       AA59)
)</f>
        <v/>
      </c>
      <c r="F59" s="206"/>
      <c r="G59" s="206"/>
      <c r="H59" s="206"/>
      <c r="I59" s="206"/>
      <c r="J59" s="206" t="str">
        <f t="shared" si="3"/>
        <v/>
      </c>
      <c r="K59" s="206" t="str">
        <f t="shared" si="6"/>
        <v/>
      </c>
      <c r="L59" s="206" t="str">
        <f t="shared" si="7"/>
        <v/>
      </c>
      <c r="M59" s="206" t="str">
        <f t="shared" si="8"/>
        <v/>
      </c>
      <c r="N59" s="206" t="str">
        <f t="shared" si="9"/>
        <v/>
      </c>
      <c r="O59" s="206" t="str">
        <f t="shared" si="10"/>
        <v/>
      </c>
      <c r="P59" s="84" t="str">
        <f t="shared" si="11"/>
        <v/>
      </c>
      <c r="Q59" s="205"/>
      <c r="R59" s="70" t="str">
        <f>IF(S59="IN",'BOM_Phan II'!$Y$3,"")</f>
        <v/>
      </c>
      <c r="S59" s="69" t="str">
        <f t="shared" si="2"/>
        <v/>
      </c>
      <c r="T59">
        <f t="shared" si="12"/>
        <v>3</v>
      </c>
      <c r="U59" t="str">
        <f t="shared" si="13"/>
        <v>KIỆN 14</v>
      </c>
      <c r="V59" t="str">
        <f t="shared" si="14"/>
        <v/>
      </c>
      <c r="W59" s="266"/>
      <c r="X59" s="266"/>
      <c r="Y59" s="266" t="str">
        <f t="shared" si="5"/>
        <v/>
      </c>
      <c r="Z59" s="266"/>
      <c r="AA59" s="270"/>
    </row>
    <row r="60" spans="1:27" ht="27" hidden="1" customHeight="1">
      <c r="A60" s="70" t="str">
        <f t="shared" si="0"/>
        <v/>
      </c>
      <c r="B60" s="70" t="str">
        <f t="shared" si="1"/>
        <v/>
      </c>
      <c r="C60" s="204" t="str" cm="1">
        <f t="array" ref="C60">IF(D60="","",
    IF(AND(ISNUMBER(D60), D60=INT(D60)),
        $V$6 &amp; " " &amp; (IFERROR(MAX($Y$12:$Y59), 0) + 1),
        IF(ISNUMBER(SEARCH(".", D60)), "", INDEX($C$12:$C60, MATCH(2, 1/($C$12:$C60 &lt;&gt; ""))))
    )
)</f>
        <v/>
      </c>
      <c r="D60" s="206"/>
      <c r="E60" s="206" t="str">
        <f>IF(AA60 = "", "",
    IF(ISNUMBER(SEARCH("Kiện", C60)),
       " GÓI " &amp; COUNTIF($C$13:C60, "*Kiện*") &amp; "/" &amp; COUNTIF($C$13:$C$1000, "*Kiện*") &amp; " " &amp; AA60,
       AA60)
)</f>
        <v/>
      </c>
      <c r="F60" s="206"/>
      <c r="G60" s="206"/>
      <c r="H60" s="206"/>
      <c r="I60" s="206"/>
      <c r="J60" s="206" t="str">
        <f t="shared" si="3"/>
        <v/>
      </c>
      <c r="K60" s="206" t="str">
        <f t="shared" si="6"/>
        <v/>
      </c>
      <c r="L60" s="206" t="str">
        <f t="shared" si="7"/>
        <v/>
      </c>
      <c r="M60" s="206" t="str">
        <f t="shared" si="8"/>
        <v/>
      </c>
      <c r="N60" s="206" t="str">
        <f t="shared" si="9"/>
        <v/>
      </c>
      <c r="O60" s="206" t="str">
        <f t="shared" si="10"/>
        <v/>
      </c>
      <c r="P60" s="84" t="str">
        <f t="shared" si="11"/>
        <v/>
      </c>
      <c r="Q60" s="205"/>
      <c r="R60" s="70" t="str">
        <f>IF(S60="IN",'BOM_Phan II'!$Y$3,"")</f>
        <v/>
      </c>
      <c r="S60" s="69" t="str">
        <f t="shared" si="2"/>
        <v/>
      </c>
      <c r="T60">
        <f t="shared" si="12"/>
        <v>3</v>
      </c>
      <c r="U60" t="str">
        <f t="shared" si="13"/>
        <v>KIỆN 14</v>
      </c>
      <c r="V60" t="str">
        <f t="shared" si="14"/>
        <v/>
      </c>
      <c r="W60" s="266"/>
      <c r="X60" s="266"/>
      <c r="Y60" s="266" t="str">
        <f t="shared" si="5"/>
        <v/>
      </c>
      <c r="Z60" s="266"/>
      <c r="AA60" s="270"/>
    </row>
    <row r="61" spans="1:27" ht="27" hidden="1" customHeight="1">
      <c r="A61" s="70" t="str">
        <f t="shared" si="0"/>
        <v/>
      </c>
      <c r="B61" s="70" t="str">
        <f t="shared" si="1"/>
        <v/>
      </c>
      <c r="C61" s="204" t="str" cm="1">
        <f t="array" ref="C61">IF(D61="","",
    IF(AND(ISNUMBER(D61), D61=INT(D61)),
        $V$6 &amp; " " &amp; (IFERROR(MAX($Y$12:$Y60), 0) + 1),
        IF(ISNUMBER(SEARCH(".", D61)), "", INDEX($C$12:$C61, MATCH(2, 1/($C$12:$C61 &lt;&gt; ""))))
    )
)</f>
        <v/>
      </c>
      <c r="D61" s="206"/>
      <c r="E61" s="206" t="str">
        <f>IF(AA61 = "", "",
    IF(ISNUMBER(SEARCH("Kiện", C61)),
       " GÓI " &amp; COUNTIF($C$13:C61, "*Kiện*") &amp; "/" &amp; COUNTIF($C$13:$C$1000, "*Kiện*") &amp; " " &amp; AA61,
       AA61)
)</f>
        <v/>
      </c>
      <c r="F61" s="206"/>
      <c r="G61" s="206"/>
      <c r="H61" s="206"/>
      <c r="I61" s="206"/>
      <c r="J61" s="206" t="str">
        <f t="shared" si="3"/>
        <v/>
      </c>
      <c r="K61" s="206" t="str">
        <f t="shared" si="6"/>
        <v/>
      </c>
      <c r="L61" s="206" t="str">
        <f t="shared" si="7"/>
        <v/>
      </c>
      <c r="M61" s="206" t="str">
        <f t="shared" si="8"/>
        <v/>
      </c>
      <c r="N61" s="206" t="str">
        <f t="shared" si="9"/>
        <v/>
      </c>
      <c r="O61" s="206" t="str">
        <f t="shared" si="10"/>
        <v/>
      </c>
      <c r="P61" s="84" t="str">
        <f t="shared" si="11"/>
        <v/>
      </c>
      <c r="Q61" s="205"/>
      <c r="R61" s="70" t="str">
        <f>IF(S61="IN",'BOM_Phan II'!$Y$3,"")</f>
        <v/>
      </c>
      <c r="S61" s="69" t="str">
        <f t="shared" si="2"/>
        <v/>
      </c>
      <c r="T61">
        <f t="shared" si="12"/>
        <v>3</v>
      </c>
      <c r="U61" t="str">
        <f t="shared" si="13"/>
        <v>KIỆN 14</v>
      </c>
      <c r="V61" t="str">
        <f t="shared" si="14"/>
        <v/>
      </c>
      <c r="W61" s="266"/>
      <c r="X61" s="266"/>
      <c r="Y61" s="266" t="str">
        <f t="shared" si="5"/>
        <v/>
      </c>
      <c r="Z61" s="266"/>
      <c r="AA61" s="270"/>
    </row>
    <row r="62" spans="1:27" ht="27" hidden="1" customHeight="1">
      <c r="A62" s="70" t="str">
        <f t="shared" si="0"/>
        <v/>
      </c>
      <c r="B62" s="70" t="str">
        <f t="shared" si="1"/>
        <v/>
      </c>
      <c r="C62" s="204" t="str" cm="1">
        <f t="array" ref="C62">IF(D62="","",
    IF(AND(ISNUMBER(D62), D62=INT(D62)),
        $V$6 &amp; " " &amp; (IFERROR(MAX($Y$12:$Y61), 0) + 1),
        IF(ISNUMBER(SEARCH(".", D62)), "", INDEX($C$12:$C62, MATCH(2, 1/($C$12:$C62 &lt;&gt; ""))))
    )
)</f>
        <v/>
      </c>
      <c r="D62" s="206"/>
      <c r="E62" s="206" t="str">
        <f>IF(AA62 = "", "",
    IF(ISNUMBER(SEARCH("Kiện", C62)),
       " GÓI " &amp; COUNTIF($C$13:C62, "*Kiện*") &amp; "/" &amp; COUNTIF($C$13:$C$1000, "*Kiện*") &amp; " " &amp; AA62,
       AA62)
)</f>
        <v/>
      </c>
      <c r="F62" s="206"/>
      <c r="G62" s="206"/>
      <c r="H62" s="206"/>
      <c r="I62" s="206"/>
      <c r="J62" s="206" t="str">
        <f t="shared" si="3"/>
        <v/>
      </c>
      <c r="K62" s="206" t="str">
        <f t="shared" si="6"/>
        <v/>
      </c>
      <c r="L62" s="206" t="str">
        <f t="shared" si="7"/>
        <v/>
      </c>
      <c r="M62" s="206" t="str">
        <f t="shared" si="8"/>
        <v/>
      </c>
      <c r="N62" s="206" t="str">
        <f t="shared" si="9"/>
        <v/>
      </c>
      <c r="O62" s="206" t="str">
        <f t="shared" si="10"/>
        <v/>
      </c>
      <c r="P62" s="84" t="str">
        <f t="shared" si="11"/>
        <v/>
      </c>
      <c r="Q62" s="205"/>
      <c r="R62" s="70" t="str">
        <f>IF(S62="IN",'BOM_Phan II'!$Y$3,"")</f>
        <v/>
      </c>
      <c r="S62" s="69" t="str">
        <f t="shared" si="2"/>
        <v/>
      </c>
      <c r="T62">
        <f t="shared" si="12"/>
        <v>3</v>
      </c>
      <c r="U62" t="str">
        <f t="shared" si="13"/>
        <v>KIỆN 14</v>
      </c>
      <c r="V62" t="str">
        <f t="shared" si="14"/>
        <v/>
      </c>
      <c r="W62" s="266"/>
      <c r="X62" s="266"/>
      <c r="Y62" s="266" t="str">
        <f t="shared" si="5"/>
        <v/>
      </c>
      <c r="Z62" s="266"/>
      <c r="AA62" s="270"/>
    </row>
    <row r="63" spans="1:27" ht="27" hidden="1" customHeight="1">
      <c r="A63" s="70" t="str">
        <f t="shared" si="0"/>
        <v/>
      </c>
      <c r="B63" s="70" t="str">
        <f t="shared" si="1"/>
        <v/>
      </c>
      <c r="C63" s="204" t="str" cm="1">
        <f t="array" ref="C63">IF(D63="","",
    IF(AND(ISNUMBER(D63), D63=INT(D63)),
        $V$6 &amp; " " &amp; (IFERROR(MAX($Y$12:$Y62), 0) + 1),
        IF(ISNUMBER(SEARCH(".", D63)), "", INDEX($C$12:$C63, MATCH(2, 1/($C$12:$C63 &lt;&gt; ""))))
    )
)</f>
        <v/>
      </c>
      <c r="D63" s="206"/>
      <c r="E63" s="206" t="str">
        <f>IF(AA63 = "", "",
    IF(ISNUMBER(SEARCH("Kiện", C63)),
       " GÓI " &amp; COUNTIF($C$13:C63, "*Kiện*") &amp; "/" &amp; COUNTIF($C$13:$C$1000, "*Kiện*") &amp; " " &amp; AA63,
       AA63)
)</f>
        <v/>
      </c>
      <c r="F63" s="206"/>
      <c r="G63" s="206"/>
      <c r="H63" s="206"/>
      <c r="I63" s="206"/>
      <c r="J63" s="206" t="str">
        <f t="shared" si="3"/>
        <v/>
      </c>
      <c r="K63" s="206" t="str">
        <f t="shared" si="6"/>
        <v/>
      </c>
      <c r="L63" s="206" t="str">
        <f t="shared" si="7"/>
        <v/>
      </c>
      <c r="M63" s="206" t="str">
        <f t="shared" si="8"/>
        <v/>
      </c>
      <c r="N63" s="206" t="str">
        <f t="shared" si="9"/>
        <v/>
      </c>
      <c r="O63" s="206" t="str">
        <f t="shared" si="10"/>
        <v/>
      </c>
      <c r="P63" s="84" t="str">
        <f t="shared" si="11"/>
        <v/>
      </c>
      <c r="Q63" s="205"/>
      <c r="R63" s="70" t="str">
        <f>IF(S63="IN",'BOM_Phan II'!$Y$3,"")</f>
        <v/>
      </c>
      <c r="S63" s="69" t="str">
        <f t="shared" si="2"/>
        <v/>
      </c>
      <c r="T63">
        <f t="shared" si="12"/>
        <v>3</v>
      </c>
      <c r="U63" t="str">
        <f t="shared" si="13"/>
        <v>KIỆN 14</v>
      </c>
      <c r="V63" t="str">
        <f t="shared" si="14"/>
        <v/>
      </c>
      <c r="W63" s="266"/>
      <c r="X63" s="266"/>
      <c r="Y63" s="266" t="str">
        <f t="shared" si="5"/>
        <v/>
      </c>
      <c r="Z63" s="266"/>
      <c r="AA63" s="270"/>
    </row>
    <row r="64" spans="1:27" ht="27" hidden="1" customHeight="1">
      <c r="A64" s="70" t="str">
        <f t="shared" si="0"/>
        <v/>
      </c>
      <c r="B64" s="70" t="str">
        <f t="shared" si="1"/>
        <v/>
      </c>
      <c r="C64" s="204" t="str" cm="1">
        <f t="array" ref="C64">IF(D64="","",
    IF(AND(ISNUMBER(D64), D64=INT(D64)),
        $V$6 &amp; " " &amp; (IFERROR(MAX($Y$12:$Y63), 0) + 1),
        IF(ISNUMBER(SEARCH(".", D64)), "", INDEX($C$12:$C64, MATCH(2, 1/($C$12:$C64 &lt;&gt; ""))))
    )
)</f>
        <v/>
      </c>
      <c r="D64" s="206"/>
      <c r="E64" s="206" t="str">
        <f>IF(AA64 = "", "",
    IF(ISNUMBER(SEARCH("Kiện", C64)),
       " GÓI " &amp; COUNTIF($C$13:C64, "*Kiện*") &amp; "/" &amp; COUNTIF($C$13:$C$1000, "*Kiện*") &amp; " " &amp; AA64,
       AA64)
)</f>
        <v/>
      </c>
      <c r="F64" s="206"/>
      <c r="G64" s="206"/>
      <c r="H64" s="206"/>
      <c r="I64" s="206"/>
      <c r="J64" s="206" t="str">
        <f t="shared" si="3"/>
        <v/>
      </c>
      <c r="K64" s="206" t="str">
        <f t="shared" si="6"/>
        <v/>
      </c>
      <c r="L64" s="206" t="str">
        <f t="shared" si="7"/>
        <v/>
      </c>
      <c r="M64" s="206" t="str">
        <f t="shared" si="8"/>
        <v/>
      </c>
      <c r="N64" s="206" t="str">
        <f t="shared" si="9"/>
        <v/>
      </c>
      <c r="O64" s="206" t="str">
        <f t="shared" si="10"/>
        <v/>
      </c>
      <c r="P64" s="84" t="str">
        <f t="shared" si="11"/>
        <v/>
      </c>
      <c r="Q64" s="205"/>
      <c r="R64" s="70" t="str">
        <f>IF(S64="IN",'BOM_Phan II'!$Y$3,"")</f>
        <v/>
      </c>
      <c r="S64" s="69" t="str">
        <f t="shared" si="2"/>
        <v/>
      </c>
      <c r="T64">
        <f t="shared" si="12"/>
        <v>3</v>
      </c>
      <c r="U64" t="str">
        <f t="shared" si="13"/>
        <v>KIỆN 14</v>
      </c>
      <c r="V64" t="str">
        <f t="shared" si="14"/>
        <v/>
      </c>
      <c r="W64" s="266"/>
      <c r="X64" s="266"/>
      <c r="Y64" s="266" t="str">
        <f t="shared" si="5"/>
        <v/>
      </c>
      <c r="Z64" s="266"/>
      <c r="AA64" s="270"/>
    </row>
    <row r="65" spans="1:27" ht="27" hidden="1" customHeight="1">
      <c r="A65" s="70" t="str">
        <f t="shared" si="0"/>
        <v/>
      </c>
      <c r="B65" s="70" t="str">
        <f t="shared" si="1"/>
        <v/>
      </c>
      <c r="C65" s="204" t="str" cm="1">
        <f t="array" ref="C65">IF(D65="","",
    IF(AND(ISNUMBER(D65), D65=INT(D65)),
        $V$6 &amp; " " &amp; (IFERROR(MAX($Y$12:$Y64), 0) + 1),
        IF(ISNUMBER(SEARCH(".", D65)), "", INDEX($C$12:$C65, MATCH(2, 1/($C$12:$C65 &lt;&gt; ""))))
    )
)</f>
        <v/>
      </c>
      <c r="D65" s="206"/>
      <c r="E65" s="206" t="str">
        <f>IF(AA65 = "", "",
    IF(ISNUMBER(SEARCH("Kiện", C65)),
       " GÓI " &amp; COUNTIF($C$13:C65, "*Kiện*") &amp; "/" &amp; COUNTIF($C$13:$C$1000, "*Kiện*") &amp; " " &amp; AA65,
       AA65)
)</f>
        <v/>
      </c>
      <c r="F65" s="206"/>
      <c r="G65" s="206"/>
      <c r="H65" s="206"/>
      <c r="I65" s="206"/>
      <c r="J65" s="206" t="str">
        <f t="shared" si="3"/>
        <v/>
      </c>
      <c r="K65" s="206" t="str">
        <f t="shared" si="6"/>
        <v/>
      </c>
      <c r="L65" s="206" t="str">
        <f t="shared" si="7"/>
        <v/>
      </c>
      <c r="M65" s="206" t="str">
        <f t="shared" si="8"/>
        <v/>
      </c>
      <c r="N65" s="206" t="str">
        <f t="shared" si="9"/>
        <v/>
      </c>
      <c r="O65" s="206" t="str">
        <f t="shared" si="10"/>
        <v/>
      </c>
      <c r="P65" s="84" t="str">
        <f t="shared" si="11"/>
        <v/>
      </c>
      <c r="Q65" s="205"/>
      <c r="R65" s="70" t="str">
        <f>IF(S65="IN",'BOM_Phan II'!$Y$3,"")</f>
        <v/>
      </c>
      <c r="S65" s="69" t="str">
        <f t="shared" si="2"/>
        <v/>
      </c>
      <c r="T65">
        <f t="shared" si="12"/>
        <v>3</v>
      </c>
      <c r="U65" t="str">
        <f t="shared" si="13"/>
        <v>KIỆN 14</v>
      </c>
      <c r="V65" t="str">
        <f t="shared" si="14"/>
        <v/>
      </c>
      <c r="W65" s="266"/>
      <c r="X65" s="266"/>
      <c r="Y65" s="266" t="str">
        <f t="shared" si="5"/>
        <v/>
      </c>
      <c r="Z65" s="266"/>
      <c r="AA65" s="270"/>
    </row>
    <row r="66" spans="1:27" ht="27" hidden="1" customHeight="1">
      <c r="A66" s="70" t="str">
        <f t="shared" si="0"/>
        <v/>
      </c>
      <c r="B66" s="70" t="str">
        <f t="shared" si="1"/>
        <v/>
      </c>
      <c r="C66" s="204" t="str" cm="1">
        <f t="array" ref="C66">IF(D66="","",
    IF(AND(ISNUMBER(D66), D66=INT(D66)),
        $V$6 &amp; " " &amp; (IFERROR(MAX($Y$12:$Y65), 0) + 1),
        IF(ISNUMBER(SEARCH(".", D66)), "", INDEX($C$12:$C66, MATCH(2, 1/($C$12:$C66 &lt;&gt; ""))))
    )
)</f>
        <v/>
      </c>
      <c r="D66" s="206"/>
      <c r="E66" s="206" t="str">
        <f>IF(AA66 = "", "",
    IF(ISNUMBER(SEARCH("Kiện", C66)),
       " GÓI " &amp; COUNTIF($C$13:C66, "*Kiện*") &amp; "/" &amp; COUNTIF($C$13:$C$1000, "*Kiện*") &amp; " " &amp; AA66,
       AA66)
)</f>
        <v/>
      </c>
      <c r="F66" s="206"/>
      <c r="G66" s="206"/>
      <c r="H66" s="206"/>
      <c r="I66" s="206"/>
      <c r="J66" s="206" t="str">
        <f t="shared" si="3"/>
        <v/>
      </c>
      <c r="K66" s="206" t="str">
        <f t="shared" si="6"/>
        <v/>
      </c>
      <c r="L66" s="206" t="str">
        <f t="shared" si="7"/>
        <v/>
      </c>
      <c r="M66" s="206" t="str">
        <f t="shared" si="8"/>
        <v/>
      </c>
      <c r="N66" s="206" t="str">
        <f t="shared" si="9"/>
        <v/>
      </c>
      <c r="O66" s="206" t="str">
        <f t="shared" si="10"/>
        <v/>
      </c>
      <c r="P66" s="84" t="str">
        <f t="shared" si="11"/>
        <v/>
      </c>
      <c r="Q66" s="205"/>
      <c r="R66" s="70" t="str">
        <f>IF(S66="IN",'BOM_Phan II'!$Y$3,"")</f>
        <v/>
      </c>
      <c r="S66" s="69" t="str">
        <f t="shared" si="2"/>
        <v/>
      </c>
      <c r="T66">
        <f t="shared" si="12"/>
        <v>3</v>
      </c>
      <c r="U66" t="str">
        <f t="shared" si="13"/>
        <v>KIỆN 14</v>
      </c>
      <c r="V66" t="str">
        <f t="shared" si="14"/>
        <v/>
      </c>
      <c r="W66" s="266"/>
      <c r="X66" s="266"/>
      <c r="Y66" s="266" t="str">
        <f t="shared" si="5"/>
        <v/>
      </c>
      <c r="Z66" s="266"/>
    </row>
    <row r="67" spans="1:27" ht="27" hidden="1" customHeight="1">
      <c r="A67" s="70" t="str">
        <f t="shared" si="0"/>
        <v/>
      </c>
      <c r="B67" s="70" t="str">
        <f t="shared" si="1"/>
        <v/>
      </c>
      <c r="C67" s="204" t="str" cm="1">
        <f t="array" ref="C67">IF(D67="","",
    IF(AND(ISNUMBER(D67), D67=INT(D67)),
        $V$6 &amp; " " &amp; (IFERROR(MAX($Y$12:$Y66), 0) + 1),
        IF(ISNUMBER(SEARCH(".", D67)), "", INDEX($C$12:$C67, MATCH(2, 1/($C$12:$C67 &lt;&gt; ""))))
    )
)</f>
        <v/>
      </c>
      <c r="D67" s="206"/>
      <c r="E67" s="206" t="str">
        <f>IF(AA67 = "", "",
    IF(ISNUMBER(SEARCH("Kiện", C67)),
       " GÓI " &amp; COUNTIF($C$13:C67, "*Kiện*") &amp; "/" &amp; COUNTIF($C$13:$C$1000, "*Kiện*") &amp; " " &amp; AA67,
       AA67)
)</f>
        <v/>
      </c>
      <c r="F67" s="206"/>
      <c r="G67" s="206"/>
      <c r="H67" s="206"/>
      <c r="I67" s="206"/>
      <c r="J67" s="206" t="str">
        <f t="shared" si="3"/>
        <v/>
      </c>
      <c r="K67" s="206" t="str">
        <f t="shared" si="6"/>
        <v/>
      </c>
      <c r="L67" s="206" t="str">
        <f t="shared" si="7"/>
        <v/>
      </c>
      <c r="M67" s="206" t="str">
        <f t="shared" si="8"/>
        <v/>
      </c>
      <c r="N67" s="206" t="str">
        <f t="shared" si="9"/>
        <v/>
      </c>
      <c r="O67" s="206" t="str">
        <f t="shared" si="10"/>
        <v/>
      </c>
      <c r="P67" s="84" t="str">
        <f t="shared" si="11"/>
        <v/>
      </c>
      <c r="Q67" s="205"/>
      <c r="R67" s="70" t="str">
        <f>IF(S67="IN",'BOM_Phan II'!$Y$3,"")</f>
        <v/>
      </c>
      <c r="S67" s="69" t="str">
        <f t="shared" si="2"/>
        <v/>
      </c>
      <c r="T67">
        <f t="shared" si="12"/>
        <v>3</v>
      </c>
      <c r="U67" t="str">
        <f t="shared" si="13"/>
        <v>KIỆN 14</v>
      </c>
      <c r="V67" t="str">
        <f t="shared" si="14"/>
        <v/>
      </c>
      <c r="W67" s="266"/>
      <c r="X67" s="266"/>
      <c r="Y67" s="266" t="str">
        <f t="shared" si="5"/>
        <v/>
      </c>
      <c r="Z67" s="266"/>
    </row>
    <row r="68" spans="1:27" ht="27" hidden="1" customHeight="1">
      <c r="A68" s="70" t="str">
        <f t="shared" si="0"/>
        <v/>
      </c>
      <c r="B68" s="70" t="str">
        <f t="shared" si="1"/>
        <v/>
      </c>
      <c r="C68" s="204" t="str" cm="1">
        <f t="array" ref="C68">IF(D68="","",
    IF(AND(ISNUMBER(D68), D68=INT(D68)),
        $V$6 &amp; " " &amp; (IFERROR(MAX($Y$12:$Y67), 0) + 1),
        IF(ISNUMBER(SEARCH(".", D68)), "", INDEX($C$12:$C68, MATCH(2, 1/($C$12:$C68 &lt;&gt; ""))))
    )
)</f>
        <v/>
      </c>
      <c r="D68" s="206"/>
      <c r="E68" s="206" t="str">
        <f>IF(AA68 = "", "",
    IF(ISNUMBER(SEARCH("Kiện", C68)),
       " GÓI " &amp; COUNTIF($C$13:C68, "*Kiện*") &amp; "/" &amp; COUNTIF($C$13:$C$1000, "*Kiện*") &amp; " " &amp; AA68,
       AA68)
)</f>
        <v/>
      </c>
      <c r="F68" s="206"/>
      <c r="G68" s="206"/>
      <c r="H68" s="206"/>
      <c r="I68" s="206"/>
      <c r="J68" s="206" t="str">
        <f t="shared" si="3"/>
        <v/>
      </c>
      <c r="K68" s="206" t="str">
        <f t="shared" si="6"/>
        <v/>
      </c>
      <c r="L68" s="206" t="str">
        <f t="shared" si="7"/>
        <v/>
      </c>
      <c r="M68" s="206" t="str">
        <f t="shared" si="8"/>
        <v/>
      </c>
      <c r="N68" s="206" t="str">
        <f t="shared" si="9"/>
        <v/>
      </c>
      <c r="O68" s="206" t="str">
        <f t="shared" si="10"/>
        <v/>
      </c>
      <c r="P68" s="84" t="str">
        <f t="shared" si="11"/>
        <v/>
      </c>
      <c r="Q68" s="205"/>
      <c r="R68" s="70" t="str">
        <f>IF(S68="IN",'BOM_Phan II'!$Y$3,"")</f>
        <v/>
      </c>
      <c r="S68" s="69" t="str">
        <f t="shared" si="2"/>
        <v/>
      </c>
      <c r="T68">
        <f t="shared" si="12"/>
        <v>3</v>
      </c>
      <c r="U68" t="str">
        <f t="shared" si="13"/>
        <v>KIỆN 14</v>
      </c>
      <c r="V68" t="str">
        <f t="shared" si="14"/>
        <v/>
      </c>
      <c r="W68" s="266"/>
      <c r="X68" s="266"/>
      <c r="Y68" s="266" t="str">
        <f t="shared" si="5"/>
        <v/>
      </c>
      <c r="Z68" s="266"/>
    </row>
    <row r="69" spans="1:27" ht="27" hidden="1" customHeight="1">
      <c r="A69" s="70" t="str">
        <f t="shared" si="0"/>
        <v/>
      </c>
      <c r="B69" s="70" t="str">
        <f t="shared" si="1"/>
        <v/>
      </c>
      <c r="C69" s="204" t="str" cm="1">
        <f t="array" ref="C69">IF(D69="","",
    IF(AND(ISNUMBER(D69), D69=INT(D69)),
        $V$6 &amp; " " &amp; (IFERROR(MAX($Y$12:$Y68), 0) + 1),
        IF(ISNUMBER(SEARCH(".", D69)), "", INDEX($C$12:$C69, MATCH(2, 1/($C$12:$C69 &lt;&gt; ""))))
    )
)</f>
        <v/>
      </c>
      <c r="D69" s="206"/>
      <c r="E69" s="206" t="str">
        <f>IF(AA69 = "", "",
    IF(ISNUMBER(SEARCH("Kiện", C69)),
       " GÓI " &amp; COUNTIF($C$13:C69, "*Kiện*") &amp; "/" &amp; COUNTIF($C$13:$C$1000, "*Kiện*") &amp; " " &amp; AA69,
       AA69)
)</f>
        <v/>
      </c>
      <c r="F69" s="206"/>
      <c r="G69" s="206"/>
      <c r="H69" s="206"/>
      <c r="I69" s="206"/>
      <c r="J69" s="206" t="str">
        <f t="shared" si="3"/>
        <v/>
      </c>
      <c r="K69" s="206" t="str">
        <f t="shared" si="6"/>
        <v/>
      </c>
      <c r="L69" s="206" t="str">
        <f t="shared" si="7"/>
        <v/>
      </c>
      <c r="M69" s="206" t="str">
        <f t="shared" si="8"/>
        <v/>
      </c>
      <c r="N69" s="206" t="str">
        <f t="shared" si="9"/>
        <v/>
      </c>
      <c r="O69" s="206" t="str">
        <f t="shared" si="10"/>
        <v/>
      </c>
      <c r="P69" s="84" t="str">
        <f t="shared" si="11"/>
        <v/>
      </c>
      <c r="Q69" s="205"/>
      <c r="R69" s="70" t="str">
        <f>IF(S69="IN",'BOM_Phan II'!$Y$3,"")</f>
        <v/>
      </c>
      <c r="S69" s="69" t="str">
        <f t="shared" si="2"/>
        <v/>
      </c>
      <c r="T69">
        <f t="shared" si="12"/>
        <v>3</v>
      </c>
      <c r="U69" t="str">
        <f t="shared" si="13"/>
        <v>KIỆN 14</v>
      </c>
      <c r="V69" t="str">
        <f t="shared" si="14"/>
        <v/>
      </c>
      <c r="W69" s="266"/>
      <c r="X69" s="266"/>
      <c r="Y69" s="266" t="str">
        <f t="shared" si="5"/>
        <v/>
      </c>
      <c r="Z69" s="266"/>
    </row>
    <row r="70" spans="1:27" ht="27" hidden="1" customHeight="1">
      <c r="A70" s="70" t="str">
        <f t="shared" si="0"/>
        <v/>
      </c>
      <c r="B70" s="70" t="str">
        <f t="shared" si="1"/>
        <v/>
      </c>
      <c r="C70" s="204" t="str" cm="1">
        <f t="array" ref="C70">IF(D70="","",
    IF(AND(ISNUMBER(D70), D70=INT(D70)),
        $V$6 &amp; " " &amp; (IFERROR(MAX($Y$12:$Y69), 0) + 1),
        IF(ISNUMBER(SEARCH(".", D70)), "", INDEX($C$12:$C70, MATCH(2, 1/($C$12:$C70 &lt;&gt; ""))))
    )
)</f>
        <v/>
      </c>
      <c r="D70" s="206"/>
      <c r="E70" s="206" t="str">
        <f>IF(AA70 = "", "",
    IF(ISNUMBER(SEARCH("Kiện", C70)),
       " GÓI " &amp; COUNTIF($C$13:C70, "*Kiện*") &amp; "/" &amp; COUNTIF($C$13:$C$1000, "*Kiện*") &amp; " " &amp; AA70,
       AA70)
)</f>
        <v/>
      </c>
      <c r="F70" s="206"/>
      <c r="G70" s="206"/>
      <c r="H70" s="206"/>
      <c r="I70" s="206"/>
      <c r="J70" s="206" t="str">
        <f t="shared" si="3"/>
        <v/>
      </c>
      <c r="K70" s="206" t="str">
        <f t="shared" si="6"/>
        <v/>
      </c>
      <c r="L70" s="206" t="str">
        <f t="shared" si="7"/>
        <v/>
      </c>
      <c r="M70" s="206" t="str">
        <f t="shared" si="8"/>
        <v/>
      </c>
      <c r="N70" s="206" t="str">
        <f t="shared" si="9"/>
        <v/>
      </c>
      <c r="O70" s="206" t="str">
        <f t="shared" si="10"/>
        <v/>
      </c>
      <c r="P70" s="84" t="str">
        <f t="shared" si="11"/>
        <v/>
      </c>
      <c r="Q70" s="205"/>
      <c r="R70" s="70" t="str">
        <f>IF(S70="IN",'BOM_Phan II'!$Y$3,"")</f>
        <v/>
      </c>
      <c r="S70" s="69" t="str">
        <f t="shared" si="2"/>
        <v/>
      </c>
      <c r="T70">
        <f t="shared" si="12"/>
        <v>3</v>
      </c>
      <c r="U70" t="str">
        <f t="shared" si="13"/>
        <v>KIỆN 14</v>
      </c>
      <c r="V70" t="str">
        <f t="shared" si="14"/>
        <v/>
      </c>
      <c r="W70" s="266"/>
      <c r="X70" s="266"/>
      <c r="Y70" s="266" t="str">
        <f t="shared" si="5"/>
        <v/>
      </c>
      <c r="Z70" s="266"/>
    </row>
    <row r="71" spans="1:27" ht="27" hidden="1" customHeight="1">
      <c r="A71" s="70" t="str">
        <f t="shared" si="0"/>
        <v/>
      </c>
      <c r="B71" s="70" t="str">
        <f t="shared" si="1"/>
        <v/>
      </c>
      <c r="C71" s="204" t="str" cm="1">
        <f t="array" ref="C71">IF(D71="","",
    IF(AND(ISNUMBER(D71), D71=INT(D71)),
        $V$6 &amp; " " &amp; (IFERROR(MAX($Y$12:$Y70), 0) + 1),
        IF(ISNUMBER(SEARCH(".", D71)), "", INDEX($C$12:$C71, MATCH(2, 1/($C$12:$C71 &lt;&gt; ""))))
    )
)</f>
        <v/>
      </c>
      <c r="D71" s="206"/>
      <c r="E71" s="206" t="str">
        <f>IF(AA71 = "", "",
    IF(ISNUMBER(SEARCH("Kiện", C71)),
       " GÓI " &amp; COUNTIF($C$13:C71, "*Kiện*") &amp; "/" &amp; COUNTIF($C$13:$C$1000, "*Kiện*") &amp; " " &amp; AA71,
       AA71)
)</f>
        <v/>
      </c>
      <c r="F71" s="206"/>
      <c r="G71" s="206"/>
      <c r="H71" s="206"/>
      <c r="I71" s="206"/>
      <c r="J71" s="206" t="str">
        <f t="shared" si="3"/>
        <v/>
      </c>
      <c r="K71" s="206" t="str">
        <f t="shared" si="6"/>
        <v/>
      </c>
      <c r="L71" s="206" t="str">
        <f t="shared" si="7"/>
        <v/>
      </c>
      <c r="M71" s="206" t="str">
        <f t="shared" si="8"/>
        <v/>
      </c>
      <c r="N71" s="206" t="str">
        <f t="shared" si="9"/>
        <v/>
      </c>
      <c r="O71" s="206" t="str">
        <f t="shared" si="10"/>
        <v/>
      </c>
      <c r="P71" s="84" t="str">
        <f t="shared" si="11"/>
        <v/>
      </c>
      <c r="Q71" s="205"/>
      <c r="R71" s="70" t="str">
        <f>IF(S71="IN",'BOM_Phan II'!$Y$3,"")</f>
        <v/>
      </c>
      <c r="S71" s="69" t="str">
        <f t="shared" si="2"/>
        <v/>
      </c>
      <c r="T71">
        <f t="shared" si="12"/>
        <v>3</v>
      </c>
      <c r="U71" t="str">
        <f t="shared" si="13"/>
        <v>KIỆN 14</v>
      </c>
      <c r="V71" t="str">
        <f t="shared" si="14"/>
        <v/>
      </c>
      <c r="W71" s="266"/>
      <c r="X71" s="266"/>
      <c r="Y71" s="266" t="str">
        <f t="shared" si="5"/>
        <v/>
      </c>
      <c r="Z71" s="266"/>
    </row>
    <row r="72" spans="1:27" ht="27" hidden="1" customHeight="1">
      <c r="A72" s="70" t="str">
        <f t="shared" si="0"/>
        <v/>
      </c>
      <c r="B72" s="70" t="str">
        <f t="shared" si="1"/>
        <v/>
      </c>
      <c r="C72" s="204" t="str" cm="1">
        <f t="array" ref="C72">IF(D72="","",
    IF(AND(ISNUMBER(D72), D72=INT(D72)),
        $V$6 &amp; " " &amp; (IFERROR(MAX($Y$12:$Y71), 0) + 1),
        IF(ISNUMBER(SEARCH(".", D72)), "", INDEX($C$12:$C72, MATCH(2, 1/($C$12:$C72 &lt;&gt; ""))))
    )
)</f>
        <v/>
      </c>
      <c r="D72" s="206"/>
      <c r="E72" s="206" t="str">
        <f>IF(AA72 = "", "",
    IF(ISNUMBER(SEARCH("Kiện", C72)),
       " GÓI " &amp; COUNTIF($C$13:C72, "*Kiện*") &amp; "/" &amp; COUNTIF($C$13:$C$1000, "*Kiện*") &amp; " " &amp; AA72,
       AA72)
)</f>
        <v/>
      </c>
      <c r="F72" s="206"/>
      <c r="G72" s="206"/>
      <c r="H72" s="206"/>
      <c r="I72" s="206"/>
      <c r="J72" s="206" t="str">
        <f t="shared" si="3"/>
        <v/>
      </c>
      <c r="K72" s="206" t="str">
        <f t="shared" si="6"/>
        <v/>
      </c>
      <c r="L72" s="206" t="str">
        <f t="shared" si="7"/>
        <v/>
      </c>
      <c r="M72" s="206" t="str">
        <f t="shared" si="8"/>
        <v/>
      </c>
      <c r="N72" s="206" t="str">
        <f t="shared" si="9"/>
        <v/>
      </c>
      <c r="O72" s="206" t="str">
        <f t="shared" si="10"/>
        <v/>
      </c>
      <c r="P72" s="84" t="str">
        <f t="shared" si="11"/>
        <v/>
      </c>
      <c r="Q72" s="205"/>
      <c r="R72" s="70" t="str">
        <f>IF(S72="IN",'BOM_Phan II'!$Y$3,"")</f>
        <v/>
      </c>
      <c r="S72" s="69" t="str">
        <f t="shared" si="2"/>
        <v/>
      </c>
      <c r="T72">
        <f t="shared" si="12"/>
        <v>3</v>
      </c>
      <c r="U72" t="str">
        <f t="shared" si="13"/>
        <v>KIỆN 14</v>
      </c>
      <c r="V72" t="str">
        <f t="shared" si="14"/>
        <v/>
      </c>
      <c r="W72" s="266"/>
      <c r="X72" s="266"/>
      <c r="Y72" s="266" t="str">
        <f t="shared" si="5"/>
        <v/>
      </c>
      <c r="Z72" s="266"/>
    </row>
    <row r="73" spans="1:27" ht="27" hidden="1" customHeight="1">
      <c r="A73" s="70" t="str">
        <f t="shared" si="0"/>
        <v/>
      </c>
      <c r="B73" s="70" t="str">
        <f t="shared" si="1"/>
        <v/>
      </c>
      <c r="C73" s="204" t="str" cm="1">
        <f t="array" ref="C73">IF(D73="","",
    IF(AND(ISNUMBER(D73), D73=INT(D73)),
        $V$6 &amp; " " &amp; (IFERROR(MAX($Y$12:$Y72), 0) + 1),
        IF(ISNUMBER(SEARCH(".", D73)), "", INDEX($C$12:$C73, MATCH(2, 1/($C$12:$C73 &lt;&gt; ""))))
    )
)</f>
        <v/>
      </c>
      <c r="D73" s="206"/>
      <c r="E73" s="206" t="str">
        <f>IF(AA73 = "", "",
    IF(ISNUMBER(SEARCH("Kiện", C73)),
       " GÓI " &amp; COUNTIF($C$13:C73, "*Kiện*") &amp; "/" &amp; COUNTIF($C$13:$C$1000, "*Kiện*") &amp; " " &amp; AA73,
       AA73)
)</f>
        <v/>
      </c>
      <c r="F73" s="206"/>
      <c r="G73" s="206"/>
      <c r="H73" s="206"/>
      <c r="I73" s="206"/>
      <c r="J73" s="206" t="str">
        <f t="shared" si="3"/>
        <v/>
      </c>
      <c r="K73" s="206" t="str">
        <f t="shared" si="6"/>
        <v/>
      </c>
      <c r="L73" s="206" t="str">
        <f t="shared" si="7"/>
        <v/>
      </c>
      <c r="M73" s="206" t="str">
        <f t="shared" si="8"/>
        <v/>
      </c>
      <c r="N73" s="206" t="str">
        <f t="shared" si="9"/>
        <v/>
      </c>
      <c r="O73" s="206" t="str">
        <f t="shared" si="10"/>
        <v/>
      </c>
      <c r="P73" s="84" t="str">
        <f t="shared" si="11"/>
        <v/>
      </c>
      <c r="Q73" s="205"/>
      <c r="R73" s="70" t="str">
        <f>IF(S73="IN",'BOM_Phan II'!$Y$3,"")</f>
        <v/>
      </c>
      <c r="S73" s="69" t="str">
        <f t="shared" si="2"/>
        <v/>
      </c>
      <c r="T73">
        <f t="shared" si="12"/>
        <v>3</v>
      </c>
      <c r="U73" t="str">
        <f t="shared" si="13"/>
        <v>KIỆN 14</v>
      </c>
      <c r="V73" t="str">
        <f t="shared" si="14"/>
        <v/>
      </c>
      <c r="W73" s="266"/>
      <c r="X73" s="266"/>
      <c r="Y73" s="266" t="str">
        <f t="shared" si="5"/>
        <v/>
      </c>
      <c r="Z73" s="266"/>
    </row>
    <row r="74" spans="1:27" ht="27" hidden="1" customHeight="1">
      <c r="A74" s="70" t="str">
        <f t="shared" si="0"/>
        <v/>
      </c>
      <c r="B74" s="70" t="str">
        <f t="shared" si="1"/>
        <v/>
      </c>
      <c r="C74" s="204" t="str" cm="1">
        <f t="array" ref="C74">IF(D74="","",
    IF(AND(ISNUMBER(D74), D74=INT(D74)),
        $V$6 &amp; " " &amp; (IFERROR(MAX($Y$12:$Y73), 0) + 1),
        IF(ISNUMBER(SEARCH(".", D74)), "", INDEX($C$12:$C74, MATCH(2, 1/($C$12:$C74 &lt;&gt; ""))))
    )
)</f>
        <v/>
      </c>
      <c r="D74" s="206"/>
      <c r="E74" s="206" t="str">
        <f>IF(AA74 = "", "",
    IF(ISNUMBER(SEARCH("Kiện", C74)),
       " GÓI " &amp; COUNTIF($C$13:C74, "*Kiện*") &amp; "/" &amp; COUNTIF($C$13:$C$1000, "*Kiện*") &amp; " " &amp; AA74,
       AA74)
)</f>
        <v/>
      </c>
      <c r="F74" s="206"/>
      <c r="G74" s="206"/>
      <c r="H74" s="206"/>
      <c r="I74" s="206"/>
      <c r="J74" s="206" t="str">
        <f t="shared" si="3"/>
        <v/>
      </c>
      <c r="K74" s="206" t="str">
        <f t="shared" si="6"/>
        <v/>
      </c>
      <c r="L74" s="206" t="str">
        <f t="shared" si="7"/>
        <v/>
      </c>
      <c r="M74" s="206" t="str">
        <f t="shared" si="8"/>
        <v/>
      </c>
      <c r="N74" s="206" t="str">
        <f t="shared" si="9"/>
        <v/>
      </c>
      <c r="O74" s="206" t="str">
        <f t="shared" si="10"/>
        <v/>
      </c>
      <c r="P74" s="84" t="str">
        <f t="shared" si="11"/>
        <v/>
      </c>
      <c r="Q74" s="205"/>
      <c r="R74" s="70" t="str">
        <f>IF(S74="IN",'BOM_Phan II'!$Y$3,"")</f>
        <v/>
      </c>
      <c r="S74" s="69" t="str">
        <f t="shared" si="2"/>
        <v/>
      </c>
      <c r="T74">
        <f t="shared" si="12"/>
        <v>3</v>
      </c>
      <c r="U74" t="str">
        <f t="shared" si="13"/>
        <v>KIỆN 14</v>
      </c>
      <c r="V74" t="str">
        <f t="shared" si="14"/>
        <v/>
      </c>
      <c r="W74" s="266"/>
      <c r="X74" s="266"/>
      <c r="Y74" s="266" t="str">
        <f t="shared" si="5"/>
        <v/>
      </c>
      <c r="Z74" s="266"/>
    </row>
    <row r="75" spans="1:27" ht="27" hidden="1" customHeight="1">
      <c r="A75" s="70" t="str">
        <f t="shared" si="0"/>
        <v/>
      </c>
      <c r="B75" s="70" t="str">
        <f t="shared" si="1"/>
        <v/>
      </c>
      <c r="C75" s="204" t="str" cm="1">
        <f t="array" ref="C75">IF(D75="","",
    IF(AND(ISNUMBER(D75), D75=INT(D75)),
        $V$6 &amp; " " &amp; (IFERROR(MAX($Y$12:$Y74), 0) + 1),
        IF(ISNUMBER(SEARCH(".", D75)), "", INDEX($C$12:$C75, MATCH(2, 1/($C$12:$C75 &lt;&gt; ""))))
    )
)</f>
        <v/>
      </c>
      <c r="D75" s="206"/>
      <c r="E75" s="206" t="str">
        <f>IF(AA75 = "", "",
    IF(ISNUMBER(SEARCH("Kiện", C75)),
       " GÓI " &amp; COUNTIF($C$13:C75, "*Kiện*") &amp; "/" &amp; COUNTIF($C$13:$C$1000, "*Kiện*") &amp; " " &amp; AA75,
       AA75)
)</f>
        <v/>
      </c>
      <c r="F75" s="206"/>
      <c r="G75" s="206"/>
      <c r="H75" s="206"/>
      <c r="I75" s="206"/>
      <c r="J75" s="206" t="str">
        <f t="shared" si="3"/>
        <v/>
      </c>
      <c r="K75" s="206" t="str">
        <f t="shared" si="6"/>
        <v/>
      </c>
      <c r="L75" s="206" t="str">
        <f t="shared" si="7"/>
        <v/>
      </c>
      <c r="M75" s="206" t="str">
        <f t="shared" si="8"/>
        <v/>
      </c>
      <c r="N75" s="206" t="str">
        <f t="shared" si="9"/>
        <v/>
      </c>
      <c r="O75" s="206" t="str">
        <f t="shared" si="10"/>
        <v/>
      </c>
      <c r="P75" s="84" t="str">
        <f t="shared" si="11"/>
        <v/>
      </c>
      <c r="Q75" s="205"/>
      <c r="R75" s="70" t="str">
        <f>IF(S75="IN",'BOM_Phan II'!$Y$3,"")</f>
        <v/>
      </c>
      <c r="S75" s="69" t="str">
        <f t="shared" si="2"/>
        <v/>
      </c>
      <c r="T75">
        <f t="shared" si="12"/>
        <v>3</v>
      </c>
      <c r="U75" t="str">
        <f t="shared" si="13"/>
        <v>KIỆN 14</v>
      </c>
      <c r="V75" t="str">
        <f t="shared" si="14"/>
        <v/>
      </c>
      <c r="W75" s="266"/>
      <c r="X75" s="266"/>
      <c r="Y75" s="266" t="str">
        <f t="shared" si="5"/>
        <v/>
      </c>
      <c r="Z75" s="266"/>
    </row>
    <row r="76" spans="1:27" ht="27" hidden="1" customHeight="1">
      <c r="A76" s="70" t="str">
        <f t="shared" ref="A76:A139" si="15">IF(S76="IN",$E$6,"")</f>
        <v/>
      </c>
      <c r="B76" s="70" t="str">
        <f t="shared" ref="B76:B139" si="16">IF(S76="IN","Muc "&amp;$E$7,"")</f>
        <v/>
      </c>
      <c r="C76" s="204" t="str" cm="1">
        <f t="array" ref="C76">IF(D76="","",
    IF(AND(ISNUMBER(D76), D76=INT(D76)),
        $V$6 &amp; " " &amp; (IFERROR(MAX($Y$12:$Y75), 0) + 1),
        IF(ISNUMBER(SEARCH(".", D76)), "", INDEX($C$12:$C76, MATCH(2, 1/($C$12:$C76 &lt;&gt; ""))))
    )
)</f>
        <v/>
      </c>
      <c r="D76" s="206"/>
      <c r="E76" s="206" t="str">
        <f>IF(AA76 = "", "",
    IF(ISNUMBER(SEARCH("Kiện", C76)),
       " GÓI " &amp; COUNTIF($C$13:C76, "*Kiện*") &amp; "/" &amp; COUNTIF($C$13:$C$1000, "*Kiện*") &amp; " " &amp; AA76,
       AA76)
)</f>
        <v/>
      </c>
      <c r="F76" s="206"/>
      <c r="G76" s="206"/>
      <c r="H76" s="206"/>
      <c r="I76" s="206"/>
      <c r="J76" s="206" t="str">
        <f t="shared" si="3"/>
        <v/>
      </c>
      <c r="K76" s="206" t="str">
        <f t="shared" si="6"/>
        <v/>
      </c>
      <c r="L76" s="206" t="str">
        <f t="shared" si="7"/>
        <v/>
      </c>
      <c r="M76" s="206" t="str">
        <f t="shared" si="8"/>
        <v/>
      </c>
      <c r="N76" s="206" t="str">
        <f t="shared" si="9"/>
        <v/>
      </c>
      <c r="O76" s="206" t="str">
        <f t="shared" si="10"/>
        <v/>
      </c>
      <c r="P76" s="84" t="str">
        <f t="shared" si="11"/>
        <v/>
      </c>
      <c r="Q76" s="205"/>
      <c r="R76" s="70" t="str">
        <f>IF(S76="IN",'BOM_Phan II'!$Y$3,"")</f>
        <v/>
      </c>
      <c r="S76" s="69" t="str">
        <f t="shared" ref="S76:S139" si="17">IF(OR(E76&lt;&gt;"",D76&lt;&gt;""),"IN","")</f>
        <v/>
      </c>
      <c r="T76">
        <f t="shared" si="12"/>
        <v>3</v>
      </c>
      <c r="U76" t="str">
        <f t="shared" si="13"/>
        <v>KIỆN 14</v>
      </c>
      <c r="V76" t="str">
        <f t="shared" si="14"/>
        <v/>
      </c>
      <c r="W76" s="266"/>
      <c r="X76" s="266"/>
      <c r="Y76" s="266" t="str">
        <f t="shared" si="5"/>
        <v/>
      </c>
      <c r="Z76" s="266"/>
    </row>
    <row r="77" spans="1:27" ht="27" hidden="1" customHeight="1">
      <c r="A77" s="70" t="str">
        <f t="shared" si="15"/>
        <v/>
      </c>
      <c r="B77" s="70" t="str">
        <f t="shared" si="16"/>
        <v/>
      </c>
      <c r="C77" s="204" t="str" cm="1">
        <f t="array" ref="C77">IF(D77="","",
    IF(AND(ISNUMBER(D77), D77=INT(D77)),
        $V$6 &amp; " " &amp; (IFERROR(MAX($Y$12:$Y76), 0) + 1),
        IF(ISNUMBER(SEARCH(".", D77)), "", INDEX($C$12:$C77, MATCH(2, 1/($C$12:$C77 &lt;&gt; ""))))
    )
)</f>
        <v/>
      </c>
      <c r="D77" s="206"/>
      <c r="E77" s="206" t="str">
        <f>IF(AA77 = "", "",
    IF(ISNUMBER(SEARCH("Kiện", C77)),
       " GÓI " &amp; COUNTIF($C$13:C77, "*Kiện*") &amp; "/" &amp; COUNTIF($C$13:$C$1000, "*Kiện*") &amp; " " &amp; AA77,
       AA77)
)</f>
        <v/>
      </c>
      <c r="F77" s="206"/>
      <c r="G77" s="206"/>
      <c r="H77" s="206"/>
      <c r="I77" s="206"/>
      <c r="J77" s="206" t="str">
        <f t="shared" ref="J77:J140" si="18">IF(C77&lt;&gt;"",C77&amp;"_"&amp;$E$6,"")</f>
        <v/>
      </c>
      <c r="K77" s="206" t="str">
        <f t="shared" si="6"/>
        <v/>
      </c>
      <c r="L77" s="206" t="str">
        <f t="shared" si="7"/>
        <v/>
      </c>
      <c r="M77" s="206" t="str">
        <f t="shared" si="8"/>
        <v/>
      </c>
      <c r="N77" s="206" t="str">
        <f t="shared" si="9"/>
        <v/>
      </c>
      <c r="O77" s="206" t="str">
        <f t="shared" si="10"/>
        <v/>
      </c>
      <c r="P77" s="84" t="str">
        <f t="shared" si="11"/>
        <v/>
      </c>
      <c r="Q77" s="205"/>
      <c r="R77" s="70" t="str">
        <f>IF(S77="IN",'BOM_Phan II'!$Y$3,"")</f>
        <v/>
      </c>
      <c r="S77" s="69" t="str">
        <f t="shared" si="17"/>
        <v/>
      </c>
      <c r="T77">
        <f t="shared" si="12"/>
        <v>3</v>
      </c>
      <c r="U77" t="str">
        <f t="shared" si="13"/>
        <v>KIỆN 14</v>
      </c>
      <c r="V77" t="str">
        <f t="shared" si="14"/>
        <v/>
      </c>
      <c r="W77" s="266"/>
      <c r="X77" s="266"/>
      <c r="Y77" s="266" t="str">
        <f t="shared" ref="Y77:Y140" si="19">IFERROR(VALUE(RIGHT(C77,LEN(C77)-5)),"")</f>
        <v/>
      </c>
      <c r="Z77" s="266"/>
    </row>
    <row r="78" spans="1:27" ht="27" hidden="1" customHeight="1">
      <c r="A78" s="70" t="str">
        <f t="shared" si="15"/>
        <v/>
      </c>
      <c r="B78" s="70" t="str">
        <f t="shared" si="16"/>
        <v/>
      </c>
      <c r="C78" s="204" t="str" cm="1">
        <f t="array" ref="C78">IF(D78="","",
    IF(AND(ISNUMBER(D78), D78=INT(D78)),
        $V$6 &amp; " " &amp; (IFERROR(MAX($Y$12:$Y77), 0) + 1),
        IF(ISNUMBER(SEARCH(".", D78)), "", INDEX($C$12:$C78, MATCH(2, 1/($C$12:$C78 &lt;&gt; ""))))
    )
)</f>
        <v/>
      </c>
      <c r="D78" s="206"/>
      <c r="E78" s="206" t="str">
        <f>IF(AA78 = "", "",
    IF(ISNUMBER(SEARCH("Kiện", C78)),
       " GÓI " &amp; COUNTIF($C$13:C78, "*Kiện*") &amp; "/" &amp; COUNTIF($C$13:$C$1000, "*Kiện*") &amp; " " &amp; AA78,
       AA78)
)</f>
        <v/>
      </c>
      <c r="F78" s="206"/>
      <c r="G78" s="206"/>
      <c r="H78" s="206"/>
      <c r="I78" s="206"/>
      <c r="J78" s="206" t="str">
        <f t="shared" si="18"/>
        <v/>
      </c>
      <c r="K78" s="206" t="str">
        <f t="shared" ref="K78:K141" si="20">IFERROR(IF($C78&lt;&gt;"",IF($T$13=1,F78+20,IF($T$13=2,F78+20,IF($T$13=3,F78+50,IF($T$13=4,F78+40,IF($T$13=5,F78+50,IF($T$13=51,F78+50,IF($T$13=6,F78+50,IF($T$13=7,F78+50,"")))))))),""),"")</f>
        <v/>
      </c>
      <c r="L78" s="206" t="str">
        <f t="shared" ref="L78:L141" si="21">IFERROR(IF($C78&lt;&gt;"",IF($T$13=1,G78+20,IF($T$13=2,G78+20,IF($T$13=3,G78+50,IF($T$13=4,G78+40,IF($T$13=5,G78+50,IF($T$13=51,G78+50,IF($T$13=6,G78+50,IF($T$13=7,G78+50,"")))))))),""),"")</f>
        <v/>
      </c>
      <c r="M78" s="206" t="str">
        <f t="shared" ref="M78:M141" si="22">IFERROR(IF($C78&lt;&gt;"",IF($T$13=1,H78+20,IF($T$13=2,H78+20,IF($T$13=3,H78+70,IF($T$13=4,H78+40,IF($T$13=5,H78+50,IF($T$13=51,H78+150,IF($T$13=6,H78+50,IF($T$13=7,H78+50,"")))))))),""),"")</f>
        <v/>
      </c>
      <c r="N78" s="206" t="str">
        <f t="shared" ref="N78:N141" si="23">IF(C78&lt;&gt;"",I78,"")</f>
        <v/>
      </c>
      <c r="O78" s="206" t="str">
        <f t="shared" ref="O78:O141" si="24">IF(C78&lt;&gt;"",$O$13,"")</f>
        <v/>
      </c>
      <c r="P78" s="84" t="str">
        <f t="shared" ref="P78:P141" si="25">IFERROR(IF(C78&lt;&gt;"",SUMIFS($V$13:$V$969,$U$13:$U$969,C78)*$S$6,V78*$S$6),"")</f>
        <v/>
      </c>
      <c r="Q78" s="205"/>
      <c r="R78" s="70" t="str">
        <f>IF(S78="IN",'BOM_Phan II'!$Y$3,"")</f>
        <v/>
      </c>
      <c r="S78" s="69" t="str">
        <f t="shared" si="17"/>
        <v/>
      </c>
      <c r="T78">
        <f t="shared" ref="T78:T141" si="26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3</v>
      </c>
      <c r="U78" t="str">
        <f t="shared" ref="U78:U141" si="27">IF(C78="",U77,C78)</f>
        <v>KIỆN 14</v>
      </c>
      <c r="V78" t="str">
        <f t="shared" ref="V78:V141" si="28">IFERROR(IF(AND(C78="", OR($W78="1", $W78="2")), IF(I78="", "", F78*G78*H78*I78/10^9), ""), "")</f>
        <v/>
      </c>
      <c r="W78" s="266"/>
      <c r="X78" s="266"/>
      <c r="Y78" s="266" t="str">
        <f t="shared" si="19"/>
        <v/>
      </c>
      <c r="Z78" s="266"/>
    </row>
    <row r="79" spans="1:27" ht="27" hidden="1" customHeight="1">
      <c r="A79" s="70" t="str">
        <f t="shared" si="15"/>
        <v/>
      </c>
      <c r="B79" s="70" t="str">
        <f t="shared" si="16"/>
        <v/>
      </c>
      <c r="C79" s="204" t="str" cm="1">
        <f t="array" ref="C79">IF(D79="","",
    IF(AND(ISNUMBER(D79), D79=INT(D79)),
        $V$6 &amp; " " &amp; (IFERROR(MAX($Y$12:$Y78), 0) + 1),
        IF(ISNUMBER(SEARCH(".", D79)), "", INDEX($C$12:$C79, MATCH(2, 1/($C$12:$C79 &lt;&gt; ""))))
    )
)</f>
        <v/>
      </c>
      <c r="D79" s="206"/>
      <c r="E79" s="206" t="str">
        <f>IF(AA79 = "", "",
    IF(ISNUMBER(SEARCH("Kiện", C79)),
       " GÓI " &amp; COUNTIF($C$13:C79, "*Kiện*") &amp; "/" &amp; COUNTIF($C$13:$C$1000, "*Kiện*") &amp; " " &amp; AA79,
       AA79)
)</f>
        <v/>
      </c>
      <c r="F79" s="206"/>
      <c r="G79" s="206"/>
      <c r="H79" s="206"/>
      <c r="I79" s="206"/>
      <c r="J79" s="206" t="str">
        <f t="shared" si="18"/>
        <v/>
      </c>
      <c r="K79" s="206" t="str">
        <f t="shared" si="20"/>
        <v/>
      </c>
      <c r="L79" s="206" t="str">
        <f t="shared" si="21"/>
        <v/>
      </c>
      <c r="M79" s="206" t="str">
        <f t="shared" si="22"/>
        <v/>
      </c>
      <c r="N79" s="206" t="str">
        <f t="shared" si="23"/>
        <v/>
      </c>
      <c r="O79" s="206" t="str">
        <f t="shared" si="24"/>
        <v/>
      </c>
      <c r="P79" s="84" t="str">
        <f t="shared" si="25"/>
        <v/>
      </c>
      <c r="Q79" s="205"/>
      <c r="R79" s="70" t="str">
        <f>IF(S79="IN",'BOM_Phan II'!$Y$3,"")</f>
        <v/>
      </c>
      <c r="S79" s="69" t="str">
        <f t="shared" si="17"/>
        <v/>
      </c>
      <c r="T79">
        <f t="shared" si="26"/>
        <v>3</v>
      </c>
      <c r="U79" t="str">
        <f t="shared" si="27"/>
        <v>KIỆN 14</v>
      </c>
      <c r="V79" t="str">
        <f t="shared" si="28"/>
        <v/>
      </c>
      <c r="W79" s="266"/>
      <c r="X79" s="266"/>
      <c r="Y79" s="266" t="str">
        <f t="shared" si="19"/>
        <v/>
      </c>
      <c r="Z79" s="266"/>
    </row>
    <row r="80" spans="1:27" ht="27" hidden="1" customHeight="1">
      <c r="A80" s="70" t="str">
        <f t="shared" si="15"/>
        <v/>
      </c>
      <c r="B80" s="70" t="str">
        <f t="shared" si="16"/>
        <v/>
      </c>
      <c r="C80" s="204" t="str" cm="1">
        <f t="array" ref="C80">IF(D80="","",
    IF(AND(ISNUMBER(D80), D80=INT(D80)),
        $V$6 &amp; " " &amp; (IFERROR(MAX($Y$12:$Y79), 0) + 1),
        IF(ISNUMBER(SEARCH(".", D80)), "", INDEX($C$12:$C80, MATCH(2, 1/($C$12:$C80 &lt;&gt; ""))))
    )
)</f>
        <v/>
      </c>
      <c r="D80" s="206"/>
      <c r="E80" s="206" t="str">
        <f>IF(AA80 = "", "",
    IF(ISNUMBER(SEARCH("Kiện", C80)),
       " GÓI " &amp; COUNTIF($C$13:C80, "*Kiện*") &amp; "/" &amp; COUNTIF($C$13:$C$1000, "*Kiện*") &amp; " " &amp; AA80,
       AA80)
)</f>
        <v/>
      </c>
      <c r="F80" s="206"/>
      <c r="G80" s="206"/>
      <c r="H80" s="206"/>
      <c r="I80" s="206"/>
      <c r="J80" s="206" t="str">
        <f t="shared" si="18"/>
        <v/>
      </c>
      <c r="K80" s="206" t="str">
        <f t="shared" si="20"/>
        <v/>
      </c>
      <c r="L80" s="206" t="str">
        <f t="shared" si="21"/>
        <v/>
      </c>
      <c r="M80" s="206" t="str">
        <f t="shared" si="22"/>
        <v/>
      </c>
      <c r="N80" s="206" t="str">
        <f t="shared" si="23"/>
        <v/>
      </c>
      <c r="O80" s="206" t="str">
        <f t="shared" si="24"/>
        <v/>
      </c>
      <c r="P80" s="84" t="str">
        <f t="shared" si="25"/>
        <v/>
      </c>
      <c r="Q80" s="205"/>
      <c r="R80" s="70" t="str">
        <f>IF(S80="IN",'BOM_Phan II'!$Y$3,"")</f>
        <v/>
      </c>
      <c r="S80" s="69" t="str">
        <f t="shared" si="17"/>
        <v/>
      </c>
      <c r="T80">
        <f t="shared" si="26"/>
        <v>3</v>
      </c>
      <c r="U80" t="str">
        <f t="shared" si="27"/>
        <v>KIỆN 14</v>
      </c>
      <c r="V80" t="str">
        <f t="shared" si="28"/>
        <v/>
      </c>
      <c r="W80" s="266"/>
      <c r="X80" s="266"/>
      <c r="Y80" s="266" t="str">
        <f t="shared" si="19"/>
        <v/>
      </c>
      <c r="Z80" s="266"/>
    </row>
    <row r="81" spans="1:26" ht="27" hidden="1" customHeight="1">
      <c r="A81" s="70" t="str">
        <f t="shared" si="15"/>
        <v/>
      </c>
      <c r="B81" s="70" t="str">
        <f t="shared" si="16"/>
        <v/>
      </c>
      <c r="C81" s="204" t="str" cm="1">
        <f t="array" ref="C81">IF(D81="","",
    IF(AND(ISNUMBER(D81), D81=INT(D81)),
        $V$6 &amp; " " &amp; (IFERROR(MAX($Y$12:$Y80), 0) + 1),
        IF(ISNUMBER(SEARCH(".", D81)), "", INDEX($C$12:$C81, MATCH(2, 1/($C$12:$C81 &lt;&gt; ""))))
    )
)</f>
        <v/>
      </c>
      <c r="D81" s="206"/>
      <c r="E81" s="206" t="str">
        <f>IF(AA81 = "", "",
    IF(ISNUMBER(SEARCH("Kiện", C81)),
       " GÓI " &amp; COUNTIF($C$13:C81, "*Kiện*") &amp; "/" &amp; COUNTIF($C$13:$C$1000, "*Kiện*") &amp; " " &amp; AA81,
       AA81)
)</f>
        <v/>
      </c>
      <c r="F81" s="206"/>
      <c r="G81" s="206"/>
      <c r="H81" s="206"/>
      <c r="I81" s="206"/>
      <c r="J81" s="206" t="str">
        <f t="shared" si="18"/>
        <v/>
      </c>
      <c r="K81" s="206" t="str">
        <f t="shared" si="20"/>
        <v/>
      </c>
      <c r="L81" s="206" t="str">
        <f t="shared" si="21"/>
        <v/>
      </c>
      <c r="M81" s="206" t="str">
        <f t="shared" si="22"/>
        <v/>
      </c>
      <c r="N81" s="206" t="str">
        <f t="shared" si="23"/>
        <v/>
      </c>
      <c r="O81" s="206" t="str">
        <f t="shared" si="24"/>
        <v/>
      </c>
      <c r="P81" s="84" t="str">
        <f t="shared" si="25"/>
        <v/>
      </c>
      <c r="Q81" s="205"/>
      <c r="R81" s="70" t="str">
        <f>IF(S81="IN",'BOM_Phan II'!$Y$3,"")</f>
        <v/>
      </c>
      <c r="S81" s="69" t="str">
        <f t="shared" si="17"/>
        <v/>
      </c>
      <c r="T81">
        <f t="shared" si="26"/>
        <v>3</v>
      </c>
      <c r="U81" t="str">
        <f t="shared" si="27"/>
        <v>KIỆN 14</v>
      </c>
      <c r="V81" t="str">
        <f t="shared" si="28"/>
        <v/>
      </c>
      <c r="W81" s="266"/>
      <c r="X81" s="266"/>
      <c r="Y81" s="266" t="str">
        <f t="shared" si="19"/>
        <v/>
      </c>
      <c r="Z81" s="266"/>
    </row>
    <row r="82" spans="1:26" ht="27" hidden="1" customHeight="1">
      <c r="A82" s="70" t="str">
        <f t="shared" si="15"/>
        <v/>
      </c>
      <c r="B82" s="70" t="str">
        <f t="shared" si="16"/>
        <v/>
      </c>
      <c r="C82" s="204" t="str" cm="1">
        <f t="array" ref="C82">IF(D82="","",
    IF(AND(ISNUMBER(D82), D82=INT(D82)),
        $V$6 &amp; " " &amp; (IFERROR(MAX($Y$12:$Y81), 0) + 1),
        IF(ISNUMBER(SEARCH(".", D82)), "", INDEX($C$12:$C82, MATCH(2, 1/($C$12:$C82 &lt;&gt; ""))))
    )
)</f>
        <v/>
      </c>
      <c r="D82" s="206"/>
      <c r="E82" s="206" t="str">
        <f>IF(AA82 = "", "",
    IF(ISNUMBER(SEARCH("Kiện", C82)),
       " GÓI " &amp; COUNTIF($C$13:C82, "*Kiện*") &amp; "/" &amp; COUNTIF($C$13:$C$1000, "*Kiện*") &amp; " " &amp; AA82,
       AA82)
)</f>
        <v/>
      </c>
      <c r="F82" s="206"/>
      <c r="G82" s="206"/>
      <c r="H82" s="206"/>
      <c r="I82" s="206"/>
      <c r="J82" s="206" t="str">
        <f t="shared" si="18"/>
        <v/>
      </c>
      <c r="K82" s="206" t="str">
        <f t="shared" si="20"/>
        <v/>
      </c>
      <c r="L82" s="206" t="str">
        <f t="shared" si="21"/>
        <v/>
      </c>
      <c r="M82" s="206" t="str">
        <f t="shared" si="22"/>
        <v/>
      </c>
      <c r="N82" s="206" t="str">
        <f t="shared" si="23"/>
        <v/>
      </c>
      <c r="O82" s="206" t="str">
        <f t="shared" si="24"/>
        <v/>
      </c>
      <c r="P82" s="84" t="str">
        <f t="shared" si="25"/>
        <v/>
      </c>
      <c r="Q82" s="205"/>
      <c r="R82" s="70" t="str">
        <f>IF(S82="IN",'BOM_Phan II'!$Y$3,"")</f>
        <v/>
      </c>
      <c r="S82" s="69" t="str">
        <f t="shared" si="17"/>
        <v/>
      </c>
      <c r="T82">
        <f t="shared" si="26"/>
        <v>3</v>
      </c>
      <c r="U82" t="str">
        <f t="shared" si="27"/>
        <v>KIỆN 14</v>
      </c>
      <c r="V82" t="str">
        <f t="shared" si="28"/>
        <v/>
      </c>
      <c r="W82" s="266"/>
      <c r="X82" s="266"/>
      <c r="Y82" s="266" t="str">
        <f t="shared" si="19"/>
        <v/>
      </c>
      <c r="Z82" s="266"/>
    </row>
    <row r="83" spans="1:26" ht="27" hidden="1" customHeight="1">
      <c r="A83" s="70" t="str">
        <f t="shared" si="15"/>
        <v/>
      </c>
      <c r="B83" s="70" t="str">
        <f t="shared" si="16"/>
        <v/>
      </c>
      <c r="C83" s="204" t="str" cm="1">
        <f t="array" ref="C83">IF(D83="","",
    IF(AND(ISNUMBER(D83), D83=INT(D83)),
        $V$6 &amp; " " &amp; (IFERROR(MAX($Y$12:$Y82), 0) + 1),
        IF(ISNUMBER(SEARCH(".", D83)), "", INDEX($C$12:$C83, MATCH(2, 1/($C$12:$C83 &lt;&gt; ""))))
    )
)</f>
        <v/>
      </c>
      <c r="D83" s="206"/>
      <c r="E83" s="206" t="str">
        <f>IF(AA83 = "", "",
    IF(ISNUMBER(SEARCH("Kiện", C83)),
       " GÓI " &amp; COUNTIF($C$13:C83, "*Kiện*") &amp; "/" &amp; COUNTIF($C$13:$C$1000, "*Kiện*") &amp; " " &amp; AA83,
       AA83)
)</f>
        <v/>
      </c>
      <c r="F83" s="206"/>
      <c r="G83" s="206"/>
      <c r="H83" s="206"/>
      <c r="I83" s="206"/>
      <c r="J83" s="206" t="str">
        <f t="shared" si="18"/>
        <v/>
      </c>
      <c r="K83" s="206" t="str">
        <f t="shared" si="20"/>
        <v/>
      </c>
      <c r="L83" s="206" t="str">
        <f t="shared" si="21"/>
        <v/>
      </c>
      <c r="M83" s="206" t="str">
        <f t="shared" si="22"/>
        <v/>
      </c>
      <c r="N83" s="206" t="str">
        <f t="shared" si="23"/>
        <v/>
      </c>
      <c r="O83" s="206" t="str">
        <f t="shared" si="24"/>
        <v/>
      </c>
      <c r="P83" s="84" t="str">
        <f t="shared" si="25"/>
        <v/>
      </c>
      <c r="Q83" s="205"/>
      <c r="R83" s="70" t="str">
        <f>IF(S83="IN",'BOM_Phan II'!$Y$3,"")</f>
        <v/>
      </c>
      <c r="S83" s="69" t="str">
        <f t="shared" si="17"/>
        <v/>
      </c>
      <c r="T83">
        <f t="shared" si="26"/>
        <v>3</v>
      </c>
      <c r="U83" t="str">
        <f t="shared" si="27"/>
        <v>KIỆN 14</v>
      </c>
      <c r="V83" t="str">
        <f t="shared" si="28"/>
        <v/>
      </c>
      <c r="W83" s="266"/>
      <c r="X83" s="266"/>
      <c r="Y83" s="266" t="str">
        <f t="shared" si="19"/>
        <v/>
      </c>
      <c r="Z83" s="266"/>
    </row>
    <row r="84" spans="1:26" ht="27" hidden="1" customHeight="1">
      <c r="A84" s="70" t="str">
        <f t="shared" si="15"/>
        <v/>
      </c>
      <c r="B84" s="70" t="str">
        <f t="shared" si="16"/>
        <v/>
      </c>
      <c r="C84" s="204" t="str" cm="1">
        <f t="array" ref="C84">IF(D84="","",
    IF(AND(ISNUMBER(D84), D84=INT(D84)),
        $V$6 &amp; " " &amp; (IFERROR(MAX($Y$12:$Y83), 0) + 1),
        IF(ISNUMBER(SEARCH(".", D84)), "", INDEX($C$12:$C84, MATCH(2, 1/($C$12:$C84 &lt;&gt; ""))))
    )
)</f>
        <v/>
      </c>
      <c r="D84" s="206"/>
      <c r="E84" s="206" t="str">
        <f>IF(AA84 = "", "",
    IF(ISNUMBER(SEARCH("Kiện", C84)),
       " GÓI " &amp; COUNTIF($C$13:C84, "*Kiện*") &amp; "/" &amp; COUNTIF($C$13:$C$1000, "*Kiện*") &amp; " " &amp; AA84,
       AA84)
)</f>
        <v/>
      </c>
      <c r="F84" s="206"/>
      <c r="G84" s="206"/>
      <c r="H84" s="206"/>
      <c r="I84" s="206"/>
      <c r="J84" s="206" t="str">
        <f t="shared" si="18"/>
        <v/>
      </c>
      <c r="K84" s="206" t="str">
        <f t="shared" si="20"/>
        <v/>
      </c>
      <c r="L84" s="206" t="str">
        <f t="shared" si="21"/>
        <v/>
      </c>
      <c r="M84" s="206" t="str">
        <f t="shared" si="22"/>
        <v/>
      </c>
      <c r="N84" s="206" t="str">
        <f t="shared" si="23"/>
        <v/>
      </c>
      <c r="O84" s="206" t="str">
        <f t="shared" si="24"/>
        <v/>
      </c>
      <c r="P84" s="84" t="str">
        <f t="shared" si="25"/>
        <v/>
      </c>
      <c r="Q84" s="205"/>
      <c r="R84" s="70" t="str">
        <f>IF(S84="IN",'BOM_Phan II'!$Y$3,"")</f>
        <v/>
      </c>
      <c r="S84" s="69" t="str">
        <f t="shared" si="17"/>
        <v/>
      </c>
      <c r="T84">
        <f t="shared" si="26"/>
        <v>3</v>
      </c>
      <c r="U84" t="str">
        <f t="shared" si="27"/>
        <v>KIỆN 14</v>
      </c>
      <c r="V84" t="str">
        <f t="shared" si="28"/>
        <v/>
      </c>
      <c r="W84" s="266"/>
      <c r="X84" s="266"/>
      <c r="Y84" s="266" t="str">
        <f t="shared" si="19"/>
        <v/>
      </c>
      <c r="Z84" s="266"/>
    </row>
    <row r="85" spans="1:26" ht="27" hidden="1" customHeight="1">
      <c r="A85" s="70" t="str">
        <f t="shared" si="15"/>
        <v/>
      </c>
      <c r="B85" s="70" t="str">
        <f t="shared" si="16"/>
        <v/>
      </c>
      <c r="C85" s="204" t="str" cm="1">
        <f t="array" ref="C85">IF(D85="","",
    IF(AND(ISNUMBER(D85), D85=INT(D85)),
        $V$6 &amp; " " &amp; (IFERROR(MAX($Y$12:$Y84), 0) + 1),
        IF(ISNUMBER(SEARCH(".", D85)), "", INDEX($C$12:$C85, MATCH(2, 1/($C$12:$C85 &lt;&gt; ""))))
    )
)</f>
        <v/>
      </c>
      <c r="D85" s="206"/>
      <c r="E85" s="206" t="str">
        <f>IF(AA85 = "", "",
    IF(ISNUMBER(SEARCH("Kiện", C85)),
       " GÓI " &amp; COUNTIF($C$13:C85, "*Kiện*") &amp; "/" &amp; COUNTIF($C$13:$C$1000, "*Kiện*") &amp; " " &amp; AA85,
       AA85)
)</f>
        <v/>
      </c>
      <c r="F85" s="206"/>
      <c r="G85" s="206"/>
      <c r="H85" s="206"/>
      <c r="I85" s="206"/>
      <c r="J85" s="206" t="str">
        <f t="shared" si="18"/>
        <v/>
      </c>
      <c r="K85" s="206" t="str">
        <f t="shared" si="20"/>
        <v/>
      </c>
      <c r="L85" s="206" t="str">
        <f t="shared" si="21"/>
        <v/>
      </c>
      <c r="M85" s="206" t="str">
        <f t="shared" si="22"/>
        <v/>
      </c>
      <c r="N85" s="206" t="str">
        <f t="shared" si="23"/>
        <v/>
      </c>
      <c r="O85" s="206" t="str">
        <f t="shared" si="24"/>
        <v/>
      </c>
      <c r="P85" s="84" t="str">
        <f t="shared" si="25"/>
        <v/>
      </c>
      <c r="Q85" s="205"/>
      <c r="R85" s="70" t="str">
        <f>IF(S85="IN",'BOM_Phan II'!$Y$3,"")</f>
        <v/>
      </c>
      <c r="S85" s="69" t="str">
        <f t="shared" si="17"/>
        <v/>
      </c>
      <c r="T85">
        <f t="shared" si="26"/>
        <v>3</v>
      </c>
      <c r="U85" t="str">
        <f t="shared" si="27"/>
        <v>KIỆN 14</v>
      </c>
      <c r="V85" t="str">
        <f t="shared" si="28"/>
        <v/>
      </c>
      <c r="W85" s="266"/>
      <c r="X85" s="266"/>
      <c r="Y85" s="266" t="str">
        <f t="shared" si="19"/>
        <v/>
      </c>
      <c r="Z85" s="266"/>
    </row>
    <row r="86" spans="1:26" ht="27" hidden="1" customHeight="1">
      <c r="A86" s="70" t="str">
        <f t="shared" si="15"/>
        <v/>
      </c>
      <c r="B86" s="70" t="str">
        <f t="shared" si="16"/>
        <v/>
      </c>
      <c r="C86" s="204" t="str" cm="1">
        <f t="array" ref="C86">IF(D86="","",
    IF(AND(ISNUMBER(D86), D86=INT(D86)),
        $V$6 &amp; " " &amp; (IFERROR(MAX($Y$12:$Y85), 0) + 1),
        IF(ISNUMBER(SEARCH(".", D86)), "", INDEX($C$12:$C86, MATCH(2, 1/($C$12:$C86 &lt;&gt; ""))))
    )
)</f>
        <v/>
      </c>
      <c r="D86" s="206"/>
      <c r="E86" s="206" t="str">
        <f>IF(AA86 = "", "",
    IF(ISNUMBER(SEARCH("Kiện", C86)),
       " GÓI " &amp; COUNTIF($C$13:C86, "*Kiện*") &amp; "/" &amp; COUNTIF($C$13:$C$1000, "*Kiện*") &amp; " " &amp; AA86,
       AA86)
)</f>
        <v/>
      </c>
      <c r="F86" s="206"/>
      <c r="G86" s="206"/>
      <c r="H86" s="206"/>
      <c r="I86" s="206"/>
      <c r="J86" s="206" t="str">
        <f t="shared" si="18"/>
        <v/>
      </c>
      <c r="K86" s="206" t="str">
        <f t="shared" si="20"/>
        <v/>
      </c>
      <c r="L86" s="206" t="str">
        <f t="shared" si="21"/>
        <v/>
      </c>
      <c r="M86" s="206" t="str">
        <f t="shared" si="22"/>
        <v/>
      </c>
      <c r="N86" s="206" t="str">
        <f t="shared" si="23"/>
        <v/>
      </c>
      <c r="O86" s="206" t="str">
        <f t="shared" si="24"/>
        <v/>
      </c>
      <c r="P86" s="84" t="str">
        <f t="shared" si="25"/>
        <v/>
      </c>
      <c r="Q86" s="205"/>
      <c r="R86" s="70" t="str">
        <f>IF(S86="IN",'BOM_Phan II'!$Y$3,"")</f>
        <v/>
      </c>
      <c r="S86" s="69" t="str">
        <f t="shared" si="17"/>
        <v/>
      </c>
      <c r="T86">
        <f t="shared" si="26"/>
        <v>3</v>
      </c>
      <c r="U86" t="str">
        <f t="shared" si="27"/>
        <v>KIỆN 14</v>
      </c>
      <c r="V86" t="str">
        <f t="shared" si="28"/>
        <v/>
      </c>
      <c r="W86" s="266"/>
      <c r="X86" s="266"/>
      <c r="Y86" s="266" t="str">
        <f t="shared" si="19"/>
        <v/>
      </c>
      <c r="Z86" s="266"/>
    </row>
    <row r="87" spans="1:26" ht="27" hidden="1" customHeight="1">
      <c r="A87" s="70" t="str">
        <f t="shared" si="15"/>
        <v/>
      </c>
      <c r="B87" s="70" t="str">
        <f t="shared" si="16"/>
        <v/>
      </c>
      <c r="C87" s="204" t="str" cm="1">
        <f t="array" ref="C87">IF(D87="","",
    IF(AND(ISNUMBER(D87), D87=INT(D87)),
        $V$6 &amp; " " &amp; (IFERROR(MAX($Y$12:$Y86), 0) + 1),
        IF(ISNUMBER(SEARCH(".", D87)), "", INDEX($C$12:$C87, MATCH(2, 1/($C$12:$C87 &lt;&gt; ""))))
    )
)</f>
        <v/>
      </c>
      <c r="D87" s="206"/>
      <c r="E87" s="206" t="str">
        <f>IF(AA87 = "", "",
    IF(ISNUMBER(SEARCH("Kiện", C87)),
       " GÓI " &amp; COUNTIF($C$13:C87, "*Kiện*") &amp; "/" &amp; COUNTIF($C$13:$C$1000, "*Kiện*") &amp; " " &amp; AA87,
       AA87)
)</f>
        <v/>
      </c>
      <c r="F87" s="206"/>
      <c r="G87" s="206"/>
      <c r="H87" s="206"/>
      <c r="I87" s="206"/>
      <c r="J87" s="206" t="str">
        <f t="shared" si="18"/>
        <v/>
      </c>
      <c r="K87" s="206" t="str">
        <f t="shared" si="20"/>
        <v/>
      </c>
      <c r="L87" s="206" t="str">
        <f t="shared" si="21"/>
        <v/>
      </c>
      <c r="M87" s="206" t="str">
        <f t="shared" si="22"/>
        <v/>
      </c>
      <c r="N87" s="206" t="str">
        <f t="shared" si="23"/>
        <v/>
      </c>
      <c r="O87" s="206" t="str">
        <f t="shared" si="24"/>
        <v/>
      </c>
      <c r="P87" s="84" t="str">
        <f t="shared" si="25"/>
        <v/>
      </c>
      <c r="Q87" s="205"/>
      <c r="R87" s="70" t="str">
        <f>IF(S87="IN",'BOM_Phan II'!$Y$3,"")</f>
        <v/>
      </c>
      <c r="S87" s="69" t="str">
        <f t="shared" si="17"/>
        <v/>
      </c>
      <c r="T87">
        <f t="shared" si="26"/>
        <v>3</v>
      </c>
      <c r="U87" t="str">
        <f t="shared" si="27"/>
        <v>KIỆN 14</v>
      </c>
      <c r="V87" t="str">
        <f t="shared" si="28"/>
        <v/>
      </c>
      <c r="W87" s="266"/>
      <c r="X87" s="266"/>
      <c r="Y87" s="266" t="str">
        <f t="shared" si="19"/>
        <v/>
      </c>
      <c r="Z87" s="266"/>
    </row>
    <row r="88" spans="1:26" ht="27" hidden="1" customHeight="1">
      <c r="A88" s="70" t="str">
        <f t="shared" si="15"/>
        <v/>
      </c>
      <c r="B88" s="70" t="str">
        <f t="shared" si="16"/>
        <v/>
      </c>
      <c r="C88" s="204" t="str" cm="1">
        <f t="array" ref="C88">IF(D88="","",
    IF(AND(ISNUMBER(D88), D88=INT(D88)),
        $V$6 &amp; " " &amp; (IFERROR(MAX($Y$12:$Y87), 0) + 1),
        IF(ISNUMBER(SEARCH(".", D88)), "", INDEX($C$12:$C88, MATCH(2, 1/($C$12:$C88 &lt;&gt; ""))))
    )
)</f>
        <v/>
      </c>
      <c r="D88" s="206"/>
      <c r="E88" s="206" t="str">
        <f>IF(AA88 = "", "",
    IF(ISNUMBER(SEARCH("Kiện", C88)),
       " GÓI " &amp; COUNTIF($C$13:C88, "*Kiện*") &amp; "/" &amp; COUNTIF($C$13:$C$1000, "*Kiện*") &amp; " " &amp; AA88,
       AA88)
)</f>
        <v/>
      </c>
      <c r="F88" s="206"/>
      <c r="G88" s="206"/>
      <c r="H88" s="206"/>
      <c r="I88" s="206"/>
      <c r="J88" s="206" t="str">
        <f t="shared" si="18"/>
        <v/>
      </c>
      <c r="K88" s="206" t="str">
        <f t="shared" si="20"/>
        <v/>
      </c>
      <c r="L88" s="206" t="str">
        <f t="shared" si="21"/>
        <v/>
      </c>
      <c r="M88" s="206" t="str">
        <f t="shared" si="22"/>
        <v/>
      </c>
      <c r="N88" s="206" t="str">
        <f t="shared" si="23"/>
        <v/>
      </c>
      <c r="O88" s="206" t="str">
        <f t="shared" si="24"/>
        <v/>
      </c>
      <c r="P88" s="84" t="str">
        <f t="shared" si="25"/>
        <v/>
      </c>
      <c r="Q88" s="205"/>
      <c r="R88" s="70" t="str">
        <f>IF(S88="IN",'BOM_Phan II'!$Y$3,"")</f>
        <v/>
      </c>
      <c r="S88" s="69" t="str">
        <f t="shared" si="17"/>
        <v/>
      </c>
      <c r="T88">
        <f t="shared" si="26"/>
        <v>3</v>
      </c>
      <c r="U88" t="str">
        <f t="shared" si="27"/>
        <v>KIỆN 14</v>
      </c>
      <c r="V88" t="str">
        <f t="shared" si="28"/>
        <v/>
      </c>
      <c r="W88" s="266"/>
      <c r="X88" s="266"/>
      <c r="Y88" s="266" t="str">
        <f t="shared" si="19"/>
        <v/>
      </c>
      <c r="Z88" s="266"/>
    </row>
    <row r="89" spans="1:26" ht="27" hidden="1" customHeight="1">
      <c r="A89" s="70" t="str">
        <f t="shared" si="15"/>
        <v/>
      </c>
      <c r="B89" s="70" t="str">
        <f t="shared" si="16"/>
        <v/>
      </c>
      <c r="C89" s="204" t="str" cm="1">
        <f t="array" ref="C89">IF(D89="","",
    IF(AND(ISNUMBER(D89), D89=INT(D89)),
        $V$6 &amp; " " &amp; (IFERROR(MAX($Y$12:$Y88), 0) + 1),
        IF(ISNUMBER(SEARCH(".", D89)), "", INDEX($C$12:$C89, MATCH(2, 1/($C$12:$C89 &lt;&gt; ""))))
    )
)</f>
        <v/>
      </c>
      <c r="D89" s="206"/>
      <c r="E89" s="206" t="str">
        <f>IF(AA89 = "", "",
    IF(ISNUMBER(SEARCH("Kiện", C89)),
       " GÓI " &amp; COUNTIF($C$13:C89, "*Kiện*") &amp; "/" &amp; COUNTIF($C$13:$C$1000, "*Kiện*") &amp; " " &amp; AA89,
       AA89)
)</f>
        <v/>
      </c>
      <c r="F89" s="206"/>
      <c r="G89" s="206"/>
      <c r="H89" s="206"/>
      <c r="I89" s="206"/>
      <c r="J89" s="206" t="str">
        <f t="shared" si="18"/>
        <v/>
      </c>
      <c r="K89" s="206" t="str">
        <f t="shared" si="20"/>
        <v/>
      </c>
      <c r="L89" s="206" t="str">
        <f t="shared" si="21"/>
        <v/>
      </c>
      <c r="M89" s="206" t="str">
        <f t="shared" si="22"/>
        <v/>
      </c>
      <c r="N89" s="206" t="str">
        <f t="shared" si="23"/>
        <v/>
      </c>
      <c r="O89" s="206" t="str">
        <f t="shared" si="24"/>
        <v/>
      </c>
      <c r="P89" s="84" t="str">
        <f t="shared" si="25"/>
        <v/>
      </c>
      <c r="Q89" s="205"/>
      <c r="R89" s="70" t="str">
        <f>IF(S89="IN",'BOM_Phan II'!$Y$3,"")</f>
        <v/>
      </c>
      <c r="S89" s="69" t="str">
        <f t="shared" si="17"/>
        <v/>
      </c>
      <c r="T89">
        <f t="shared" si="26"/>
        <v>3</v>
      </c>
      <c r="U89" t="str">
        <f t="shared" si="27"/>
        <v>KIỆN 14</v>
      </c>
      <c r="V89" t="str">
        <f t="shared" si="28"/>
        <v/>
      </c>
      <c r="W89" s="266"/>
      <c r="X89" s="266"/>
      <c r="Y89" s="266" t="str">
        <f t="shared" si="19"/>
        <v/>
      </c>
      <c r="Z89" s="266"/>
    </row>
    <row r="90" spans="1:26" ht="27" hidden="1" customHeight="1">
      <c r="A90" s="70" t="str">
        <f t="shared" si="15"/>
        <v/>
      </c>
      <c r="B90" s="70" t="str">
        <f t="shared" si="16"/>
        <v/>
      </c>
      <c r="C90" s="204" t="str" cm="1">
        <f t="array" ref="C90">IF(D90="","",
    IF(AND(ISNUMBER(D90), D90=INT(D90)),
        $V$6 &amp; " " &amp; (IFERROR(MAX($Y$12:$Y89), 0) + 1),
        IF(ISNUMBER(SEARCH(".", D90)), "", INDEX($C$12:$C90, MATCH(2, 1/($C$12:$C90 &lt;&gt; ""))))
    )
)</f>
        <v/>
      </c>
      <c r="D90" s="206"/>
      <c r="E90" s="206" t="str">
        <f>IF(AA90 = "", "",
    IF(ISNUMBER(SEARCH("Kiện", C90)),
       " GÓI " &amp; COUNTIF($C$13:C90, "*Kiện*") &amp; "/" &amp; COUNTIF($C$13:$C$1000, "*Kiện*") &amp; " " &amp; AA90,
       AA90)
)</f>
        <v/>
      </c>
      <c r="F90" s="206"/>
      <c r="G90" s="206"/>
      <c r="H90" s="206"/>
      <c r="I90" s="206"/>
      <c r="J90" s="206" t="str">
        <f t="shared" si="18"/>
        <v/>
      </c>
      <c r="K90" s="206" t="str">
        <f t="shared" si="20"/>
        <v/>
      </c>
      <c r="L90" s="206" t="str">
        <f t="shared" si="21"/>
        <v/>
      </c>
      <c r="M90" s="206" t="str">
        <f t="shared" si="22"/>
        <v/>
      </c>
      <c r="N90" s="206" t="str">
        <f t="shared" si="23"/>
        <v/>
      </c>
      <c r="O90" s="206" t="str">
        <f t="shared" si="24"/>
        <v/>
      </c>
      <c r="P90" s="84" t="str">
        <f t="shared" si="25"/>
        <v/>
      </c>
      <c r="Q90" s="205"/>
      <c r="R90" s="70" t="str">
        <f>IF(S90="IN",'BOM_Phan II'!$Y$3,"")</f>
        <v/>
      </c>
      <c r="S90" s="69" t="str">
        <f t="shared" si="17"/>
        <v/>
      </c>
      <c r="T90">
        <f t="shared" si="26"/>
        <v>3</v>
      </c>
      <c r="U90" t="str">
        <f t="shared" si="27"/>
        <v>KIỆN 14</v>
      </c>
      <c r="V90" t="str">
        <f t="shared" si="28"/>
        <v/>
      </c>
      <c r="W90" s="266"/>
      <c r="X90" s="266"/>
      <c r="Y90" s="266" t="str">
        <f t="shared" si="19"/>
        <v/>
      </c>
      <c r="Z90" s="266"/>
    </row>
    <row r="91" spans="1:26" ht="27" hidden="1" customHeight="1">
      <c r="A91" s="70" t="str">
        <f t="shared" si="15"/>
        <v/>
      </c>
      <c r="B91" s="70" t="str">
        <f t="shared" si="16"/>
        <v/>
      </c>
      <c r="C91" s="204" t="str" cm="1">
        <f t="array" ref="C91">IF(D91="","",
    IF(AND(ISNUMBER(D91), D91=INT(D91)),
        $V$6 &amp; " " &amp; (IFERROR(MAX($Y$12:$Y90), 0) + 1),
        IF(ISNUMBER(SEARCH(".", D91)), "", INDEX($C$12:$C91, MATCH(2, 1/($C$12:$C91 &lt;&gt; ""))))
    )
)</f>
        <v/>
      </c>
      <c r="D91" s="206"/>
      <c r="E91" s="206" t="str">
        <f>IF(AA91 = "", "",
    IF(ISNUMBER(SEARCH("Kiện", C91)),
       " GÓI " &amp; COUNTIF($C$13:C91, "*Kiện*") &amp; "/" &amp; COUNTIF($C$13:$C$1000, "*Kiện*") &amp; " " &amp; AA91,
       AA91)
)</f>
        <v/>
      </c>
      <c r="F91" s="206"/>
      <c r="G91" s="206"/>
      <c r="H91" s="206"/>
      <c r="I91" s="206"/>
      <c r="J91" s="206" t="str">
        <f t="shared" si="18"/>
        <v/>
      </c>
      <c r="K91" s="206" t="str">
        <f t="shared" si="20"/>
        <v/>
      </c>
      <c r="L91" s="206" t="str">
        <f t="shared" si="21"/>
        <v/>
      </c>
      <c r="M91" s="206" t="str">
        <f t="shared" si="22"/>
        <v/>
      </c>
      <c r="N91" s="206" t="str">
        <f t="shared" si="23"/>
        <v/>
      </c>
      <c r="O91" s="206" t="str">
        <f t="shared" si="24"/>
        <v/>
      </c>
      <c r="P91" s="84" t="str">
        <f t="shared" si="25"/>
        <v/>
      </c>
      <c r="Q91" s="205"/>
      <c r="R91" s="70" t="str">
        <f>IF(S91="IN",'BOM_Phan II'!$Y$3,"")</f>
        <v/>
      </c>
      <c r="S91" s="69" t="str">
        <f t="shared" si="17"/>
        <v/>
      </c>
      <c r="T91">
        <f t="shared" si="26"/>
        <v>3</v>
      </c>
      <c r="U91" t="str">
        <f t="shared" si="27"/>
        <v>KIỆN 14</v>
      </c>
      <c r="V91" t="str">
        <f t="shared" si="28"/>
        <v/>
      </c>
      <c r="W91" s="266"/>
      <c r="X91" s="266"/>
      <c r="Y91" s="266" t="str">
        <f t="shared" si="19"/>
        <v/>
      </c>
      <c r="Z91" s="266"/>
    </row>
    <row r="92" spans="1:26" ht="27" hidden="1" customHeight="1">
      <c r="A92" s="70" t="str">
        <f t="shared" si="15"/>
        <v/>
      </c>
      <c r="B92" s="70" t="str">
        <f t="shared" si="16"/>
        <v/>
      </c>
      <c r="C92" s="204" t="str" cm="1">
        <f t="array" ref="C92">IF(D92="","",
    IF(AND(ISNUMBER(D92), D92=INT(D92)),
        $V$6 &amp; " " &amp; (IFERROR(MAX($Y$12:$Y91), 0) + 1),
        IF(ISNUMBER(SEARCH(".", D92)), "", INDEX($C$12:$C92, MATCH(2, 1/($C$12:$C92 &lt;&gt; ""))))
    )
)</f>
        <v/>
      </c>
      <c r="D92" s="206"/>
      <c r="E92" s="206" t="str">
        <f>IF(AA92 = "", "",
    IF(ISNUMBER(SEARCH("Kiện", C92)),
       " GÓI " &amp; COUNTIF($C$13:C92, "*Kiện*") &amp; "/" &amp; COUNTIF($C$13:$C$1000, "*Kiện*") &amp; " " &amp; AA92,
       AA92)
)</f>
        <v/>
      </c>
      <c r="F92" s="206"/>
      <c r="G92" s="206"/>
      <c r="H92" s="206"/>
      <c r="I92" s="206"/>
      <c r="J92" s="206" t="str">
        <f t="shared" si="18"/>
        <v/>
      </c>
      <c r="K92" s="206" t="str">
        <f t="shared" si="20"/>
        <v/>
      </c>
      <c r="L92" s="206" t="str">
        <f t="shared" si="21"/>
        <v/>
      </c>
      <c r="M92" s="206" t="str">
        <f t="shared" si="22"/>
        <v/>
      </c>
      <c r="N92" s="206" t="str">
        <f t="shared" si="23"/>
        <v/>
      </c>
      <c r="O92" s="206" t="str">
        <f t="shared" si="24"/>
        <v/>
      </c>
      <c r="P92" s="84" t="str">
        <f t="shared" si="25"/>
        <v/>
      </c>
      <c r="Q92" s="205"/>
      <c r="R92" s="70" t="str">
        <f>IF(S92="IN",'BOM_Phan II'!$Y$3,"")</f>
        <v/>
      </c>
      <c r="S92" s="69" t="str">
        <f t="shared" si="17"/>
        <v/>
      </c>
      <c r="T92">
        <f t="shared" si="26"/>
        <v>3</v>
      </c>
      <c r="U92" t="str">
        <f t="shared" si="27"/>
        <v>KIỆN 14</v>
      </c>
      <c r="V92" t="str">
        <f t="shared" si="28"/>
        <v/>
      </c>
      <c r="W92" s="266"/>
      <c r="X92" s="266"/>
      <c r="Y92" s="266" t="str">
        <f t="shared" si="19"/>
        <v/>
      </c>
      <c r="Z92" s="266"/>
    </row>
    <row r="93" spans="1:26" ht="27" hidden="1" customHeight="1">
      <c r="A93" s="70" t="str">
        <f t="shared" si="15"/>
        <v/>
      </c>
      <c r="B93" s="70" t="str">
        <f t="shared" si="16"/>
        <v/>
      </c>
      <c r="C93" s="204" t="str" cm="1">
        <f t="array" ref="C93">IF(D93="","",
    IF(AND(ISNUMBER(D93), D93=INT(D93)),
        $V$6 &amp; " " &amp; (IFERROR(MAX($Y$12:$Y92), 0) + 1),
        IF(ISNUMBER(SEARCH(".", D93)), "", INDEX($C$12:$C93, MATCH(2, 1/($C$12:$C93 &lt;&gt; ""))))
    )
)</f>
        <v/>
      </c>
      <c r="D93" s="206"/>
      <c r="E93" s="206" t="str">
        <f>IF(AA93 = "", "",
    IF(ISNUMBER(SEARCH("Kiện", C93)),
       " GÓI " &amp; COUNTIF($C$13:C93, "*Kiện*") &amp; "/" &amp; COUNTIF($C$13:$C$1000, "*Kiện*") &amp; " " &amp; AA93,
       AA93)
)</f>
        <v/>
      </c>
      <c r="F93" s="206"/>
      <c r="G93" s="206"/>
      <c r="H93" s="206"/>
      <c r="I93" s="206"/>
      <c r="J93" s="206" t="str">
        <f t="shared" si="18"/>
        <v/>
      </c>
      <c r="K93" s="206" t="str">
        <f t="shared" si="20"/>
        <v/>
      </c>
      <c r="L93" s="206" t="str">
        <f t="shared" si="21"/>
        <v/>
      </c>
      <c r="M93" s="206" t="str">
        <f t="shared" si="22"/>
        <v/>
      </c>
      <c r="N93" s="206" t="str">
        <f t="shared" si="23"/>
        <v/>
      </c>
      <c r="O93" s="206" t="str">
        <f t="shared" si="24"/>
        <v/>
      </c>
      <c r="P93" s="84" t="str">
        <f t="shared" si="25"/>
        <v/>
      </c>
      <c r="Q93" s="205"/>
      <c r="R93" s="70" t="str">
        <f>IF(S93="IN",'BOM_Phan II'!$Y$3,"")</f>
        <v/>
      </c>
      <c r="S93" s="69" t="str">
        <f t="shared" si="17"/>
        <v/>
      </c>
      <c r="T93">
        <f t="shared" si="26"/>
        <v>3</v>
      </c>
      <c r="U93" t="str">
        <f t="shared" si="27"/>
        <v>KIỆN 14</v>
      </c>
      <c r="V93" t="str">
        <f t="shared" si="28"/>
        <v/>
      </c>
      <c r="W93" s="266"/>
      <c r="X93" s="266"/>
      <c r="Y93" s="266" t="str">
        <f t="shared" si="19"/>
        <v/>
      </c>
      <c r="Z93" s="266"/>
    </row>
    <row r="94" spans="1:26" ht="27" hidden="1" customHeight="1">
      <c r="A94" s="70" t="str">
        <f t="shared" si="15"/>
        <v/>
      </c>
      <c r="B94" s="70" t="str">
        <f t="shared" si="16"/>
        <v/>
      </c>
      <c r="C94" s="204" t="str" cm="1">
        <f t="array" ref="C94">IF(D94="","",
    IF(AND(ISNUMBER(D94), D94=INT(D94)),
        $V$6 &amp; " " &amp; (IFERROR(MAX($Y$12:$Y93), 0) + 1),
        IF(ISNUMBER(SEARCH(".", D94)), "", INDEX($C$12:$C94, MATCH(2, 1/($C$12:$C94 &lt;&gt; ""))))
    )
)</f>
        <v/>
      </c>
      <c r="D94" s="206"/>
      <c r="E94" s="206" t="str">
        <f>IF(AA94 = "", "",
    IF(ISNUMBER(SEARCH("Kiện", C94)),
       " GÓI " &amp; COUNTIF($C$13:C94, "*Kiện*") &amp; "/" &amp; COUNTIF($C$13:$C$1000, "*Kiện*") &amp; " " &amp; AA94,
       AA94)
)</f>
        <v/>
      </c>
      <c r="F94" s="206"/>
      <c r="G94" s="206"/>
      <c r="H94" s="206"/>
      <c r="I94" s="206"/>
      <c r="J94" s="206" t="str">
        <f t="shared" si="18"/>
        <v/>
      </c>
      <c r="K94" s="206" t="str">
        <f t="shared" si="20"/>
        <v/>
      </c>
      <c r="L94" s="206" t="str">
        <f t="shared" si="21"/>
        <v/>
      </c>
      <c r="M94" s="206" t="str">
        <f t="shared" si="22"/>
        <v/>
      </c>
      <c r="N94" s="206" t="str">
        <f t="shared" si="23"/>
        <v/>
      </c>
      <c r="O94" s="206" t="str">
        <f t="shared" si="24"/>
        <v/>
      </c>
      <c r="P94" s="84" t="str">
        <f t="shared" si="25"/>
        <v/>
      </c>
      <c r="Q94" s="205"/>
      <c r="R94" s="70" t="str">
        <f>IF(S94="IN",'BOM_Phan II'!$Y$3,"")</f>
        <v/>
      </c>
      <c r="S94" s="69" t="str">
        <f t="shared" si="17"/>
        <v/>
      </c>
      <c r="T94">
        <f t="shared" si="26"/>
        <v>3</v>
      </c>
      <c r="U94" t="str">
        <f t="shared" si="27"/>
        <v>KIỆN 14</v>
      </c>
      <c r="V94" t="str">
        <f t="shared" si="28"/>
        <v/>
      </c>
      <c r="W94" s="266"/>
      <c r="X94" s="266"/>
      <c r="Y94" s="266" t="str">
        <f t="shared" si="19"/>
        <v/>
      </c>
      <c r="Z94" s="266"/>
    </row>
    <row r="95" spans="1:26" ht="27" hidden="1" customHeight="1">
      <c r="A95" s="70" t="str">
        <f t="shared" si="15"/>
        <v/>
      </c>
      <c r="B95" s="70" t="str">
        <f t="shared" si="16"/>
        <v/>
      </c>
      <c r="C95" s="204" t="str" cm="1">
        <f t="array" ref="C95">IF(D95="","",
    IF(AND(ISNUMBER(D95), D95=INT(D95)),
        $V$6 &amp; " " &amp; (IFERROR(MAX($Y$12:$Y94), 0) + 1),
        IF(ISNUMBER(SEARCH(".", D95)), "", INDEX($C$12:$C95, MATCH(2, 1/($C$12:$C95 &lt;&gt; ""))))
    )
)</f>
        <v/>
      </c>
      <c r="D95" s="206"/>
      <c r="E95" s="206" t="str">
        <f>IF(AA95 = "", "",
    IF(ISNUMBER(SEARCH("Kiện", C95)),
       " GÓI " &amp; COUNTIF($C$13:C95, "*Kiện*") &amp; "/" &amp; COUNTIF($C$13:$C$1000, "*Kiện*") &amp; " " &amp; AA95,
       AA95)
)</f>
        <v/>
      </c>
      <c r="F95" s="206"/>
      <c r="G95" s="206"/>
      <c r="H95" s="206"/>
      <c r="I95" s="206"/>
      <c r="J95" s="206" t="str">
        <f t="shared" si="18"/>
        <v/>
      </c>
      <c r="K95" s="206" t="str">
        <f t="shared" si="20"/>
        <v/>
      </c>
      <c r="L95" s="206" t="str">
        <f t="shared" si="21"/>
        <v/>
      </c>
      <c r="M95" s="206" t="str">
        <f t="shared" si="22"/>
        <v/>
      </c>
      <c r="N95" s="206" t="str">
        <f t="shared" si="23"/>
        <v/>
      </c>
      <c r="O95" s="206" t="str">
        <f t="shared" si="24"/>
        <v/>
      </c>
      <c r="P95" s="84" t="str">
        <f t="shared" si="25"/>
        <v/>
      </c>
      <c r="Q95" s="205"/>
      <c r="R95" s="70" t="str">
        <f>IF(S95="IN",'BOM_Phan II'!$Y$3,"")</f>
        <v/>
      </c>
      <c r="S95" s="69" t="str">
        <f t="shared" si="17"/>
        <v/>
      </c>
      <c r="T95">
        <f t="shared" si="26"/>
        <v>3</v>
      </c>
      <c r="U95" t="str">
        <f t="shared" si="27"/>
        <v>KIỆN 14</v>
      </c>
      <c r="V95" t="str">
        <f t="shared" si="28"/>
        <v/>
      </c>
      <c r="W95" s="266"/>
      <c r="X95" s="266"/>
      <c r="Y95" s="266" t="str">
        <f t="shared" si="19"/>
        <v/>
      </c>
      <c r="Z95" s="266"/>
    </row>
    <row r="96" spans="1:26" ht="27" hidden="1" customHeight="1">
      <c r="A96" s="70" t="str">
        <f t="shared" si="15"/>
        <v/>
      </c>
      <c r="B96" s="70" t="str">
        <f t="shared" si="16"/>
        <v/>
      </c>
      <c r="C96" s="204" t="str" cm="1">
        <f t="array" ref="C96">IF(D96="","",
    IF(AND(ISNUMBER(D96), D96=INT(D96)),
        $V$6 &amp; " " &amp; (IFERROR(MAX($Y$12:$Y95), 0) + 1),
        IF(ISNUMBER(SEARCH(".", D96)), "", INDEX($C$12:$C96, MATCH(2, 1/($C$12:$C96 &lt;&gt; ""))))
    )
)</f>
        <v/>
      </c>
      <c r="D96" s="206"/>
      <c r="E96" s="206" t="str">
        <f>IF(AA96 = "", "",
    IF(ISNUMBER(SEARCH("Kiện", C96)),
       " GÓI " &amp; COUNTIF($C$13:C96, "*Kiện*") &amp; "/" &amp; COUNTIF($C$13:$C$1000, "*Kiện*") &amp; " " &amp; AA96,
       AA96)
)</f>
        <v/>
      </c>
      <c r="F96" s="206"/>
      <c r="G96" s="206"/>
      <c r="H96" s="206"/>
      <c r="I96" s="206"/>
      <c r="J96" s="206" t="str">
        <f t="shared" si="18"/>
        <v/>
      </c>
      <c r="K96" s="206" t="str">
        <f t="shared" si="20"/>
        <v/>
      </c>
      <c r="L96" s="206" t="str">
        <f t="shared" si="21"/>
        <v/>
      </c>
      <c r="M96" s="206" t="str">
        <f t="shared" si="22"/>
        <v/>
      </c>
      <c r="N96" s="206" t="str">
        <f t="shared" si="23"/>
        <v/>
      </c>
      <c r="O96" s="206" t="str">
        <f t="shared" si="24"/>
        <v/>
      </c>
      <c r="P96" s="84" t="str">
        <f t="shared" si="25"/>
        <v/>
      </c>
      <c r="Q96" s="205"/>
      <c r="R96" s="70" t="str">
        <f>IF(S96="IN",'BOM_Phan II'!$Y$3,"")</f>
        <v/>
      </c>
      <c r="S96" s="69" t="str">
        <f t="shared" si="17"/>
        <v/>
      </c>
      <c r="T96">
        <f t="shared" si="26"/>
        <v>3</v>
      </c>
      <c r="U96" t="str">
        <f t="shared" si="27"/>
        <v>KIỆN 14</v>
      </c>
      <c r="V96" t="str">
        <f t="shared" si="28"/>
        <v/>
      </c>
      <c r="W96" s="266"/>
      <c r="X96" s="266"/>
      <c r="Y96" s="266" t="str">
        <f t="shared" si="19"/>
        <v/>
      </c>
      <c r="Z96" s="266"/>
    </row>
    <row r="97" spans="1:26" ht="27" hidden="1" customHeight="1">
      <c r="A97" s="70" t="str">
        <f t="shared" si="15"/>
        <v/>
      </c>
      <c r="B97" s="70" t="str">
        <f t="shared" si="16"/>
        <v/>
      </c>
      <c r="C97" s="204" t="str" cm="1">
        <f t="array" ref="C97">IF(D97="","",
    IF(AND(ISNUMBER(D97), D97=INT(D97)),
        $V$6 &amp; " " &amp; (IFERROR(MAX($Y$12:$Y96), 0) + 1),
        IF(ISNUMBER(SEARCH(".", D97)), "", INDEX($C$12:$C97, MATCH(2, 1/($C$12:$C97 &lt;&gt; ""))))
    )
)</f>
        <v/>
      </c>
      <c r="D97" s="206"/>
      <c r="E97" s="206" t="str">
        <f>IF(AA97 = "", "",
    IF(ISNUMBER(SEARCH("Kiện", C97)),
       " GÓI " &amp; COUNTIF($C$13:C97, "*Kiện*") &amp; "/" &amp; COUNTIF($C$13:$C$1000, "*Kiện*") &amp; " " &amp; AA97,
       AA97)
)</f>
        <v/>
      </c>
      <c r="F97" s="206"/>
      <c r="G97" s="206"/>
      <c r="H97" s="206"/>
      <c r="I97" s="206"/>
      <c r="J97" s="206" t="str">
        <f t="shared" si="18"/>
        <v/>
      </c>
      <c r="K97" s="206" t="str">
        <f t="shared" si="20"/>
        <v/>
      </c>
      <c r="L97" s="206" t="str">
        <f t="shared" si="21"/>
        <v/>
      </c>
      <c r="M97" s="206" t="str">
        <f t="shared" si="22"/>
        <v/>
      </c>
      <c r="N97" s="206" t="str">
        <f t="shared" si="23"/>
        <v/>
      </c>
      <c r="O97" s="206" t="str">
        <f t="shared" si="24"/>
        <v/>
      </c>
      <c r="P97" s="84" t="str">
        <f t="shared" si="25"/>
        <v/>
      </c>
      <c r="Q97" s="205"/>
      <c r="R97" s="70" t="str">
        <f>IF(S97="IN",'BOM_Phan II'!$Y$3,"")</f>
        <v/>
      </c>
      <c r="S97" s="69" t="str">
        <f t="shared" si="17"/>
        <v/>
      </c>
      <c r="T97">
        <f t="shared" si="26"/>
        <v>3</v>
      </c>
      <c r="U97" t="str">
        <f t="shared" si="27"/>
        <v>KIỆN 14</v>
      </c>
      <c r="V97" t="str">
        <f t="shared" si="28"/>
        <v/>
      </c>
      <c r="W97" s="266"/>
      <c r="X97" s="266"/>
      <c r="Y97" s="266" t="str">
        <f t="shared" si="19"/>
        <v/>
      </c>
      <c r="Z97" s="266"/>
    </row>
    <row r="98" spans="1:26" ht="27" hidden="1" customHeight="1">
      <c r="A98" s="70" t="str">
        <f t="shared" si="15"/>
        <v/>
      </c>
      <c r="B98" s="70" t="str">
        <f t="shared" si="16"/>
        <v/>
      </c>
      <c r="C98" s="204" t="str" cm="1">
        <f t="array" ref="C98">IF(D98="","",
    IF(AND(ISNUMBER(D98), D98=INT(D98)),
        $V$6 &amp; " " &amp; (IFERROR(MAX($Y$12:$Y97), 0) + 1),
        IF(ISNUMBER(SEARCH(".", D98)), "", INDEX($C$12:$C98, MATCH(2, 1/($C$12:$C98 &lt;&gt; ""))))
    )
)</f>
        <v/>
      </c>
      <c r="D98" s="206"/>
      <c r="E98" s="206" t="str">
        <f>IF(AA98 = "", "",
    IF(ISNUMBER(SEARCH("Kiện", C98)),
       " GÓI " &amp; COUNTIF($C$13:C98, "*Kiện*") &amp; "/" &amp; COUNTIF($C$13:$C$1000, "*Kiện*") &amp; " " &amp; AA98,
       AA98)
)</f>
        <v/>
      </c>
      <c r="F98" s="206"/>
      <c r="G98" s="206"/>
      <c r="H98" s="206"/>
      <c r="I98" s="206"/>
      <c r="J98" s="206" t="str">
        <f t="shared" si="18"/>
        <v/>
      </c>
      <c r="K98" s="206" t="str">
        <f t="shared" si="20"/>
        <v/>
      </c>
      <c r="L98" s="206" t="str">
        <f t="shared" si="21"/>
        <v/>
      </c>
      <c r="M98" s="206" t="str">
        <f t="shared" si="22"/>
        <v/>
      </c>
      <c r="N98" s="206" t="str">
        <f t="shared" si="23"/>
        <v/>
      </c>
      <c r="O98" s="206" t="str">
        <f t="shared" si="24"/>
        <v/>
      </c>
      <c r="P98" s="84" t="str">
        <f t="shared" si="25"/>
        <v/>
      </c>
      <c r="Q98" s="205"/>
      <c r="R98" s="70" t="str">
        <f>IF(S98="IN",'BOM_Phan II'!$Y$3,"")</f>
        <v/>
      </c>
      <c r="S98" s="69" t="str">
        <f t="shared" si="17"/>
        <v/>
      </c>
      <c r="T98">
        <f t="shared" si="26"/>
        <v>3</v>
      </c>
      <c r="U98" t="str">
        <f t="shared" si="27"/>
        <v>KIỆN 14</v>
      </c>
      <c r="V98" t="str">
        <f t="shared" si="28"/>
        <v/>
      </c>
      <c r="W98" s="266"/>
      <c r="X98" s="266"/>
      <c r="Y98" s="266" t="str">
        <f t="shared" si="19"/>
        <v/>
      </c>
      <c r="Z98" s="266"/>
    </row>
    <row r="99" spans="1:26" ht="27" hidden="1" customHeight="1">
      <c r="A99" s="70" t="str">
        <f t="shared" si="15"/>
        <v/>
      </c>
      <c r="B99" s="70" t="str">
        <f t="shared" si="16"/>
        <v/>
      </c>
      <c r="C99" s="204" t="str" cm="1">
        <f t="array" ref="C99">IF(D99="","",
    IF(AND(ISNUMBER(D99), D99=INT(D99)),
        $V$6 &amp; " " &amp; (IFERROR(MAX($Y$12:$Y98), 0) + 1),
        IF(ISNUMBER(SEARCH(".", D99)), "", INDEX($C$12:$C99, MATCH(2, 1/($C$12:$C99 &lt;&gt; ""))))
    )
)</f>
        <v/>
      </c>
      <c r="D99" s="206"/>
      <c r="E99" s="206" t="str">
        <f>IF(AA99 = "", "",
    IF(ISNUMBER(SEARCH("Kiện", C99)),
       " GÓI " &amp; COUNTIF($C$13:C99, "*Kiện*") &amp; "/" &amp; COUNTIF($C$13:$C$1000, "*Kiện*") &amp; " " &amp; AA99,
       AA99)
)</f>
        <v/>
      </c>
      <c r="F99" s="206"/>
      <c r="G99" s="206"/>
      <c r="H99" s="206"/>
      <c r="I99" s="206"/>
      <c r="J99" s="206" t="str">
        <f t="shared" si="18"/>
        <v/>
      </c>
      <c r="K99" s="206" t="str">
        <f t="shared" si="20"/>
        <v/>
      </c>
      <c r="L99" s="206" t="str">
        <f t="shared" si="21"/>
        <v/>
      </c>
      <c r="M99" s="206" t="str">
        <f t="shared" si="22"/>
        <v/>
      </c>
      <c r="N99" s="206" t="str">
        <f t="shared" si="23"/>
        <v/>
      </c>
      <c r="O99" s="206" t="str">
        <f t="shared" si="24"/>
        <v/>
      </c>
      <c r="P99" s="84" t="str">
        <f t="shared" si="25"/>
        <v/>
      </c>
      <c r="Q99" s="205"/>
      <c r="R99" s="70" t="str">
        <f>IF(S99="IN",'BOM_Phan II'!$Y$3,"")</f>
        <v/>
      </c>
      <c r="S99" s="69" t="str">
        <f t="shared" si="17"/>
        <v/>
      </c>
      <c r="T99">
        <f t="shared" si="26"/>
        <v>3</v>
      </c>
      <c r="U99" t="str">
        <f t="shared" si="27"/>
        <v>KIỆN 14</v>
      </c>
      <c r="V99" t="str">
        <f t="shared" si="28"/>
        <v/>
      </c>
      <c r="W99" s="266"/>
      <c r="X99" s="266"/>
      <c r="Y99" s="266" t="str">
        <f t="shared" si="19"/>
        <v/>
      </c>
      <c r="Z99" s="266"/>
    </row>
    <row r="100" spans="1:26" ht="27" hidden="1" customHeight="1">
      <c r="A100" s="70" t="str">
        <f t="shared" si="15"/>
        <v/>
      </c>
      <c r="B100" s="70" t="str">
        <f t="shared" si="16"/>
        <v/>
      </c>
      <c r="C100" s="204" t="str" cm="1">
        <f t="array" ref="C100">IF(D100="","",
    IF(AND(ISNUMBER(D100), D100=INT(D100)),
        $V$6 &amp; " " &amp; (IFERROR(MAX($Y$12:$Y99), 0) + 1),
        IF(ISNUMBER(SEARCH(".", D100)), "", INDEX($C$12:$C100, MATCH(2, 1/($C$12:$C100 &lt;&gt; ""))))
    )
)</f>
        <v/>
      </c>
      <c r="D100" s="206"/>
      <c r="E100" s="206" t="str">
        <f>IF(AA100 = "", "",
    IF(ISNUMBER(SEARCH("Kiện", C100)),
       " GÓI " &amp; COUNTIF($C$13:C100, "*Kiện*") &amp; "/" &amp; COUNTIF($C$13:$C$1000, "*Kiện*") &amp; " " &amp; AA100,
       AA100)
)</f>
        <v/>
      </c>
      <c r="F100" s="206"/>
      <c r="G100" s="206"/>
      <c r="H100" s="206"/>
      <c r="I100" s="206"/>
      <c r="J100" s="206" t="str">
        <f t="shared" si="18"/>
        <v/>
      </c>
      <c r="K100" s="206" t="str">
        <f t="shared" si="20"/>
        <v/>
      </c>
      <c r="L100" s="206" t="str">
        <f t="shared" si="21"/>
        <v/>
      </c>
      <c r="M100" s="206" t="str">
        <f t="shared" si="22"/>
        <v/>
      </c>
      <c r="N100" s="206" t="str">
        <f t="shared" si="23"/>
        <v/>
      </c>
      <c r="O100" s="206" t="str">
        <f t="shared" si="24"/>
        <v/>
      </c>
      <c r="P100" s="84" t="str">
        <f t="shared" si="25"/>
        <v/>
      </c>
      <c r="Q100" s="205"/>
      <c r="R100" s="70" t="str">
        <f>IF(S100="IN",'BOM_Phan II'!$Y$3,"")</f>
        <v/>
      </c>
      <c r="S100" s="69" t="str">
        <f t="shared" si="17"/>
        <v/>
      </c>
      <c r="T100">
        <f t="shared" si="26"/>
        <v>3</v>
      </c>
      <c r="U100" t="str">
        <f t="shared" si="27"/>
        <v>KIỆN 14</v>
      </c>
      <c r="V100" t="str">
        <f t="shared" si="28"/>
        <v/>
      </c>
      <c r="W100" s="266"/>
      <c r="X100" s="266"/>
      <c r="Y100" s="266" t="str">
        <f t="shared" si="19"/>
        <v/>
      </c>
      <c r="Z100" s="266"/>
    </row>
    <row r="101" spans="1:26" ht="27" hidden="1" customHeight="1">
      <c r="A101" s="70" t="str">
        <f t="shared" si="15"/>
        <v/>
      </c>
      <c r="B101" s="70" t="str">
        <f t="shared" si="16"/>
        <v/>
      </c>
      <c r="C101" s="204" t="str" cm="1">
        <f t="array" ref="C101">IF(D101="","",
    IF(AND(ISNUMBER(D101), D101=INT(D101)),
        $V$6 &amp; " " &amp; (IFERROR(MAX($Y$12:$Y100), 0) + 1),
        IF(ISNUMBER(SEARCH(".", D101)), "", INDEX($C$12:$C101, MATCH(2, 1/($C$12:$C101 &lt;&gt; ""))))
    )
)</f>
        <v/>
      </c>
      <c r="D101" s="206"/>
      <c r="E101" s="206" t="str">
        <f>IF(AA101 = "", "",
    IF(ISNUMBER(SEARCH("Kiện", C101)),
       " GÓI " &amp; COUNTIF($C$13:C101, "*Kiện*") &amp; "/" &amp; COUNTIF($C$13:$C$1000, "*Kiện*") &amp; " " &amp; AA101,
       AA101)
)</f>
        <v/>
      </c>
      <c r="F101" s="206"/>
      <c r="G101" s="206"/>
      <c r="H101" s="206"/>
      <c r="I101" s="206"/>
      <c r="J101" s="206" t="str">
        <f t="shared" si="18"/>
        <v/>
      </c>
      <c r="K101" s="206" t="str">
        <f t="shared" si="20"/>
        <v/>
      </c>
      <c r="L101" s="206" t="str">
        <f t="shared" si="21"/>
        <v/>
      </c>
      <c r="M101" s="206" t="str">
        <f t="shared" si="22"/>
        <v/>
      </c>
      <c r="N101" s="206" t="str">
        <f t="shared" si="23"/>
        <v/>
      </c>
      <c r="O101" s="206" t="str">
        <f t="shared" si="24"/>
        <v/>
      </c>
      <c r="P101" s="84" t="str">
        <f t="shared" si="25"/>
        <v/>
      </c>
      <c r="Q101" s="205"/>
      <c r="R101" s="70" t="str">
        <f>IF(S101="IN",'BOM_Phan II'!$Y$3,"")</f>
        <v/>
      </c>
      <c r="S101" s="69" t="str">
        <f t="shared" si="17"/>
        <v/>
      </c>
      <c r="T101">
        <f t="shared" si="26"/>
        <v>3</v>
      </c>
      <c r="U101" t="str">
        <f t="shared" si="27"/>
        <v>KIỆN 14</v>
      </c>
      <c r="V101" t="str">
        <f t="shared" si="28"/>
        <v/>
      </c>
      <c r="W101" s="266"/>
      <c r="X101" s="266"/>
      <c r="Y101" s="266" t="str">
        <f t="shared" si="19"/>
        <v/>
      </c>
      <c r="Z101" s="266"/>
    </row>
    <row r="102" spans="1:26" ht="27" hidden="1" customHeight="1">
      <c r="A102" s="70" t="str">
        <f t="shared" si="15"/>
        <v/>
      </c>
      <c r="B102" s="70" t="str">
        <f t="shared" si="16"/>
        <v/>
      </c>
      <c r="C102" s="204" t="str" cm="1">
        <f t="array" ref="C102">IF(D102="","",
    IF(AND(ISNUMBER(D102), D102=INT(D102)),
        $V$6 &amp; " " &amp; (IFERROR(MAX($Y$12:$Y101), 0) + 1),
        IF(ISNUMBER(SEARCH(".", D102)), "", INDEX($C$12:$C102, MATCH(2, 1/($C$12:$C102 &lt;&gt; ""))))
    )
)</f>
        <v/>
      </c>
      <c r="D102" s="206"/>
      <c r="E102" s="206" t="str">
        <f>IF(AA102 = "", "",
    IF(ISNUMBER(SEARCH("Kiện", C102)),
       " GÓI " &amp; COUNTIF($C$13:C102, "*Kiện*") &amp; "/" &amp; COUNTIF($C$13:$C$1000, "*Kiện*") &amp; " " &amp; AA102,
       AA102)
)</f>
        <v/>
      </c>
      <c r="F102" s="206"/>
      <c r="G102" s="206"/>
      <c r="H102" s="206"/>
      <c r="I102" s="206"/>
      <c r="J102" s="206" t="str">
        <f t="shared" si="18"/>
        <v/>
      </c>
      <c r="K102" s="206" t="str">
        <f t="shared" si="20"/>
        <v/>
      </c>
      <c r="L102" s="206" t="str">
        <f t="shared" si="21"/>
        <v/>
      </c>
      <c r="M102" s="206" t="str">
        <f t="shared" si="22"/>
        <v/>
      </c>
      <c r="N102" s="206" t="str">
        <f t="shared" si="23"/>
        <v/>
      </c>
      <c r="O102" s="206" t="str">
        <f t="shared" si="24"/>
        <v/>
      </c>
      <c r="P102" s="84" t="str">
        <f t="shared" si="25"/>
        <v/>
      </c>
      <c r="Q102" s="205"/>
      <c r="R102" s="70" t="str">
        <f>IF(S102="IN",'BOM_Phan II'!$Y$3,"")</f>
        <v/>
      </c>
      <c r="S102" s="69" t="str">
        <f t="shared" si="17"/>
        <v/>
      </c>
      <c r="T102">
        <f t="shared" si="26"/>
        <v>3</v>
      </c>
      <c r="U102" t="str">
        <f t="shared" si="27"/>
        <v>KIỆN 14</v>
      </c>
      <c r="V102" t="str">
        <f t="shared" si="28"/>
        <v/>
      </c>
      <c r="W102" s="266"/>
      <c r="X102" s="266"/>
      <c r="Y102" s="266" t="str">
        <f t="shared" si="19"/>
        <v/>
      </c>
      <c r="Z102" s="266"/>
    </row>
    <row r="103" spans="1:26" ht="27" hidden="1" customHeight="1">
      <c r="A103" s="70" t="str">
        <f t="shared" si="15"/>
        <v/>
      </c>
      <c r="B103" s="70" t="str">
        <f t="shared" si="16"/>
        <v/>
      </c>
      <c r="C103" s="204" t="str" cm="1">
        <f t="array" ref="C103">IF(D103="","",
    IF(AND(ISNUMBER(D103), D103=INT(D103)),
        $V$6 &amp; " " &amp; (IFERROR(MAX($Y$12:$Y102), 0) + 1),
        IF(ISNUMBER(SEARCH(".", D103)), "", INDEX($C$12:$C103, MATCH(2, 1/($C$12:$C103 &lt;&gt; ""))))
    )
)</f>
        <v/>
      </c>
      <c r="D103" s="206"/>
      <c r="E103" s="206" t="str">
        <f>IF(AA103 = "", "",
    IF(ISNUMBER(SEARCH("Kiện", C103)),
       " GÓI " &amp; COUNTIF($C$13:C103, "*Kiện*") &amp; "/" &amp; COUNTIF($C$13:$C$1000, "*Kiện*") &amp; " " &amp; AA103,
       AA103)
)</f>
        <v/>
      </c>
      <c r="F103" s="206"/>
      <c r="G103" s="206"/>
      <c r="H103" s="206"/>
      <c r="I103" s="206"/>
      <c r="J103" s="206" t="str">
        <f t="shared" si="18"/>
        <v/>
      </c>
      <c r="K103" s="206" t="str">
        <f t="shared" si="20"/>
        <v/>
      </c>
      <c r="L103" s="206" t="str">
        <f t="shared" si="21"/>
        <v/>
      </c>
      <c r="M103" s="206" t="str">
        <f t="shared" si="22"/>
        <v/>
      </c>
      <c r="N103" s="206" t="str">
        <f t="shared" si="23"/>
        <v/>
      </c>
      <c r="O103" s="206" t="str">
        <f t="shared" si="24"/>
        <v/>
      </c>
      <c r="P103" s="84" t="str">
        <f t="shared" si="25"/>
        <v/>
      </c>
      <c r="Q103" s="205"/>
      <c r="R103" s="70" t="str">
        <f>IF(S103="IN",'BOM_Phan II'!$Y$3,"")</f>
        <v/>
      </c>
      <c r="S103" s="69" t="str">
        <f t="shared" si="17"/>
        <v/>
      </c>
      <c r="T103">
        <f t="shared" si="26"/>
        <v>3</v>
      </c>
      <c r="U103" t="str">
        <f t="shared" si="27"/>
        <v>KIỆN 14</v>
      </c>
      <c r="V103" t="str">
        <f t="shared" si="28"/>
        <v/>
      </c>
      <c r="W103" s="266"/>
      <c r="X103" s="266"/>
      <c r="Y103" s="266" t="str">
        <f t="shared" si="19"/>
        <v/>
      </c>
      <c r="Z103" s="266"/>
    </row>
    <row r="104" spans="1:26" ht="27" hidden="1" customHeight="1">
      <c r="A104" s="70" t="str">
        <f t="shared" si="15"/>
        <v/>
      </c>
      <c r="B104" s="70" t="str">
        <f t="shared" si="16"/>
        <v/>
      </c>
      <c r="C104" s="204" t="str" cm="1">
        <f t="array" ref="C104">IF(D104="","",
    IF(AND(ISNUMBER(D104), D104=INT(D104)),
        $V$6 &amp; " " &amp; (IFERROR(MAX($Y$12:$Y103), 0) + 1),
        IF(ISNUMBER(SEARCH(".", D104)), "", INDEX($C$12:$C104, MATCH(2, 1/($C$12:$C104 &lt;&gt; ""))))
    )
)</f>
        <v/>
      </c>
      <c r="D104" s="206"/>
      <c r="E104" s="206" t="str">
        <f>IF(AA104 = "", "",
    IF(ISNUMBER(SEARCH("Kiện", C104)),
       " GÓI " &amp; COUNTIF($C$13:C104, "*Kiện*") &amp; "/" &amp; COUNTIF($C$13:$C$1000, "*Kiện*") &amp; " " &amp; AA104,
       AA104)
)</f>
        <v/>
      </c>
      <c r="F104" s="206"/>
      <c r="G104" s="206"/>
      <c r="H104" s="206"/>
      <c r="I104" s="206"/>
      <c r="J104" s="206" t="str">
        <f t="shared" si="18"/>
        <v/>
      </c>
      <c r="K104" s="206" t="str">
        <f t="shared" si="20"/>
        <v/>
      </c>
      <c r="L104" s="206" t="str">
        <f t="shared" si="21"/>
        <v/>
      </c>
      <c r="M104" s="206" t="str">
        <f t="shared" si="22"/>
        <v/>
      </c>
      <c r="N104" s="206" t="str">
        <f t="shared" si="23"/>
        <v/>
      </c>
      <c r="O104" s="206" t="str">
        <f t="shared" si="24"/>
        <v/>
      </c>
      <c r="P104" s="84" t="str">
        <f t="shared" si="25"/>
        <v/>
      </c>
      <c r="Q104" s="205"/>
      <c r="R104" s="70" t="str">
        <f>IF(S104="IN",'BOM_Phan II'!$Y$3,"")</f>
        <v/>
      </c>
      <c r="S104" s="69" t="str">
        <f t="shared" si="17"/>
        <v/>
      </c>
      <c r="T104">
        <f t="shared" si="26"/>
        <v>3</v>
      </c>
      <c r="U104" t="str">
        <f t="shared" si="27"/>
        <v>KIỆN 14</v>
      </c>
      <c r="V104" t="str">
        <f t="shared" si="28"/>
        <v/>
      </c>
      <c r="W104" s="266"/>
      <c r="X104" s="266"/>
      <c r="Y104" s="266" t="str">
        <f t="shared" si="19"/>
        <v/>
      </c>
      <c r="Z104" s="266"/>
    </row>
    <row r="105" spans="1:26" ht="27" hidden="1" customHeight="1">
      <c r="A105" s="70" t="str">
        <f t="shared" si="15"/>
        <v/>
      </c>
      <c r="B105" s="70" t="str">
        <f t="shared" si="16"/>
        <v/>
      </c>
      <c r="C105" s="204" t="str" cm="1">
        <f t="array" ref="C105">IF(D105="","",
    IF(AND(ISNUMBER(D105), D105=INT(D105)),
        $V$6 &amp; " " &amp; (IFERROR(MAX($Y$12:$Y104), 0) + 1),
        IF(ISNUMBER(SEARCH(".", D105)), "", INDEX($C$12:$C105, MATCH(2, 1/($C$12:$C105 &lt;&gt; ""))))
    )
)</f>
        <v/>
      </c>
      <c r="D105" s="206"/>
      <c r="E105" s="206" t="str">
        <f>IF(AA105 = "", "",
    IF(ISNUMBER(SEARCH("Kiện", C105)),
       " GÓI " &amp; COUNTIF($C$13:C105, "*Kiện*") &amp; "/" &amp; COUNTIF($C$13:$C$1000, "*Kiện*") &amp; " " &amp; AA105,
       AA105)
)</f>
        <v/>
      </c>
      <c r="F105" s="206"/>
      <c r="G105" s="206"/>
      <c r="H105" s="206"/>
      <c r="I105" s="206"/>
      <c r="J105" s="206" t="str">
        <f t="shared" si="18"/>
        <v/>
      </c>
      <c r="K105" s="206" t="str">
        <f t="shared" si="20"/>
        <v/>
      </c>
      <c r="L105" s="206" t="str">
        <f t="shared" si="21"/>
        <v/>
      </c>
      <c r="M105" s="206" t="str">
        <f t="shared" si="22"/>
        <v/>
      </c>
      <c r="N105" s="206" t="str">
        <f t="shared" si="23"/>
        <v/>
      </c>
      <c r="O105" s="206" t="str">
        <f t="shared" si="24"/>
        <v/>
      </c>
      <c r="P105" s="84" t="str">
        <f t="shared" si="25"/>
        <v/>
      </c>
      <c r="Q105" s="205"/>
      <c r="R105" s="70" t="str">
        <f>IF(S105="IN",'BOM_Phan II'!$Y$3,"")</f>
        <v/>
      </c>
      <c r="S105" s="69" t="str">
        <f t="shared" si="17"/>
        <v/>
      </c>
      <c r="T105">
        <f t="shared" si="26"/>
        <v>3</v>
      </c>
      <c r="U105" t="str">
        <f t="shared" si="27"/>
        <v>KIỆN 14</v>
      </c>
      <c r="V105" t="str">
        <f t="shared" si="28"/>
        <v/>
      </c>
      <c r="W105" s="266"/>
      <c r="X105" s="266"/>
      <c r="Y105" s="266" t="str">
        <f t="shared" si="19"/>
        <v/>
      </c>
      <c r="Z105" s="266"/>
    </row>
    <row r="106" spans="1:26" ht="27" hidden="1" customHeight="1">
      <c r="A106" s="70" t="str">
        <f t="shared" si="15"/>
        <v/>
      </c>
      <c r="B106" s="70" t="str">
        <f t="shared" si="16"/>
        <v/>
      </c>
      <c r="C106" s="204" t="str" cm="1">
        <f t="array" ref="C106">IF(D106="","",
    IF(AND(ISNUMBER(D106), D106=INT(D106)),
        $V$6 &amp; " " &amp; (IFERROR(MAX($Y$12:$Y105), 0) + 1),
        IF(ISNUMBER(SEARCH(".", D106)), "", INDEX($C$12:$C106, MATCH(2, 1/($C$12:$C106 &lt;&gt; ""))))
    )
)</f>
        <v/>
      </c>
      <c r="D106" s="206"/>
      <c r="E106" s="206" t="str">
        <f>IF(AA106 = "", "",
    IF(ISNUMBER(SEARCH("Kiện", C106)),
       " GÓI " &amp; COUNTIF($C$13:C106, "*Kiện*") &amp; "/" &amp; COUNTIF($C$13:$C$1000, "*Kiện*") &amp; " " &amp; AA106,
       AA106)
)</f>
        <v/>
      </c>
      <c r="F106" s="206"/>
      <c r="G106" s="206"/>
      <c r="H106" s="206"/>
      <c r="I106" s="206"/>
      <c r="J106" s="206" t="str">
        <f t="shared" si="18"/>
        <v/>
      </c>
      <c r="K106" s="206" t="str">
        <f t="shared" si="20"/>
        <v/>
      </c>
      <c r="L106" s="206" t="str">
        <f t="shared" si="21"/>
        <v/>
      </c>
      <c r="M106" s="206" t="str">
        <f t="shared" si="22"/>
        <v/>
      </c>
      <c r="N106" s="206" t="str">
        <f t="shared" si="23"/>
        <v/>
      </c>
      <c r="O106" s="206" t="str">
        <f t="shared" si="24"/>
        <v/>
      </c>
      <c r="P106" s="84" t="str">
        <f t="shared" si="25"/>
        <v/>
      </c>
      <c r="Q106" s="205"/>
      <c r="R106" s="70" t="str">
        <f>IF(S106="IN",'BOM_Phan II'!$Y$3,"")</f>
        <v/>
      </c>
      <c r="S106" s="69" t="str">
        <f t="shared" si="17"/>
        <v/>
      </c>
      <c r="T106">
        <f t="shared" si="26"/>
        <v>3</v>
      </c>
      <c r="U106" t="str">
        <f t="shared" si="27"/>
        <v>KIỆN 14</v>
      </c>
      <c r="V106" t="str">
        <f t="shared" si="28"/>
        <v/>
      </c>
      <c r="W106" s="266"/>
      <c r="X106" s="266"/>
      <c r="Y106" s="266" t="str">
        <f t="shared" si="19"/>
        <v/>
      </c>
      <c r="Z106" s="266"/>
    </row>
    <row r="107" spans="1:26" ht="27" hidden="1" customHeight="1">
      <c r="A107" s="70" t="str">
        <f t="shared" si="15"/>
        <v/>
      </c>
      <c r="B107" s="70" t="str">
        <f t="shared" si="16"/>
        <v/>
      </c>
      <c r="C107" s="204" t="str" cm="1">
        <f t="array" ref="C107">IF(D107="","",
    IF(AND(ISNUMBER(D107), D107=INT(D107)),
        $V$6 &amp; " " &amp; (IFERROR(MAX($Y$12:$Y106), 0) + 1),
        IF(ISNUMBER(SEARCH(".", D107)), "", INDEX($C$12:$C107, MATCH(2, 1/($C$12:$C107 &lt;&gt; ""))))
    )
)</f>
        <v/>
      </c>
      <c r="D107" s="206"/>
      <c r="E107" s="206" t="str">
        <f>IF(AA107 = "", "",
    IF(ISNUMBER(SEARCH("Kiện", C107)),
       " GÓI " &amp; COUNTIF($C$13:C107, "*Kiện*") &amp; "/" &amp; COUNTIF($C$13:$C$1000, "*Kiện*") &amp; " " &amp; AA107,
       AA107)
)</f>
        <v/>
      </c>
      <c r="F107" s="206"/>
      <c r="G107" s="206"/>
      <c r="H107" s="206"/>
      <c r="I107" s="206"/>
      <c r="J107" s="206" t="str">
        <f t="shared" si="18"/>
        <v/>
      </c>
      <c r="K107" s="206" t="str">
        <f t="shared" si="20"/>
        <v/>
      </c>
      <c r="L107" s="206" t="str">
        <f t="shared" si="21"/>
        <v/>
      </c>
      <c r="M107" s="206" t="str">
        <f t="shared" si="22"/>
        <v/>
      </c>
      <c r="N107" s="206" t="str">
        <f t="shared" si="23"/>
        <v/>
      </c>
      <c r="O107" s="206" t="str">
        <f t="shared" si="24"/>
        <v/>
      </c>
      <c r="P107" s="84" t="str">
        <f t="shared" si="25"/>
        <v/>
      </c>
      <c r="Q107" s="205"/>
      <c r="R107" s="70" t="str">
        <f>IF(S107="IN",'BOM_Phan II'!$Y$3,"")</f>
        <v/>
      </c>
      <c r="S107" s="69" t="str">
        <f t="shared" si="17"/>
        <v/>
      </c>
      <c r="T107">
        <f t="shared" si="26"/>
        <v>3</v>
      </c>
      <c r="U107" t="str">
        <f t="shared" si="27"/>
        <v>KIỆN 14</v>
      </c>
      <c r="V107" t="str">
        <f t="shared" si="28"/>
        <v/>
      </c>
      <c r="W107" s="266"/>
      <c r="X107" s="266"/>
      <c r="Y107" s="266" t="str">
        <f t="shared" si="19"/>
        <v/>
      </c>
      <c r="Z107" s="266"/>
    </row>
    <row r="108" spans="1:26" ht="27" hidden="1" customHeight="1">
      <c r="A108" s="70" t="str">
        <f t="shared" si="15"/>
        <v/>
      </c>
      <c r="B108" s="70" t="str">
        <f t="shared" si="16"/>
        <v/>
      </c>
      <c r="C108" s="204" t="str" cm="1">
        <f t="array" ref="C108">IF(D108="","",
    IF(AND(ISNUMBER(D108), D108=INT(D108)),
        $V$6 &amp; " " &amp; (IFERROR(MAX($Y$12:$Y107), 0) + 1),
        IF(ISNUMBER(SEARCH(".", D108)), "", INDEX($C$12:$C108, MATCH(2, 1/($C$12:$C108 &lt;&gt; ""))))
    )
)</f>
        <v/>
      </c>
      <c r="D108" s="206"/>
      <c r="E108" s="206" t="str">
        <f>IF(AA108 = "", "",
    IF(ISNUMBER(SEARCH("Kiện", C108)),
       " GÓI " &amp; COUNTIF($C$13:C108, "*Kiện*") &amp; "/" &amp; COUNTIF($C$13:$C$1000, "*Kiện*") &amp; " " &amp; AA108,
       AA108)
)</f>
        <v/>
      </c>
      <c r="F108" s="206"/>
      <c r="G108" s="206"/>
      <c r="H108" s="206"/>
      <c r="I108" s="206"/>
      <c r="J108" s="206" t="str">
        <f t="shared" si="18"/>
        <v/>
      </c>
      <c r="K108" s="206" t="str">
        <f t="shared" si="20"/>
        <v/>
      </c>
      <c r="L108" s="206" t="str">
        <f t="shared" si="21"/>
        <v/>
      </c>
      <c r="M108" s="206" t="str">
        <f t="shared" si="22"/>
        <v/>
      </c>
      <c r="N108" s="206" t="str">
        <f t="shared" si="23"/>
        <v/>
      </c>
      <c r="O108" s="206" t="str">
        <f t="shared" si="24"/>
        <v/>
      </c>
      <c r="P108" s="84" t="str">
        <f t="shared" si="25"/>
        <v/>
      </c>
      <c r="Q108" s="205"/>
      <c r="R108" s="70" t="str">
        <f>IF(S108="IN",'BOM_Phan II'!$Y$3,"")</f>
        <v/>
      </c>
      <c r="S108" s="69" t="str">
        <f t="shared" si="17"/>
        <v/>
      </c>
      <c r="T108">
        <f t="shared" si="26"/>
        <v>3</v>
      </c>
      <c r="U108" t="str">
        <f t="shared" si="27"/>
        <v>KIỆN 14</v>
      </c>
      <c r="V108" t="str">
        <f t="shared" si="28"/>
        <v/>
      </c>
      <c r="W108" s="266"/>
      <c r="X108" s="266"/>
      <c r="Y108" s="266" t="str">
        <f t="shared" si="19"/>
        <v/>
      </c>
      <c r="Z108" s="266"/>
    </row>
    <row r="109" spans="1:26" ht="27" hidden="1" customHeight="1">
      <c r="A109" s="70" t="str">
        <f t="shared" si="15"/>
        <v/>
      </c>
      <c r="B109" s="70" t="str">
        <f t="shared" si="16"/>
        <v/>
      </c>
      <c r="C109" s="204" t="str" cm="1">
        <f t="array" ref="C109">IF(D109="","",
    IF(AND(ISNUMBER(D109), D109=INT(D109)),
        $V$6 &amp; " " &amp; (IFERROR(MAX($Y$12:$Y108), 0) + 1),
        IF(ISNUMBER(SEARCH(".", D109)), "", INDEX($C$12:$C109, MATCH(2, 1/($C$12:$C109 &lt;&gt; ""))))
    )
)</f>
        <v/>
      </c>
      <c r="D109" s="206"/>
      <c r="E109" s="206" t="str">
        <f>IF(AA109 = "", "",
    IF(ISNUMBER(SEARCH("Kiện", C109)),
       " GÓI " &amp; COUNTIF($C$13:C109, "*Kiện*") &amp; "/" &amp; COUNTIF($C$13:$C$1000, "*Kiện*") &amp; " " &amp; AA109,
       AA109)
)</f>
        <v/>
      </c>
      <c r="F109" s="206"/>
      <c r="G109" s="206"/>
      <c r="H109" s="206"/>
      <c r="I109" s="206"/>
      <c r="J109" s="206" t="str">
        <f t="shared" si="18"/>
        <v/>
      </c>
      <c r="K109" s="206" t="str">
        <f t="shared" si="20"/>
        <v/>
      </c>
      <c r="L109" s="206" t="str">
        <f t="shared" si="21"/>
        <v/>
      </c>
      <c r="M109" s="206" t="str">
        <f t="shared" si="22"/>
        <v/>
      </c>
      <c r="N109" s="206" t="str">
        <f t="shared" si="23"/>
        <v/>
      </c>
      <c r="O109" s="206" t="str">
        <f t="shared" si="24"/>
        <v/>
      </c>
      <c r="P109" s="84" t="str">
        <f t="shared" si="25"/>
        <v/>
      </c>
      <c r="Q109" s="205"/>
      <c r="R109" s="70" t="str">
        <f>IF(S109="IN",'BOM_Phan II'!$Y$3,"")</f>
        <v/>
      </c>
      <c r="S109" s="69" t="str">
        <f t="shared" si="17"/>
        <v/>
      </c>
      <c r="T109">
        <f t="shared" si="26"/>
        <v>3</v>
      </c>
      <c r="U109" t="str">
        <f t="shared" si="27"/>
        <v>KIỆN 14</v>
      </c>
      <c r="V109" t="str">
        <f t="shared" si="28"/>
        <v/>
      </c>
      <c r="W109" s="266"/>
      <c r="X109" s="266"/>
      <c r="Y109" s="266" t="str">
        <f t="shared" si="19"/>
        <v/>
      </c>
      <c r="Z109" s="266"/>
    </row>
    <row r="110" spans="1:26" ht="27" hidden="1" customHeight="1">
      <c r="A110" s="70" t="str">
        <f t="shared" si="15"/>
        <v/>
      </c>
      <c r="B110" s="70" t="str">
        <f t="shared" si="16"/>
        <v/>
      </c>
      <c r="C110" s="204" t="str" cm="1">
        <f t="array" ref="C110">IF(D110="","",
    IF(AND(ISNUMBER(D110), D110=INT(D110)),
        $V$6 &amp; " " &amp; (IFERROR(MAX($Y$12:$Y109), 0) + 1),
        IF(ISNUMBER(SEARCH(".", D110)), "", INDEX($C$12:$C110, MATCH(2, 1/($C$12:$C110 &lt;&gt; ""))))
    )
)</f>
        <v/>
      </c>
      <c r="D110" s="206"/>
      <c r="E110" s="206" t="str">
        <f>IF(AA110 = "", "",
    IF(ISNUMBER(SEARCH("Kiện", C110)),
       " GÓI " &amp; COUNTIF($C$13:C110, "*Kiện*") &amp; "/" &amp; COUNTIF($C$13:$C$1000, "*Kiện*") &amp; " " &amp; AA110,
       AA110)
)</f>
        <v/>
      </c>
      <c r="F110" s="206"/>
      <c r="G110" s="206"/>
      <c r="H110" s="206"/>
      <c r="I110" s="206"/>
      <c r="J110" s="206" t="str">
        <f t="shared" si="18"/>
        <v/>
      </c>
      <c r="K110" s="206" t="str">
        <f t="shared" si="20"/>
        <v/>
      </c>
      <c r="L110" s="206" t="str">
        <f t="shared" si="21"/>
        <v/>
      </c>
      <c r="M110" s="206" t="str">
        <f t="shared" si="22"/>
        <v/>
      </c>
      <c r="N110" s="206" t="str">
        <f t="shared" si="23"/>
        <v/>
      </c>
      <c r="O110" s="206" t="str">
        <f t="shared" si="24"/>
        <v/>
      </c>
      <c r="P110" s="84" t="str">
        <f t="shared" si="25"/>
        <v/>
      </c>
      <c r="Q110" s="205"/>
      <c r="R110" s="70" t="str">
        <f>IF(S110="IN",'BOM_Phan II'!$Y$3,"")</f>
        <v/>
      </c>
      <c r="S110" s="69" t="str">
        <f t="shared" si="17"/>
        <v/>
      </c>
      <c r="T110">
        <f t="shared" si="26"/>
        <v>3</v>
      </c>
      <c r="U110" t="str">
        <f t="shared" si="27"/>
        <v>KIỆN 14</v>
      </c>
      <c r="V110" t="str">
        <f t="shared" si="28"/>
        <v/>
      </c>
      <c r="W110" s="266"/>
      <c r="X110" s="266"/>
      <c r="Y110" s="266" t="str">
        <f t="shared" si="19"/>
        <v/>
      </c>
      <c r="Z110" s="266"/>
    </row>
    <row r="111" spans="1:26" ht="27" hidden="1" customHeight="1">
      <c r="A111" s="70" t="str">
        <f t="shared" si="15"/>
        <v/>
      </c>
      <c r="B111" s="70" t="str">
        <f t="shared" si="16"/>
        <v/>
      </c>
      <c r="C111" s="204" t="str" cm="1">
        <f t="array" ref="C111">IF(D111="","",
    IF(AND(ISNUMBER(D111), D111=INT(D111)),
        $V$6 &amp; " " &amp; (IFERROR(MAX($Y$12:$Y110), 0) + 1),
        IF(ISNUMBER(SEARCH(".", D111)), "", INDEX($C$12:$C111, MATCH(2, 1/($C$12:$C111 &lt;&gt; ""))))
    )
)</f>
        <v/>
      </c>
      <c r="D111" s="206"/>
      <c r="E111" s="206" t="str">
        <f>IF(AA111 = "", "",
    IF(ISNUMBER(SEARCH("Kiện", C111)),
       " GÓI " &amp; COUNTIF($C$13:C111, "*Kiện*") &amp; "/" &amp; COUNTIF($C$13:$C$1000, "*Kiện*") &amp; " " &amp; AA111,
       AA111)
)</f>
        <v/>
      </c>
      <c r="F111" s="206"/>
      <c r="G111" s="206"/>
      <c r="H111" s="206"/>
      <c r="I111" s="206"/>
      <c r="J111" s="206" t="str">
        <f t="shared" si="18"/>
        <v/>
      </c>
      <c r="K111" s="206" t="str">
        <f t="shared" si="20"/>
        <v/>
      </c>
      <c r="L111" s="206" t="str">
        <f t="shared" si="21"/>
        <v/>
      </c>
      <c r="M111" s="206" t="str">
        <f t="shared" si="22"/>
        <v/>
      </c>
      <c r="N111" s="206" t="str">
        <f t="shared" si="23"/>
        <v/>
      </c>
      <c r="O111" s="206" t="str">
        <f t="shared" si="24"/>
        <v/>
      </c>
      <c r="P111" s="84" t="str">
        <f t="shared" si="25"/>
        <v/>
      </c>
      <c r="Q111" s="205"/>
      <c r="R111" s="70" t="str">
        <f>IF(S111="IN",'BOM_Phan II'!$Y$3,"")</f>
        <v/>
      </c>
      <c r="S111" s="69" t="str">
        <f t="shared" si="17"/>
        <v/>
      </c>
      <c r="T111">
        <f t="shared" si="26"/>
        <v>3</v>
      </c>
      <c r="U111" t="str">
        <f t="shared" si="27"/>
        <v>KIỆN 14</v>
      </c>
      <c r="V111" t="str">
        <f t="shared" si="28"/>
        <v/>
      </c>
      <c r="W111" s="266"/>
      <c r="X111" s="266"/>
      <c r="Y111" s="266" t="str">
        <f t="shared" si="19"/>
        <v/>
      </c>
      <c r="Z111" s="266"/>
    </row>
    <row r="112" spans="1:26" ht="27" hidden="1" customHeight="1">
      <c r="A112" s="70" t="str">
        <f t="shared" si="15"/>
        <v/>
      </c>
      <c r="B112" s="70" t="str">
        <f t="shared" si="16"/>
        <v/>
      </c>
      <c r="C112" s="204" t="str" cm="1">
        <f t="array" ref="C112">IF(D112="","",
    IF(AND(ISNUMBER(D112), D112=INT(D112)),
        $V$6 &amp; " " &amp; (IFERROR(MAX($Y$12:$Y111), 0) + 1),
        IF(ISNUMBER(SEARCH(".", D112)), "", INDEX($C$12:$C112, MATCH(2, 1/($C$12:$C112 &lt;&gt; ""))))
    )
)</f>
        <v/>
      </c>
      <c r="D112" s="206"/>
      <c r="E112" s="206" t="str">
        <f>IF(AA112 = "", "",
    IF(ISNUMBER(SEARCH("Kiện", C112)),
       " GÓI " &amp; COUNTIF($C$13:C112, "*Kiện*") &amp; "/" &amp; COUNTIF($C$13:$C$1000, "*Kiện*") &amp; " " &amp; AA112,
       AA112)
)</f>
        <v/>
      </c>
      <c r="F112" s="206"/>
      <c r="G112" s="206"/>
      <c r="H112" s="206"/>
      <c r="I112" s="206"/>
      <c r="J112" s="206" t="str">
        <f t="shared" si="18"/>
        <v/>
      </c>
      <c r="K112" s="206" t="str">
        <f t="shared" si="20"/>
        <v/>
      </c>
      <c r="L112" s="206" t="str">
        <f t="shared" si="21"/>
        <v/>
      </c>
      <c r="M112" s="206" t="str">
        <f t="shared" si="22"/>
        <v/>
      </c>
      <c r="N112" s="206" t="str">
        <f t="shared" si="23"/>
        <v/>
      </c>
      <c r="O112" s="206" t="str">
        <f t="shared" si="24"/>
        <v/>
      </c>
      <c r="P112" s="84" t="str">
        <f t="shared" si="25"/>
        <v/>
      </c>
      <c r="Q112" s="205"/>
      <c r="R112" s="70" t="str">
        <f>IF(S112="IN",'BOM_Phan II'!$Y$3,"")</f>
        <v/>
      </c>
      <c r="S112" s="69" t="str">
        <f t="shared" si="17"/>
        <v/>
      </c>
      <c r="T112">
        <f t="shared" si="26"/>
        <v>3</v>
      </c>
      <c r="U112" t="str">
        <f t="shared" si="27"/>
        <v>KIỆN 14</v>
      </c>
      <c r="V112" t="str">
        <f t="shared" si="28"/>
        <v/>
      </c>
      <c r="W112" s="266"/>
      <c r="X112" s="266"/>
      <c r="Y112" s="266" t="str">
        <f t="shared" si="19"/>
        <v/>
      </c>
      <c r="Z112" s="266"/>
    </row>
    <row r="113" spans="1:26" ht="27" hidden="1" customHeight="1">
      <c r="A113" s="70" t="str">
        <f t="shared" si="15"/>
        <v/>
      </c>
      <c r="B113" s="70" t="str">
        <f t="shared" si="16"/>
        <v/>
      </c>
      <c r="C113" s="204" t="str" cm="1">
        <f t="array" ref="C113">IF(D113="","",
    IF(AND(ISNUMBER(D113), D113=INT(D113)),
        $V$6 &amp; " " &amp; (IFERROR(MAX($Y$12:$Y112), 0) + 1),
        IF(ISNUMBER(SEARCH(".", D113)), "", INDEX($C$12:$C113, MATCH(2, 1/($C$12:$C113 &lt;&gt; ""))))
    )
)</f>
        <v/>
      </c>
      <c r="D113" s="206"/>
      <c r="E113" s="206" t="str">
        <f>IF(AA113 = "", "",
    IF(ISNUMBER(SEARCH("Kiện", C113)),
       " GÓI " &amp; COUNTIF($C$13:C113, "*Kiện*") &amp; "/" &amp; COUNTIF($C$13:$C$1000, "*Kiện*") &amp; " " &amp; AA113,
       AA113)
)</f>
        <v/>
      </c>
      <c r="F113" s="206"/>
      <c r="G113" s="206"/>
      <c r="H113" s="206"/>
      <c r="I113" s="206"/>
      <c r="J113" s="206" t="str">
        <f t="shared" si="18"/>
        <v/>
      </c>
      <c r="K113" s="206" t="str">
        <f t="shared" si="20"/>
        <v/>
      </c>
      <c r="L113" s="206" t="str">
        <f t="shared" si="21"/>
        <v/>
      </c>
      <c r="M113" s="206" t="str">
        <f t="shared" si="22"/>
        <v/>
      </c>
      <c r="N113" s="206" t="str">
        <f t="shared" si="23"/>
        <v/>
      </c>
      <c r="O113" s="206" t="str">
        <f t="shared" si="24"/>
        <v/>
      </c>
      <c r="P113" s="84" t="str">
        <f t="shared" si="25"/>
        <v/>
      </c>
      <c r="Q113" s="205"/>
      <c r="R113" s="70" t="str">
        <f>IF(S113="IN",'BOM_Phan II'!$Y$3,"")</f>
        <v/>
      </c>
      <c r="S113" s="69" t="str">
        <f t="shared" si="17"/>
        <v/>
      </c>
      <c r="T113">
        <f t="shared" si="26"/>
        <v>3</v>
      </c>
      <c r="U113" t="str">
        <f t="shared" si="27"/>
        <v>KIỆN 14</v>
      </c>
      <c r="V113" t="str">
        <f t="shared" si="28"/>
        <v/>
      </c>
      <c r="W113" s="266"/>
      <c r="X113" s="266"/>
      <c r="Y113" s="266" t="str">
        <f t="shared" si="19"/>
        <v/>
      </c>
      <c r="Z113" s="266"/>
    </row>
    <row r="114" spans="1:26" ht="27" hidden="1" customHeight="1">
      <c r="A114" s="70" t="str">
        <f t="shared" si="15"/>
        <v/>
      </c>
      <c r="B114" s="70" t="str">
        <f t="shared" si="16"/>
        <v/>
      </c>
      <c r="C114" s="204" t="str" cm="1">
        <f t="array" ref="C114">IF(D114="","",
    IF(AND(ISNUMBER(D114), D114=INT(D114)),
        $V$6 &amp; " " &amp; (IFERROR(MAX($Y$12:$Y113), 0) + 1),
        IF(ISNUMBER(SEARCH(".", D114)), "", INDEX($C$12:$C114, MATCH(2, 1/($C$12:$C114 &lt;&gt; ""))))
    )
)</f>
        <v/>
      </c>
      <c r="D114" s="206"/>
      <c r="E114" s="206" t="str">
        <f>IF(AA114 = "", "",
    IF(ISNUMBER(SEARCH("Kiện", C114)),
       " GÓI " &amp; COUNTIF($C$13:C114, "*Kiện*") &amp; "/" &amp; COUNTIF($C$13:$C$1000, "*Kiện*") &amp; " " &amp; AA114,
       AA114)
)</f>
        <v/>
      </c>
      <c r="F114" s="206"/>
      <c r="G114" s="206"/>
      <c r="H114" s="206"/>
      <c r="I114" s="206"/>
      <c r="J114" s="206" t="str">
        <f t="shared" si="18"/>
        <v/>
      </c>
      <c r="K114" s="206" t="str">
        <f t="shared" si="20"/>
        <v/>
      </c>
      <c r="L114" s="206" t="str">
        <f t="shared" si="21"/>
        <v/>
      </c>
      <c r="M114" s="206" t="str">
        <f t="shared" si="22"/>
        <v/>
      </c>
      <c r="N114" s="206" t="str">
        <f t="shared" si="23"/>
        <v/>
      </c>
      <c r="O114" s="206" t="str">
        <f t="shared" si="24"/>
        <v/>
      </c>
      <c r="P114" s="84" t="str">
        <f t="shared" si="25"/>
        <v/>
      </c>
      <c r="Q114" s="205"/>
      <c r="R114" s="70" t="str">
        <f>IF(S114="IN",'BOM_Phan II'!$Y$3,"")</f>
        <v/>
      </c>
      <c r="S114" s="69" t="str">
        <f t="shared" si="17"/>
        <v/>
      </c>
      <c r="T114">
        <f t="shared" si="26"/>
        <v>3</v>
      </c>
      <c r="U114" t="str">
        <f t="shared" si="27"/>
        <v>KIỆN 14</v>
      </c>
      <c r="V114" t="str">
        <f t="shared" si="28"/>
        <v/>
      </c>
      <c r="W114" s="266"/>
      <c r="X114" s="266"/>
      <c r="Y114" s="266" t="str">
        <f t="shared" si="19"/>
        <v/>
      </c>
      <c r="Z114" s="266"/>
    </row>
    <row r="115" spans="1:26" ht="27" hidden="1" customHeight="1">
      <c r="A115" s="70" t="str">
        <f t="shared" si="15"/>
        <v/>
      </c>
      <c r="B115" s="70" t="str">
        <f t="shared" si="16"/>
        <v/>
      </c>
      <c r="C115" s="204" t="str" cm="1">
        <f t="array" ref="C115">IF(D115="","",
    IF(AND(ISNUMBER(D115), D115=INT(D115)),
        $V$6 &amp; " " &amp; (IFERROR(MAX($Y$12:$Y114), 0) + 1),
        IF(ISNUMBER(SEARCH(".", D115)), "", INDEX($C$12:$C115, MATCH(2, 1/($C$12:$C115 &lt;&gt; ""))))
    )
)</f>
        <v/>
      </c>
      <c r="D115" s="206"/>
      <c r="E115" s="206" t="str">
        <f>IF(AA115 = "", "",
    IF(ISNUMBER(SEARCH("Kiện", C115)),
       " GÓI " &amp; COUNTIF($C$13:C115, "*Kiện*") &amp; "/" &amp; COUNTIF($C$13:$C$1000, "*Kiện*") &amp; " " &amp; AA115,
       AA115)
)</f>
        <v/>
      </c>
      <c r="F115" s="206"/>
      <c r="G115" s="206"/>
      <c r="H115" s="206"/>
      <c r="I115" s="206"/>
      <c r="J115" s="206" t="str">
        <f t="shared" si="18"/>
        <v/>
      </c>
      <c r="K115" s="206" t="str">
        <f t="shared" si="20"/>
        <v/>
      </c>
      <c r="L115" s="206" t="str">
        <f t="shared" si="21"/>
        <v/>
      </c>
      <c r="M115" s="206" t="str">
        <f t="shared" si="22"/>
        <v/>
      </c>
      <c r="N115" s="206" t="str">
        <f t="shared" si="23"/>
        <v/>
      </c>
      <c r="O115" s="206" t="str">
        <f t="shared" si="24"/>
        <v/>
      </c>
      <c r="P115" s="84" t="str">
        <f t="shared" si="25"/>
        <v/>
      </c>
      <c r="Q115" s="205"/>
      <c r="R115" s="70" t="str">
        <f>IF(S115="IN",'BOM_Phan II'!$Y$3,"")</f>
        <v/>
      </c>
      <c r="S115" s="69" t="str">
        <f t="shared" si="17"/>
        <v/>
      </c>
      <c r="T115">
        <f t="shared" si="26"/>
        <v>3</v>
      </c>
      <c r="U115" t="str">
        <f t="shared" si="27"/>
        <v>KIỆN 14</v>
      </c>
      <c r="V115" t="str">
        <f t="shared" si="28"/>
        <v/>
      </c>
      <c r="W115" s="266"/>
      <c r="X115" s="266"/>
      <c r="Y115" s="266" t="str">
        <f t="shared" si="19"/>
        <v/>
      </c>
      <c r="Z115" s="266"/>
    </row>
    <row r="116" spans="1:26" ht="27" hidden="1" customHeight="1">
      <c r="A116" s="70" t="str">
        <f t="shared" si="15"/>
        <v/>
      </c>
      <c r="B116" s="70" t="str">
        <f t="shared" si="16"/>
        <v/>
      </c>
      <c r="C116" s="204" t="str" cm="1">
        <f t="array" ref="C116">IF(D116="","",
    IF(AND(ISNUMBER(D116), D116=INT(D116)),
        $V$6 &amp; " " &amp; (IFERROR(MAX($Y$12:$Y115), 0) + 1),
        IF(ISNUMBER(SEARCH(".", D116)), "", INDEX($C$12:$C116, MATCH(2, 1/($C$12:$C116 &lt;&gt; ""))))
    )
)</f>
        <v/>
      </c>
      <c r="D116" s="206"/>
      <c r="E116" s="206" t="str">
        <f>IF(AA116 = "", "",
    IF(ISNUMBER(SEARCH("Kiện", C116)),
       " GÓI " &amp; COUNTIF($C$13:C116, "*Kiện*") &amp; "/" &amp; COUNTIF($C$13:$C$1000, "*Kiện*") &amp; " " &amp; AA116,
       AA116)
)</f>
        <v/>
      </c>
      <c r="F116" s="206"/>
      <c r="G116" s="206"/>
      <c r="H116" s="206"/>
      <c r="I116" s="206"/>
      <c r="J116" s="206" t="str">
        <f t="shared" si="18"/>
        <v/>
      </c>
      <c r="K116" s="206" t="str">
        <f t="shared" si="20"/>
        <v/>
      </c>
      <c r="L116" s="206" t="str">
        <f t="shared" si="21"/>
        <v/>
      </c>
      <c r="M116" s="206" t="str">
        <f t="shared" si="22"/>
        <v/>
      </c>
      <c r="N116" s="206" t="str">
        <f t="shared" si="23"/>
        <v/>
      </c>
      <c r="O116" s="206" t="str">
        <f t="shared" si="24"/>
        <v/>
      </c>
      <c r="P116" s="84" t="str">
        <f t="shared" si="25"/>
        <v/>
      </c>
      <c r="Q116" s="205"/>
      <c r="R116" s="70" t="str">
        <f>IF(S116="IN",'BOM_Phan II'!$Y$3,"")</f>
        <v/>
      </c>
      <c r="S116" s="69" t="str">
        <f t="shared" si="17"/>
        <v/>
      </c>
      <c r="T116">
        <f t="shared" si="26"/>
        <v>3</v>
      </c>
      <c r="U116" t="str">
        <f t="shared" si="27"/>
        <v>KIỆN 14</v>
      </c>
      <c r="V116" t="str">
        <f t="shared" si="28"/>
        <v/>
      </c>
      <c r="W116" s="266"/>
      <c r="X116" s="266"/>
      <c r="Y116" s="266" t="str">
        <f t="shared" si="19"/>
        <v/>
      </c>
      <c r="Z116" s="266"/>
    </row>
    <row r="117" spans="1:26" ht="27" hidden="1" customHeight="1">
      <c r="A117" s="70" t="str">
        <f t="shared" si="15"/>
        <v/>
      </c>
      <c r="B117" s="70" t="str">
        <f t="shared" si="16"/>
        <v/>
      </c>
      <c r="C117" s="204" t="str" cm="1">
        <f t="array" ref="C117">IF(D117="","",
    IF(AND(ISNUMBER(D117), D117=INT(D117)),
        $V$6 &amp; " " &amp; (IFERROR(MAX($Y$12:$Y116), 0) + 1),
        IF(ISNUMBER(SEARCH(".", D117)), "", INDEX($C$12:$C117, MATCH(2, 1/($C$12:$C117 &lt;&gt; ""))))
    )
)</f>
        <v/>
      </c>
      <c r="D117" s="206"/>
      <c r="E117" s="206" t="str">
        <f>IF(AA117 = "", "",
    IF(ISNUMBER(SEARCH("Kiện", C117)),
       " GÓI " &amp; COUNTIF($C$13:C117, "*Kiện*") &amp; "/" &amp; COUNTIF($C$13:$C$1000, "*Kiện*") &amp; " " &amp; AA117,
       AA117)
)</f>
        <v/>
      </c>
      <c r="F117" s="206"/>
      <c r="G117" s="206"/>
      <c r="H117" s="206"/>
      <c r="I117" s="206"/>
      <c r="J117" s="206" t="str">
        <f t="shared" si="18"/>
        <v/>
      </c>
      <c r="K117" s="206" t="str">
        <f t="shared" si="20"/>
        <v/>
      </c>
      <c r="L117" s="206" t="str">
        <f t="shared" si="21"/>
        <v/>
      </c>
      <c r="M117" s="206" t="str">
        <f t="shared" si="22"/>
        <v/>
      </c>
      <c r="N117" s="206" t="str">
        <f t="shared" si="23"/>
        <v/>
      </c>
      <c r="O117" s="206" t="str">
        <f t="shared" si="24"/>
        <v/>
      </c>
      <c r="P117" s="84" t="str">
        <f t="shared" si="25"/>
        <v/>
      </c>
      <c r="Q117" s="205"/>
      <c r="R117" s="70" t="str">
        <f>IF(S117="IN",'BOM_Phan II'!$Y$3,"")</f>
        <v/>
      </c>
      <c r="S117" s="69" t="str">
        <f t="shared" si="17"/>
        <v/>
      </c>
      <c r="T117">
        <f t="shared" si="26"/>
        <v>3</v>
      </c>
      <c r="U117" t="str">
        <f t="shared" si="27"/>
        <v>KIỆN 14</v>
      </c>
      <c r="V117" t="str">
        <f t="shared" si="28"/>
        <v/>
      </c>
      <c r="W117" s="266"/>
      <c r="X117" s="266"/>
      <c r="Y117" s="266" t="str">
        <f t="shared" si="19"/>
        <v/>
      </c>
      <c r="Z117" s="266"/>
    </row>
    <row r="118" spans="1:26" ht="27" hidden="1" customHeight="1">
      <c r="A118" s="70" t="str">
        <f t="shared" si="15"/>
        <v/>
      </c>
      <c r="B118" s="70" t="str">
        <f t="shared" si="16"/>
        <v/>
      </c>
      <c r="C118" s="204" t="str" cm="1">
        <f t="array" ref="C118">IF(D118="","",
    IF(AND(ISNUMBER(D118), D118=INT(D118)),
        $V$6 &amp; " " &amp; (IFERROR(MAX($Y$12:$Y117), 0) + 1),
        IF(ISNUMBER(SEARCH(".", D118)), "", INDEX($C$12:$C118, MATCH(2, 1/($C$12:$C118 &lt;&gt; ""))))
    )
)</f>
        <v/>
      </c>
      <c r="D118" s="206"/>
      <c r="E118" s="206" t="str">
        <f>IF(AA118 = "", "",
    IF(ISNUMBER(SEARCH("Kiện", C118)),
       " GÓI " &amp; COUNTIF($C$13:C118, "*Kiện*") &amp; "/" &amp; COUNTIF($C$13:$C$1000, "*Kiện*") &amp; " " &amp; AA118,
       AA118)
)</f>
        <v/>
      </c>
      <c r="F118" s="206"/>
      <c r="G118" s="206"/>
      <c r="H118" s="206"/>
      <c r="I118" s="206"/>
      <c r="J118" s="206" t="str">
        <f t="shared" si="18"/>
        <v/>
      </c>
      <c r="K118" s="206" t="str">
        <f t="shared" si="20"/>
        <v/>
      </c>
      <c r="L118" s="206" t="str">
        <f t="shared" si="21"/>
        <v/>
      </c>
      <c r="M118" s="206" t="str">
        <f t="shared" si="22"/>
        <v/>
      </c>
      <c r="N118" s="206" t="str">
        <f t="shared" si="23"/>
        <v/>
      </c>
      <c r="O118" s="206" t="str">
        <f t="shared" si="24"/>
        <v/>
      </c>
      <c r="P118" s="84" t="str">
        <f t="shared" si="25"/>
        <v/>
      </c>
      <c r="Q118" s="205"/>
      <c r="R118" s="70" t="str">
        <f>IF(S118="IN",'BOM_Phan II'!$Y$3,"")</f>
        <v/>
      </c>
      <c r="S118" s="69" t="str">
        <f t="shared" si="17"/>
        <v/>
      </c>
      <c r="T118">
        <f t="shared" si="26"/>
        <v>3</v>
      </c>
      <c r="U118" t="str">
        <f t="shared" si="27"/>
        <v>KIỆN 14</v>
      </c>
      <c r="V118" t="str">
        <f t="shared" si="28"/>
        <v/>
      </c>
      <c r="W118" s="266"/>
      <c r="X118" s="266"/>
      <c r="Y118" s="266" t="str">
        <f t="shared" si="19"/>
        <v/>
      </c>
      <c r="Z118" s="266"/>
    </row>
    <row r="119" spans="1:26" ht="27" hidden="1" customHeight="1">
      <c r="A119" s="70" t="str">
        <f t="shared" si="15"/>
        <v/>
      </c>
      <c r="B119" s="70" t="str">
        <f t="shared" si="16"/>
        <v/>
      </c>
      <c r="C119" s="204" t="str" cm="1">
        <f t="array" ref="C119">IF(D119="","",
    IF(AND(ISNUMBER(D119), D119=INT(D119)),
        $V$6 &amp; " " &amp; (IFERROR(MAX($Y$12:$Y118), 0) + 1),
        IF(ISNUMBER(SEARCH(".", D119)), "", INDEX($C$12:$C119, MATCH(2, 1/($C$12:$C119 &lt;&gt; ""))))
    )
)</f>
        <v/>
      </c>
      <c r="D119" s="206"/>
      <c r="E119" s="206" t="str">
        <f>IF(AA119 = "", "",
    IF(ISNUMBER(SEARCH("Kiện", C119)),
       " GÓI " &amp; COUNTIF($C$13:C119, "*Kiện*") &amp; "/" &amp; COUNTIF($C$13:$C$1000, "*Kiện*") &amp; " " &amp; AA119,
       AA119)
)</f>
        <v/>
      </c>
      <c r="F119" s="206"/>
      <c r="G119" s="206"/>
      <c r="H119" s="206"/>
      <c r="I119" s="206"/>
      <c r="J119" s="206" t="str">
        <f t="shared" si="18"/>
        <v/>
      </c>
      <c r="K119" s="206" t="str">
        <f t="shared" si="20"/>
        <v/>
      </c>
      <c r="L119" s="206" t="str">
        <f t="shared" si="21"/>
        <v/>
      </c>
      <c r="M119" s="206" t="str">
        <f t="shared" si="22"/>
        <v/>
      </c>
      <c r="N119" s="206" t="str">
        <f t="shared" si="23"/>
        <v/>
      </c>
      <c r="O119" s="206" t="str">
        <f t="shared" si="24"/>
        <v/>
      </c>
      <c r="P119" s="84" t="str">
        <f t="shared" si="25"/>
        <v/>
      </c>
      <c r="Q119" s="205"/>
      <c r="R119" s="70" t="str">
        <f>IF(S119="IN",'BOM_Phan II'!$Y$3,"")</f>
        <v/>
      </c>
      <c r="S119" s="69" t="str">
        <f t="shared" si="17"/>
        <v/>
      </c>
      <c r="T119">
        <f t="shared" si="26"/>
        <v>3</v>
      </c>
      <c r="U119" t="str">
        <f t="shared" si="27"/>
        <v>KIỆN 14</v>
      </c>
      <c r="V119" t="str">
        <f t="shared" si="28"/>
        <v/>
      </c>
      <c r="W119" s="266"/>
      <c r="X119" s="266"/>
      <c r="Y119" s="266" t="str">
        <f t="shared" si="19"/>
        <v/>
      </c>
      <c r="Z119" s="266"/>
    </row>
    <row r="120" spans="1:26" ht="27" hidden="1" customHeight="1">
      <c r="A120" s="70" t="str">
        <f t="shared" si="15"/>
        <v/>
      </c>
      <c r="B120" s="70" t="str">
        <f t="shared" si="16"/>
        <v/>
      </c>
      <c r="C120" s="204" t="str" cm="1">
        <f t="array" ref="C120">IF(D120="","",
    IF(AND(ISNUMBER(D120), D120=INT(D120)),
        $V$6 &amp; " " &amp; (IFERROR(MAX($Y$12:$Y119), 0) + 1),
        IF(ISNUMBER(SEARCH(".", D120)), "", INDEX($C$12:$C120, MATCH(2, 1/($C$12:$C120 &lt;&gt; ""))))
    )
)</f>
        <v/>
      </c>
      <c r="D120" s="206"/>
      <c r="E120" s="206" t="str">
        <f>IF(AA120 = "", "",
    IF(ISNUMBER(SEARCH("Kiện", C120)),
       " GÓI " &amp; COUNTIF($C$13:C120, "*Kiện*") &amp; "/" &amp; COUNTIF($C$13:$C$1000, "*Kiện*") &amp; " " &amp; AA120,
       AA120)
)</f>
        <v/>
      </c>
      <c r="F120" s="206"/>
      <c r="G120" s="206"/>
      <c r="H120" s="206"/>
      <c r="I120" s="206"/>
      <c r="J120" s="206" t="str">
        <f t="shared" si="18"/>
        <v/>
      </c>
      <c r="K120" s="206" t="str">
        <f t="shared" si="20"/>
        <v/>
      </c>
      <c r="L120" s="206" t="str">
        <f t="shared" si="21"/>
        <v/>
      </c>
      <c r="M120" s="206" t="str">
        <f t="shared" si="22"/>
        <v/>
      </c>
      <c r="N120" s="206" t="str">
        <f t="shared" si="23"/>
        <v/>
      </c>
      <c r="O120" s="206" t="str">
        <f t="shared" si="24"/>
        <v/>
      </c>
      <c r="P120" s="84" t="str">
        <f t="shared" si="25"/>
        <v/>
      </c>
      <c r="Q120" s="205"/>
      <c r="R120" s="70" t="str">
        <f>IF(S120="IN",'BOM_Phan II'!$Y$3,"")</f>
        <v/>
      </c>
      <c r="S120" s="69" t="str">
        <f t="shared" si="17"/>
        <v/>
      </c>
      <c r="T120">
        <f t="shared" si="26"/>
        <v>3</v>
      </c>
      <c r="U120" t="str">
        <f t="shared" si="27"/>
        <v>KIỆN 14</v>
      </c>
      <c r="V120" t="str">
        <f t="shared" si="28"/>
        <v/>
      </c>
      <c r="W120" s="266"/>
      <c r="X120" s="266"/>
      <c r="Y120" s="266" t="str">
        <f t="shared" si="19"/>
        <v/>
      </c>
      <c r="Z120" s="266"/>
    </row>
    <row r="121" spans="1:26" ht="27" hidden="1" customHeight="1">
      <c r="A121" s="70" t="str">
        <f t="shared" si="15"/>
        <v/>
      </c>
      <c r="B121" s="70" t="str">
        <f t="shared" si="16"/>
        <v/>
      </c>
      <c r="C121" s="204" t="str" cm="1">
        <f t="array" ref="C121">IF(D121="","",
    IF(AND(ISNUMBER(D121), D121=INT(D121)),
        $V$6 &amp; " " &amp; (IFERROR(MAX($Y$12:$Y120), 0) + 1),
        IF(ISNUMBER(SEARCH(".", D121)), "", INDEX($C$12:$C121, MATCH(2, 1/($C$12:$C121 &lt;&gt; ""))))
    )
)</f>
        <v/>
      </c>
      <c r="D121" s="206"/>
      <c r="E121" s="206" t="str">
        <f>IF(AA121 = "", "",
    IF(ISNUMBER(SEARCH("Kiện", C121)),
       " GÓI " &amp; COUNTIF($C$13:C121, "*Kiện*") &amp; "/" &amp; COUNTIF($C$13:$C$1000, "*Kiện*") &amp; " " &amp; AA121,
       AA121)
)</f>
        <v/>
      </c>
      <c r="F121" s="206"/>
      <c r="G121" s="206"/>
      <c r="H121" s="206"/>
      <c r="I121" s="206"/>
      <c r="J121" s="206" t="str">
        <f t="shared" si="18"/>
        <v/>
      </c>
      <c r="K121" s="206" t="str">
        <f t="shared" si="20"/>
        <v/>
      </c>
      <c r="L121" s="206" t="str">
        <f t="shared" si="21"/>
        <v/>
      </c>
      <c r="M121" s="206" t="str">
        <f t="shared" si="22"/>
        <v/>
      </c>
      <c r="N121" s="206" t="str">
        <f t="shared" si="23"/>
        <v/>
      </c>
      <c r="O121" s="206" t="str">
        <f t="shared" si="24"/>
        <v/>
      </c>
      <c r="P121" s="84" t="str">
        <f t="shared" si="25"/>
        <v/>
      </c>
      <c r="Q121" s="205"/>
      <c r="R121" s="70" t="str">
        <f>IF(S121="IN",'BOM_Phan II'!$Y$3,"")</f>
        <v/>
      </c>
      <c r="S121" s="69" t="str">
        <f t="shared" si="17"/>
        <v/>
      </c>
      <c r="T121">
        <f t="shared" si="26"/>
        <v>3</v>
      </c>
      <c r="U121" t="str">
        <f t="shared" si="27"/>
        <v>KIỆN 14</v>
      </c>
      <c r="V121" t="str">
        <f t="shared" si="28"/>
        <v/>
      </c>
      <c r="W121" s="266"/>
      <c r="X121" s="266"/>
      <c r="Y121" s="266" t="str">
        <f t="shared" si="19"/>
        <v/>
      </c>
      <c r="Z121" s="266"/>
    </row>
    <row r="122" spans="1:26" ht="27" hidden="1" customHeight="1">
      <c r="A122" s="70" t="str">
        <f t="shared" si="15"/>
        <v/>
      </c>
      <c r="B122" s="70" t="str">
        <f t="shared" si="16"/>
        <v/>
      </c>
      <c r="C122" s="204" t="str" cm="1">
        <f t="array" ref="C122">IF(D122="","",
    IF(AND(ISNUMBER(D122), D122=INT(D122)),
        $V$6 &amp; " " &amp; (IFERROR(MAX($Y$12:$Y121), 0) + 1),
        IF(ISNUMBER(SEARCH(".", D122)), "", INDEX($C$12:$C122, MATCH(2, 1/($C$12:$C122 &lt;&gt; ""))))
    )
)</f>
        <v/>
      </c>
      <c r="D122" s="206"/>
      <c r="E122" s="206" t="str">
        <f>IF(AA122 = "", "",
    IF(ISNUMBER(SEARCH("Kiện", C122)),
       " GÓI " &amp; COUNTIF($C$13:C122, "*Kiện*") &amp; "/" &amp; COUNTIF($C$13:$C$1000, "*Kiện*") &amp; " " &amp; AA122,
       AA122)
)</f>
        <v/>
      </c>
      <c r="F122" s="206"/>
      <c r="G122" s="206"/>
      <c r="H122" s="206"/>
      <c r="I122" s="206"/>
      <c r="J122" s="206" t="str">
        <f t="shared" si="18"/>
        <v/>
      </c>
      <c r="K122" s="206" t="str">
        <f t="shared" si="20"/>
        <v/>
      </c>
      <c r="L122" s="206" t="str">
        <f t="shared" si="21"/>
        <v/>
      </c>
      <c r="M122" s="206" t="str">
        <f t="shared" si="22"/>
        <v/>
      </c>
      <c r="N122" s="206" t="str">
        <f t="shared" si="23"/>
        <v/>
      </c>
      <c r="O122" s="206" t="str">
        <f t="shared" si="24"/>
        <v/>
      </c>
      <c r="P122" s="84" t="str">
        <f t="shared" si="25"/>
        <v/>
      </c>
      <c r="Q122" s="205"/>
      <c r="R122" s="70" t="str">
        <f>IF(S122="IN",'BOM_Phan II'!$Y$3,"")</f>
        <v/>
      </c>
      <c r="S122" s="69" t="str">
        <f t="shared" si="17"/>
        <v/>
      </c>
      <c r="T122">
        <f t="shared" si="26"/>
        <v>3</v>
      </c>
      <c r="U122" t="str">
        <f t="shared" si="27"/>
        <v>KIỆN 14</v>
      </c>
      <c r="V122" t="str">
        <f t="shared" si="28"/>
        <v/>
      </c>
      <c r="W122" s="266"/>
      <c r="X122" s="266"/>
      <c r="Y122" s="266" t="str">
        <f t="shared" si="19"/>
        <v/>
      </c>
      <c r="Z122" s="266"/>
    </row>
    <row r="123" spans="1:26" ht="27" hidden="1" customHeight="1">
      <c r="A123" s="70" t="str">
        <f t="shared" si="15"/>
        <v/>
      </c>
      <c r="B123" s="70" t="str">
        <f t="shared" si="16"/>
        <v/>
      </c>
      <c r="C123" s="204" t="str" cm="1">
        <f t="array" ref="C123">IF(D123="","",
    IF(AND(ISNUMBER(D123), D123=INT(D123)),
        $V$6 &amp; " " &amp; (IFERROR(MAX($Y$12:$Y122), 0) + 1),
        IF(ISNUMBER(SEARCH(".", D123)), "", INDEX($C$12:$C123, MATCH(2, 1/($C$12:$C123 &lt;&gt; ""))))
    )
)</f>
        <v/>
      </c>
      <c r="D123" s="206"/>
      <c r="E123" s="206" t="str">
        <f>IF(AA123 = "", "",
    IF(ISNUMBER(SEARCH("Kiện", C123)),
       " GÓI " &amp; COUNTIF($C$13:C123, "*Kiện*") &amp; "/" &amp; COUNTIF($C$13:$C$1000, "*Kiện*") &amp; " " &amp; AA123,
       AA123)
)</f>
        <v/>
      </c>
      <c r="F123" s="206"/>
      <c r="G123" s="206"/>
      <c r="H123" s="206"/>
      <c r="I123" s="206"/>
      <c r="J123" s="206" t="str">
        <f t="shared" si="18"/>
        <v/>
      </c>
      <c r="K123" s="206" t="str">
        <f t="shared" si="20"/>
        <v/>
      </c>
      <c r="L123" s="206" t="str">
        <f t="shared" si="21"/>
        <v/>
      </c>
      <c r="M123" s="206" t="str">
        <f t="shared" si="22"/>
        <v/>
      </c>
      <c r="N123" s="206" t="str">
        <f t="shared" si="23"/>
        <v/>
      </c>
      <c r="O123" s="206" t="str">
        <f t="shared" si="24"/>
        <v/>
      </c>
      <c r="P123" s="84" t="str">
        <f t="shared" si="25"/>
        <v/>
      </c>
      <c r="Q123" s="205"/>
      <c r="R123" s="70" t="str">
        <f>IF(S123="IN",'BOM_Phan II'!$Y$3,"")</f>
        <v/>
      </c>
      <c r="S123" s="69" t="str">
        <f t="shared" si="17"/>
        <v/>
      </c>
      <c r="T123">
        <f t="shared" si="26"/>
        <v>3</v>
      </c>
      <c r="U123" t="str">
        <f t="shared" si="27"/>
        <v>KIỆN 14</v>
      </c>
      <c r="V123" t="str">
        <f t="shared" si="28"/>
        <v/>
      </c>
      <c r="W123" s="266"/>
      <c r="X123" s="266"/>
      <c r="Y123" s="266" t="str">
        <f t="shared" si="19"/>
        <v/>
      </c>
      <c r="Z123" s="266"/>
    </row>
    <row r="124" spans="1:26" ht="27" hidden="1" customHeight="1">
      <c r="A124" s="70" t="str">
        <f t="shared" si="15"/>
        <v/>
      </c>
      <c r="B124" s="70" t="str">
        <f t="shared" si="16"/>
        <v/>
      </c>
      <c r="C124" s="204" t="str" cm="1">
        <f t="array" ref="C124">IF(D124="","",
    IF(AND(ISNUMBER(D124), D124=INT(D124)),
        $V$6 &amp; " " &amp; (IFERROR(MAX($Y$12:$Y123), 0) + 1),
        IF(ISNUMBER(SEARCH(".", D124)), "", INDEX($C$12:$C124, MATCH(2, 1/($C$12:$C124 &lt;&gt; ""))))
    )
)</f>
        <v/>
      </c>
      <c r="D124" s="206"/>
      <c r="E124" s="206" t="str">
        <f>IF(AA124 = "", "",
    IF(ISNUMBER(SEARCH("Kiện", C124)),
       " GÓI " &amp; COUNTIF($C$13:C124, "*Kiện*") &amp; "/" &amp; COUNTIF($C$13:$C$1000, "*Kiện*") &amp; " " &amp; AA124,
       AA124)
)</f>
        <v/>
      </c>
      <c r="F124" s="206"/>
      <c r="G124" s="206"/>
      <c r="H124" s="206"/>
      <c r="I124" s="206"/>
      <c r="J124" s="206" t="str">
        <f t="shared" si="18"/>
        <v/>
      </c>
      <c r="K124" s="206" t="str">
        <f t="shared" si="20"/>
        <v/>
      </c>
      <c r="L124" s="206" t="str">
        <f t="shared" si="21"/>
        <v/>
      </c>
      <c r="M124" s="206" t="str">
        <f t="shared" si="22"/>
        <v/>
      </c>
      <c r="N124" s="206" t="str">
        <f t="shared" si="23"/>
        <v/>
      </c>
      <c r="O124" s="206" t="str">
        <f t="shared" si="24"/>
        <v/>
      </c>
      <c r="P124" s="84" t="str">
        <f t="shared" si="25"/>
        <v/>
      </c>
      <c r="Q124" s="205"/>
      <c r="R124" s="70" t="str">
        <f>IF(S124="IN",'BOM_Phan II'!$Y$3,"")</f>
        <v/>
      </c>
      <c r="S124" s="69" t="str">
        <f t="shared" si="17"/>
        <v/>
      </c>
      <c r="T124">
        <f t="shared" si="26"/>
        <v>3</v>
      </c>
      <c r="U124" t="str">
        <f t="shared" si="27"/>
        <v>KIỆN 14</v>
      </c>
      <c r="V124" t="str">
        <f t="shared" si="28"/>
        <v/>
      </c>
      <c r="W124" s="266"/>
      <c r="X124" s="266"/>
      <c r="Y124" s="266" t="str">
        <f t="shared" si="19"/>
        <v/>
      </c>
      <c r="Z124" s="266"/>
    </row>
    <row r="125" spans="1:26" ht="27" hidden="1" customHeight="1">
      <c r="A125" s="70" t="str">
        <f t="shared" si="15"/>
        <v/>
      </c>
      <c r="B125" s="70" t="str">
        <f t="shared" si="16"/>
        <v/>
      </c>
      <c r="C125" s="204" t="str" cm="1">
        <f t="array" ref="C125">IF(D125="","",
    IF(AND(ISNUMBER(D125), D125=INT(D125)),
        $V$6 &amp; " " &amp; (IFERROR(MAX($Y$12:$Y124), 0) + 1),
        IF(ISNUMBER(SEARCH(".", D125)), "", INDEX($C$12:$C125, MATCH(2, 1/($C$12:$C125 &lt;&gt; ""))))
    )
)</f>
        <v/>
      </c>
      <c r="D125" s="206"/>
      <c r="E125" s="206" t="str">
        <f>IF(AA125 = "", "",
    IF(ISNUMBER(SEARCH("Kiện", C125)),
       " GÓI " &amp; COUNTIF($C$13:C125, "*Kiện*") &amp; "/" &amp; COUNTIF($C$13:$C$1000, "*Kiện*") &amp; " " &amp; AA125,
       AA125)
)</f>
        <v/>
      </c>
      <c r="F125" s="206"/>
      <c r="G125" s="206"/>
      <c r="H125" s="206"/>
      <c r="I125" s="206"/>
      <c r="J125" s="206" t="str">
        <f t="shared" si="18"/>
        <v/>
      </c>
      <c r="K125" s="206" t="str">
        <f t="shared" si="20"/>
        <v/>
      </c>
      <c r="L125" s="206" t="str">
        <f t="shared" si="21"/>
        <v/>
      </c>
      <c r="M125" s="206" t="str">
        <f t="shared" si="22"/>
        <v/>
      </c>
      <c r="N125" s="206" t="str">
        <f t="shared" si="23"/>
        <v/>
      </c>
      <c r="O125" s="206" t="str">
        <f t="shared" si="24"/>
        <v/>
      </c>
      <c r="P125" s="84" t="str">
        <f t="shared" si="25"/>
        <v/>
      </c>
      <c r="Q125" s="205"/>
      <c r="R125" s="70" t="str">
        <f>IF(S125="IN",'BOM_Phan II'!$Y$3,"")</f>
        <v/>
      </c>
      <c r="S125" s="69" t="str">
        <f t="shared" si="17"/>
        <v/>
      </c>
      <c r="T125">
        <f t="shared" si="26"/>
        <v>3</v>
      </c>
      <c r="U125" t="str">
        <f t="shared" si="27"/>
        <v>KIỆN 14</v>
      </c>
      <c r="V125" t="str">
        <f t="shared" si="28"/>
        <v/>
      </c>
      <c r="W125" s="266"/>
      <c r="X125" s="266"/>
      <c r="Y125" s="266" t="str">
        <f t="shared" si="19"/>
        <v/>
      </c>
      <c r="Z125" s="266"/>
    </row>
    <row r="126" spans="1:26" ht="27" hidden="1" customHeight="1">
      <c r="A126" s="70" t="str">
        <f t="shared" si="15"/>
        <v/>
      </c>
      <c r="B126" s="70" t="str">
        <f t="shared" si="16"/>
        <v/>
      </c>
      <c r="C126" s="204" t="str" cm="1">
        <f t="array" ref="C126">IF(D126="","",
    IF(AND(ISNUMBER(D126), D126=INT(D126)),
        $V$6 &amp; " " &amp; (IFERROR(MAX($Y$12:$Y125), 0) + 1),
        IF(ISNUMBER(SEARCH(".", D126)), "", INDEX($C$12:$C126, MATCH(2, 1/($C$12:$C126 &lt;&gt; ""))))
    )
)</f>
        <v/>
      </c>
      <c r="D126" s="206"/>
      <c r="E126" s="206" t="str">
        <f>IF(AA126 = "", "",
    IF(ISNUMBER(SEARCH("Kiện", C126)),
       " GÓI " &amp; COUNTIF($C$13:C126, "*Kiện*") &amp; "/" &amp; COUNTIF($C$13:$C$1000, "*Kiện*") &amp; " " &amp; AA126,
       AA126)
)</f>
        <v/>
      </c>
      <c r="F126" s="206"/>
      <c r="G126" s="206"/>
      <c r="H126" s="206"/>
      <c r="I126" s="206"/>
      <c r="J126" s="206" t="str">
        <f t="shared" si="18"/>
        <v/>
      </c>
      <c r="K126" s="206" t="str">
        <f t="shared" si="20"/>
        <v/>
      </c>
      <c r="L126" s="206" t="str">
        <f t="shared" si="21"/>
        <v/>
      </c>
      <c r="M126" s="206" t="str">
        <f t="shared" si="22"/>
        <v/>
      </c>
      <c r="N126" s="206" t="str">
        <f t="shared" si="23"/>
        <v/>
      </c>
      <c r="O126" s="206" t="str">
        <f t="shared" si="24"/>
        <v/>
      </c>
      <c r="P126" s="84" t="str">
        <f t="shared" si="25"/>
        <v/>
      </c>
      <c r="Q126" s="205"/>
      <c r="R126" s="70" t="str">
        <f>IF(S126="IN",'BOM_Phan II'!$Y$3,"")</f>
        <v/>
      </c>
      <c r="S126" s="69" t="str">
        <f t="shared" si="17"/>
        <v/>
      </c>
      <c r="T126">
        <f t="shared" si="26"/>
        <v>3</v>
      </c>
      <c r="U126" t="str">
        <f t="shared" si="27"/>
        <v>KIỆN 14</v>
      </c>
      <c r="V126" t="str">
        <f t="shared" si="28"/>
        <v/>
      </c>
      <c r="W126" s="266"/>
      <c r="X126" s="266"/>
      <c r="Y126" s="266" t="str">
        <f t="shared" si="19"/>
        <v/>
      </c>
      <c r="Z126" s="266"/>
    </row>
    <row r="127" spans="1:26" ht="27" hidden="1" customHeight="1">
      <c r="A127" s="70" t="str">
        <f t="shared" si="15"/>
        <v/>
      </c>
      <c r="B127" s="70" t="str">
        <f t="shared" si="16"/>
        <v/>
      </c>
      <c r="C127" s="204" t="str" cm="1">
        <f t="array" ref="C127">IF(D127="","",
    IF(AND(ISNUMBER(D127), D127=INT(D127)),
        $V$6 &amp; " " &amp; (IFERROR(MAX($Y$12:$Y126), 0) + 1),
        IF(ISNUMBER(SEARCH(".", D127)), "", INDEX($C$12:$C127, MATCH(2, 1/($C$12:$C127 &lt;&gt; ""))))
    )
)</f>
        <v/>
      </c>
      <c r="D127" s="206"/>
      <c r="E127" s="206" t="str">
        <f>IF(AA127 = "", "",
    IF(ISNUMBER(SEARCH("Kiện", C127)),
       " GÓI " &amp; COUNTIF($C$13:C127, "*Kiện*") &amp; "/" &amp; COUNTIF($C$13:$C$1000, "*Kiện*") &amp; " " &amp; AA127,
       AA127)
)</f>
        <v/>
      </c>
      <c r="F127" s="206"/>
      <c r="G127" s="206"/>
      <c r="H127" s="206"/>
      <c r="I127" s="206"/>
      <c r="J127" s="206" t="str">
        <f t="shared" si="18"/>
        <v/>
      </c>
      <c r="K127" s="206" t="str">
        <f t="shared" si="20"/>
        <v/>
      </c>
      <c r="L127" s="206" t="str">
        <f t="shared" si="21"/>
        <v/>
      </c>
      <c r="M127" s="206" t="str">
        <f t="shared" si="22"/>
        <v/>
      </c>
      <c r="N127" s="206" t="str">
        <f t="shared" si="23"/>
        <v/>
      </c>
      <c r="O127" s="206" t="str">
        <f t="shared" si="24"/>
        <v/>
      </c>
      <c r="P127" s="84" t="str">
        <f t="shared" si="25"/>
        <v/>
      </c>
      <c r="Q127" s="205"/>
      <c r="R127" s="70" t="str">
        <f>IF(S127="IN",'BOM_Phan II'!$Y$3,"")</f>
        <v/>
      </c>
      <c r="S127" s="69" t="str">
        <f t="shared" si="17"/>
        <v/>
      </c>
      <c r="T127">
        <f t="shared" si="26"/>
        <v>3</v>
      </c>
      <c r="U127" t="str">
        <f t="shared" si="27"/>
        <v>KIỆN 14</v>
      </c>
      <c r="V127" t="str">
        <f t="shared" si="28"/>
        <v/>
      </c>
      <c r="W127" s="266"/>
      <c r="X127" s="266"/>
      <c r="Y127" s="266" t="str">
        <f t="shared" si="19"/>
        <v/>
      </c>
      <c r="Z127" s="266"/>
    </row>
    <row r="128" spans="1:26" ht="27" hidden="1" customHeight="1">
      <c r="A128" s="70" t="str">
        <f t="shared" si="15"/>
        <v/>
      </c>
      <c r="B128" s="70" t="str">
        <f t="shared" si="16"/>
        <v/>
      </c>
      <c r="C128" s="204" t="str" cm="1">
        <f t="array" ref="C128">IF(D128="","",
    IF(AND(ISNUMBER(D128), D128=INT(D128)),
        $V$6 &amp; " " &amp; (IFERROR(MAX($Y$12:$Y127), 0) + 1),
        IF(ISNUMBER(SEARCH(".", D128)), "", INDEX($C$12:$C128, MATCH(2, 1/($C$12:$C128 &lt;&gt; ""))))
    )
)</f>
        <v/>
      </c>
      <c r="D128" s="206"/>
      <c r="E128" s="206" t="str">
        <f>IF(AA128 = "", "",
    IF(ISNUMBER(SEARCH("Kiện", C128)),
       " GÓI " &amp; COUNTIF($C$13:C128, "*Kiện*") &amp; "/" &amp; COUNTIF($C$13:$C$1000, "*Kiện*") &amp; " " &amp; AA128,
       AA128)
)</f>
        <v/>
      </c>
      <c r="F128" s="206"/>
      <c r="G128" s="206"/>
      <c r="H128" s="206"/>
      <c r="I128" s="206"/>
      <c r="J128" s="206" t="str">
        <f t="shared" si="18"/>
        <v/>
      </c>
      <c r="K128" s="206" t="str">
        <f t="shared" si="20"/>
        <v/>
      </c>
      <c r="L128" s="206" t="str">
        <f t="shared" si="21"/>
        <v/>
      </c>
      <c r="M128" s="206" t="str">
        <f t="shared" si="22"/>
        <v/>
      </c>
      <c r="N128" s="206" t="str">
        <f t="shared" si="23"/>
        <v/>
      </c>
      <c r="O128" s="206" t="str">
        <f t="shared" si="24"/>
        <v/>
      </c>
      <c r="P128" s="84" t="str">
        <f t="shared" si="25"/>
        <v/>
      </c>
      <c r="Q128" s="205"/>
      <c r="R128" s="70" t="str">
        <f>IF(S128="IN",'BOM_Phan II'!$Y$3,"")</f>
        <v/>
      </c>
      <c r="S128" s="69" t="str">
        <f t="shared" si="17"/>
        <v/>
      </c>
      <c r="T128">
        <f t="shared" si="26"/>
        <v>3</v>
      </c>
      <c r="U128" t="str">
        <f t="shared" si="27"/>
        <v>KIỆN 14</v>
      </c>
      <c r="V128" t="str">
        <f t="shared" si="28"/>
        <v/>
      </c>
      <c r="W128" s="266"/>
      <c r="X128" s="266"/>
      <c r="Y128" s="266" t="str">
        <f t="shared" si="19"/>
        <v/>
      </c>
      <c r="Z128" s="266"/>
    </row>
    <row r="129" spans="1:26" ht="27" hidden="1" customHeight="1">
      <c r="A129" s="70" t="str">
        <f t="shared" si="15"/>
        <v/>
      </c>
      <c r="B129" s="70" t="str">
        <f t="shared" si="16"/>
        <v/>
      </c>
      <c r="C129" s="204" t="str" cm="1">
        <f t="array" ref="C129">IF(D129="","",
    IF(AND(ISNUMBER(D129), D129=INT(D129)),
        $V$6 &amp; " " &amp; (IFERROR(MAX($Y$12:$Y128), 0) + 1),
        IF(ISNUMBER(SEARCH(".", D129)), "", INDEX($C$12:$C129, MATCH(2, 1/($C$12:$C129 &lt;&gt; ""))))
    )
)</f>
        <v/>
      </c>
      <c r="D129" s="206"/>
      <c r="E129" s="206" t="str">
        <f>IF(AA129 = "", "",
    IF(ISNUMBER(SEARCH("Kiện", C129)),
       " GÓI " &amp; COUNTIF($C$13:C129, "*Kiện*") &amp; "/" &amp; COUNTIF($C$13:$C$1000, "*Kiện*") &amp; " " &amp; AA129,
       AA129)
)</f>
        <v/>
      </c>
      <c r="F129" s="206"/>
      <c r="G129" s="206"/>
      <c r="H129" s="206"/>
      <c r="I129" s="206"/>
      <c r="J129" s="206" t="str">
        <f t="shared" si="18"/>
        <v/>
      </c>
      <c r="K129" s="206" t="str">
        <f t="shared" si="20"/>
        <v/>
      </c>
      <c r="L129" s="206" t="str">
        <f t="shared" si="21"/>
        <v/>
      </c>
      <c r="M129" s="206" t="str">
        <f t="shared" si="22"/>
        <v/>
      </c>
      <c r="N129" s="206" t="str">
        <f t="shared" si="23"/>
        <v/>
      </c>
      <c r="O129" s="206" t="str">
        <f t="shared" si="24"/>
        <v/>
      </c>
      <c r="P129" s="84" t="str">
        <f t="shared" si="25"/>
        <v/>
      </c>
      <c r="Q129" s="205"/>
      <c r="R129" s="70" t="str">
        <f>IF(S129="IN",'BOM_Phan II'!$Y$3,"")</f>
        <v/>
      </c>
      <c r="S129" s="69" t="str">
        <f t="shared" si="17"/>
        <v/>
      </c>
      <c r="T129">
        <f t="shared" si="26"/>
        <v>3</v>
      </c>
      <c r="U129" t="str">
        <f t="shared" si="27"/>
        <v>KIỆN 14</v>
      </c>
      <c r="V129" t="str">
        <f t="shared" si="28"/>
        <v/>
      </c>
      <c r="W129" s="266"/>
      <c r="X129" s="266"/>
      <c r="Y129" s="266" t="str">
        <f t="shared" si="19"/>
        <v/>
      </c>
      <c r="Z129" s="266"/>
    </row>
    <row r="130" spans="1:26" ht="27" hidden="1" customHeight="1">
      <c r="A130" s="70" t="str">
        <f t="shared" si="15"/>
        <v/>
      </c>
      <c r="B130" s="70" t="str">
        <f t="shared" si="16"/>
        <v/>
      </c>
      <c r="C130" s="204" t="str" cm="1">
        <f t="array" ref="C130">IF(D130="","",
    IF(AND(ISNUMBER(D130), D130=INT(D130)),
        $V$6 &amp; " " &amp; (IFERROR(MAX($Y$12:$Y129), 0) + 1),
        IF(ISNUMBER(SEARCH(".", D130)), "", INDEX($C$12:$C130, MATCH(2, 1/($C$12:$C130 &lt;&gt; ""))))
    )
)</f>
        <v/>
      </c>
      <c r="D130" s="206"/>
      <c r="E130" s="206" t="str">
        <f>IF(AA130 = "", "",
    IF(ISNUMBER(SEARCH("Kiện", C130)),
       " GÓI " &amp; COUNTIF($C$13:C130, "*Kiện*") &amp; "/" &amp; COUNTIF($C$13:$C$1000, "*Kiện*") &amp; " " &amp; AA130,
       AA130)
)</f>
        <v/>
      </c>
      <c r="F130" s="206"/>
      <c r="G130" s="206"/>
      <c r="H130" s="206"/>
      <c r="I130" s="206"/>
      <c r="J130" s="206" t="str">
        <f t="shared" si="18"/>
        <v/>
      </c>
      <c r="K130" s="206" t="str">
        <f t="shared" si="20"/>
        <v/>
      </c>
      <c r="L130" s="206" t="str">
        <f t="shared" si="21"/>
        <v/>
      </c>
      <c r="M130" s="206" t="str">
        <f t="shared" si="22"/>
        <v/>
      </c>
      <c r="N130" s="206" t="str">
        <f t="shared" si="23"/>
        <v/>
      </c>
      <c r="O130" s="206" t="str">
        <f t="shared" si="24"/>
        <v/>
      </c>
      <c r="P130" s="84" t="str">
        <f t="shared" si="25"/>
        <v/>
      </c>
      <c r="Q130" s="205"/>
      <c r="R130" s="70" t="str">
        <f>IF(S130="IN",'BOM_Phan II'!$Y$3,"")</f>
        <v/>
      </c>
      <c r="S130" s="69" t="str">
        <f t="shared" si="17"/>
        <v/>
      </c>
      <c r="T130">
        <f t="shared" si="26"/>
        <v>3</v>
      </c>
      <c r="U130" t="str">
        <f t="shared" si="27"/>
        <v>KIỆN 14</v>
      </c>
      <c r="V130" t="str">
        <f t="shared" si="28"/>
        <v/>
      </c>
      <c r="W130" s="266"/>
      <c r="X130" s="266"/>
      <c r="Y130" s="266" t="str">
        <f t="shared" si="19"/>
        <v/>
      </c>
      <c r="Z130" s="266"/>
    </row>
    <row r="131" spans="1:26" ht="27" hidden="1" customHeight="1">
      <c r="A131" s="70" t="str">
        <f t="shared" si="15"/>
        <v/>
      </c>
      <c r="B131" s="70" t="str">
        <f t="shared" si="16"/>
        <v/>
      </c>
      <c r="C131" s="204" t="str" cm="1">
        <f t="array" ref="C131">IF(D131="","",
    IF(AND(ISNUMBER(D131), D131=INT(D131)),
        $V$6 &amp; " " &amp; (IFERROR(MAX($Y$12:$Y130), 0) + 1),
        IF(ISNUMBER(SEARCH(".", D131)), "", INDEX($C$12:$C131, MATCH(2, 1/($C$12:$C131 &lt;&gt; ""))))
    )
)</f>
        <v/>
      </c>
      <c r="D131" s="206"/>
      <c r="E131" s="206" t="str">
        <f>IF(AA131 = "", "",
    IF(ISNUMBER(SEARCH("Kiện", C131)),
       " GÓI " &amp; COUNTIF($C$13:C131, "*Kiện*") &amp; "/" &amp; COUNTIF($C$13:$C$1000, "*Kiện*") &amp; " " &amp; AA131,
       AA131)
)</f>
        <v/>
      </c>
      <c r="F131" s="206"/>
      <c r="G131" s="206"/>
      <c r="H131" s="206"/>
      <c r="I131" s="206"/>
      <c r="J131" s="206" t="str">
        <f t="shared" si="18"/>
        <v/>
      </c>
      <c r="K131" s="206" t="str">
        <f t="shared" si="20"/>
        <v/>
      </c>
      <c r="L131" s="206" t="str">
        <f t="shared" si="21"/>
        <v/>
      </c>
      <c r="M131" s="206" t="str">
        <f t="shared" si="22"/>
        <v/>
      </c>
      <c r="N131" s="206" t="str">
        <f t="shared" si="23"/>
        <v/>
      </c>
      <c r="O131" s="206" t="str">
        <f t="shared" si="24"/>
        <v/>
      </c>
      <c r="P131" s="84" t="str">
        <f t="shared" si="25"/>
        <v/>
      </c>
      <c r="Q131" s="205"/>
      <c r="R131" s="70" t="str">
        <f>IF(S131="IN",'BOM_Phan II'!$Y$3,"")</f>
        <v/>
      </c>
      <c r="S131" s="69" t="str">
        <f t="shared" si="17"/>
        <v/>
      </c>
      <c r="T131">
        <f t="shared" si="26"/>
        <v>3</v>
      </c>
      <c r="U131" t="str">
        <f t="shared" si="27"/>
        <v>KIỆN 14</v>
      </c>
      <c r="V131" t="str">
        <f t="shared" si="28"/>
        <v/>
      </c>
      <c r="W131" s="266"/>
      <c r="X131" s="266"/>
      <c r="Y131" s="266" t="str">
        <f t="shared" si="19"/>
        <v/>
      </c>
      <c r="Z131" s="266"/>
    </row>
    <row r="132" spans="1:26" ht="27" hidden="1" customHeight="1">
      <c r="A132" s="70" t="str">
        <f t="shared" si="15"/>
        <v/>
      </c>
      <c r="B132" s="70" t="str">
        <f t="shared" si="16"/>
        <v/>
      </c>
      <c r="C132" s="204" t="str" cm="1">
        <f t="array" ref="C132">IF(D132="","",
    IF(AND(ISNUMBER(D132), D132=INT(D132)),
        $V$6 &amp; " " &amp; (IFERROR(MAX($Y$12:$Y131), 0) + 1),
        IF(ISNUMBER(SEARCH(".", D132)), "", INDEX($C$12:$C132, MATCH(2, 1/($C$12:$C132 &lt;&gt; ""))))
    )
)</f>
        <v/>
      </c>
      <c r="D132" s="206"/>
      <c r="E132" s="206" t="str">
        <f>IF(AA132 = "", "",
    IF(ISNUMBER(SEARCH("Kiện", C132)),
       " GÓI " &amp; COUNTIF($C$13:C132, "*Kiện*") &amp; "/" &amp; COUNTIF($C$13:$C$1000, "*Kiện*") &amp; " " &amp; AA132,
       AA132)
)</f>
        <v/>
      </c>
      <c r="F132" s="206"/>
      <c r="G132" s="206"/>
      <c r="H132" s="206"/>
      <c r="I132" s="206"/>
      <c r="J132" s="206" t="str">
        <f t="shared" si="18"/>
        <v/>
      </c>
      <c r="K132" s="206" t="str">
        <f t="shared" si="20"/>
        <v/>
      </c>
      <c r="L132" s="206" t="str">
        <f t="shared" si="21"/>
        <v/>
      </c>
      <c r="M132" s="206" t="str">
        <f t="shared" si="22"/>
        <v/>
      </c>
      <c r="N132" s="206" t="str">
        <f t="shared" si="23"/>
        <v/>
      </c>
      <c r="O132" s="206" t="str">
        <f t="shared" si="24"/>
        <v/>
      </c>
      <c r="P132" s="84" t="str">
        <f t="shared" si="25"/>
        <v/>
      </c>
      <c r="Q132" s="205"/>
      <c r="R132" s="70" t="str">
        <f>IF(S132="IN",'BOM_Phan II'!$Y$3,"")</f>
        <v/>
      </c>
      <c r="S132" s="69" t="str">
        <f t="shared" si="17"/>
        <v/>
      </c>
      <c r="T132">
        <f t="shared" si="26"/>
        <v>3</v>
      </c>
      <c r="U132" t="str">
        <f t="shared" si="27"/>
        <v>KIỆN 14</v>
      </c>
      <c r="V132" t="str">
        <f t="shared" si="28"/>
        <v/>
      </c>
      <c r="W132" s="266"/>
      <c r="X132" s="266"/>
      <c r="Y132" s="266" t="str">
        <f t="shared" si="19"/>
        <v/>
      </c>
      <c r="Z132" s="266"/>
    </row>
    <row r="133" spans="1:26" ht="27" hidden="1" customHeight="1">
      <c r="A133" s="70" t="str">
        <f t="shared" si="15"/>
        <v/>
      </c>
      <c r="B133" s="70" t="str">
        <f t="shared" si="16"/>
        <v/>
      </c>
      <c r="C133" s="204" t="str" cm="1">
        <f t="array" ref="C133">IF(D133="","",
    IF(AND(ISNUMBER(D133), D133=INT(D133)),
        $V$6 &amp; " " &amp; (IFERROR(MAX($Y$12:$Y132), 0) + 1),
        IF(ISNUMBER(SEARCH(".", D133)), "", INDEX($C$12:$C133, MATCH(2, 1/($C$12:$C133 &lt;&gt; ""))))
    )
)</f>
        <v/>
      </c>
      <c r="D133" s="206"/>
      <c r="E133" s="206" t="str">
        <f>IF(AA133 = "", "",
    IF(ISNUMBER(SEARCH("Kiện", C133)),
       " GÓI " &amp; COUNTIF($C$13:C133, "*Kiện*") &amp; "/" &amp; COUNTIF($C$13:$C$1000, "*Kiện*") &amp; " " &amp; AA133,
       AA133)
)</f>
        <v/>
      </c>
      <c r="F133" s="206"/>
      <c r="G133" s="206"/>
      <c r="H133" s="206"/>
      <c r="I133" s="206"/>
      <c r="J133" s="206" t="str">
        <f t="shared" si="18"/>
        <v/>
      </c>
      <c r="K133" s="206" t="str">
        <f t="shared" si="20"/>
        <v/>
      </c>
      <c r="L133" s="206" t="str">
        <f t="shared" si="21"/>
        <v/>
      </c>
      <c r="M133" s="206" t="str">
        <f t="shared" si="22"/>
        <v/>
      </c>
      <c r="N133" s="206" t="str">
        <f t="shared" si="23"/>
        <v/>
      </c>
      <c r="O133" s="206" t="str">
        <f t="shared" si="24"/>
        <v/>
      </c>
      <c r="P133" s="84" t="str">
        <f t="shared" si="25"/>
        <v/>
      </c>
      <c r="Q133" s="205"/>
      <c r="R133" s="70" t="str">
        <f>IF(S133="IN",'BOM_Phan II'!$Y$3,"")</f>
        <v/>
      </c>
      <c r="S133" s="69" t="str">
        <f t="shared" si="17"/>
        <v/>
      </c>
      <c r="T133">
        <f t="shared" si="26"/>
        <v>3</v>
      </c>
      <c r="U133" t="str">
        <f t="shared" si="27"/>
        <v>KIỆN 14</v>
      </c>
      <c r="V133" t="str">
        <f t="shared" si="28"/>
        <v/>
      </c>
      <c r="W133" s="266"/>
      <c r="X133" s="266"/>
      <c r="Y133" s="266" t="str">
        <f t="shared" si="19"/>
        <v/>
      </c>
      <c r="Z133" s="266"/>
    </row>
    <row r="134" spans="1:26" ht="27" hidden="1" customHeight="1">
      <c r="A134" s="70" t="str">
        <f t="shared" si="15"/>
        <v/>
      </c>
      <c r="B134" s="70" t="str">
        <f t="shared" si="16"/>
        <v/>
      </c>
      <c r="C134" s="204" t="str" cm="1">
        <f t="array" ref="C134">IF(D134="","",
    IF(AND(ISNUMBER(D134), D134=INT(D134)),
        $V$6 &amp; " " &amp; (IFERROR(MAX($Y$12:$Y133), 0) + 1),
        IF(ISNUMBER(SEARCH(".", D134)), "", INDEX($C$12:$C134, MATCH(2, 1/($C$12:$C134 &lt;&gt; ""))))
    )
)</f>
        <v/>
      </c>
      <c r="D134" s="206"/>
      <c r="E134" s="206" t="str">
        <f>IF(AA134 = "", "",
    IF(ISNUMBER(SEARCH("Kiện", C134)),
       " GÓI " &amp; COUNTIF($C$13:C134, "*Kiện*") &amp; "/" &amp; COUNTIF($C$13:$C$1000, "*Kiện*") &amp; " " &amp; AA134,
       AA134)
)</f>
        <v/>
      </c>
      <c r="F134" s="206"/>
      <c r="G134" s="206"/>
      <c r="H134" s="206"/>
      <c r="I134" s="206"/>
      <c r="J134" s="206" t="str">
        <f t="shared" si="18"/>
        <v/>
      </c>
      <c r="K134" s="206" t="str">
        <f t="shared" si="20"/>
        <v/>
      </c>
      <c r="L134" s="206" t="str">
        <f t="shared" si="21"/>
        <v/>
      </c>
      <c r="M134" s="206" t="str">
        <f t="shared" si="22"/>
        <v/>
      </c>
      <c r="N134" s="206" t="str">
        <f t="shared" si="23"/>
        <v/>
      </c>
      <c r="O134" s="206" t="str">
        <f t="shared" si="24"/>
        <v/>
      </c>
      <c r="P134" s="84" t="str">
        <f t="shared" si="25"/>
        <v/>
      </c>
      <c r="Q134" s="205"/>
      <c r="R134" s="70" t="str">
        <f>IF(S134="IN",'BOM_Phan II'!$Y$3,"")</f>
        <v/>
      </c>
      <c r="S134" s="69" t="str">
        <f t="shared" si="17"/>
        <v/>
      </c>
      <c r="T134">
        <f t="shared" si="26"/>
        <v>3</v>
      </c>
      <c r="U134" t="str">
        <f t="shared" si="27"/>
        <v>KIỆN 14</v>
      </c>
      <c r="V134" t="str">
        <f t="shared" si="28"/>
        <v/>
      </c>
      <c r="W134" s="266"/>
      <c r="X134" s="266"/>
      <c r="Y134" s="266" t="str">
        <f t="shared" si="19"/>
        <v/>
      </c>
      <c r="Z134" s="266"/>
    </row>
    <row r="135" spans="1:26" ht="27" hidden="1" customHeight="1">
      <c r="A135" s="70" t="str">
        <f t="shared" si="15"/>
        <v/>
      </c>
      <c r="B135" s="70" t="str">
        <f t="shared" si="16"/>
        <v/>
      </c>
      <c r="C135" s="204" t="str" cm="1">
        <f t="array" ref="C135">IF(D135="","",
    IF(AND(ISNUMBER(D135), D135=INT(D135)),
        $V$6 &amp; " " &amp; (IFERROR(MAX($Y$12:$Y134), 0) + 1),
        IF(ISNUMBER(SEARCH(".", D135)), "", INDEX($C$12:$C135, MATCH(2, 1/($C$12:$C135 &lt;&gt; ""))))
    )
)</f>
        <v/>
      </c>
      <c r="D135" s="206"/>
      <c r="E135" s="206" t="str">
        <f>IF(AA135 = "", "",
    IF(ISNUMBER(SEARCH("Kiện", C135)),
       " GÓI " &amp; COUNTIF($C$13:C135, "*Kiện*") &amp; "/" &amp; COUNTIF($C$13:$C$1000, "*Kiện*") &amp; " " &amp; AA135,
       AA135)
)</f>
        <v/>
      </c>
      <c r="F135" s="206"/>
      <c r="G135" s="206"/>
      <c r="H135" s="206"/>
      <c r="I135" s="206"/>
      <c r="J135" s="206" t="str">
        <f t="shared" si="18"/>
        <v/>
      </c>
      <c r="K135" s="206" t="str">
        <f t="shared" si="20"/>
        <v/>
      </c>
      <c r="L135" s="206" t="str">
        <f t="shared" si="21"/>
        <v/>
      </c>
      <c r="M135" s="206" t="str">
        <f t="shared" si="22"/>
        <v/>
      </c>
      <c r="N135" s="206" t="str">
        <f t="shared" si="23"/>
        <v/>
      </c>
      <c r="O135" s="206" t="str">
        <f t="shared" si="24"/>
        <v/>
      </c>
      <c r="P135" s="84" t="str">
        <f t="shared" si="25"/>
        <v/>
      </c>
      <c r="Q135" s="205"/>
      <c r="R135" s="70" t="str">
        <f>IF(S135="IN",'BOM_Phan II'!$Y$3,"")</f>
        <v/>
      </c>
      <c r="S135" s="69" t="str">
        <f t="shared" si="17"/>
        <v/>
      </c>
      <c r="T135">
        <f t="shared" si="26"/>
        <v>3</v>
      </c>
      <c r="U135" t="str">
        <f t="shared" si="27"/>
        <v>KIỆN 14</v>
      </c>
      <c r="V135" t="str">
        <f t="shared" si="28"/>
        <v/>
      </c>
      <c r="W135" s="266"/>
      <c r="X135" s="266"/>
      <c r="Y135" s="266" t="str">
        <f t="shared" si="19"/>
        <v/>
      </c>
      <c r="Z135" s="266"/>
    </row>
    <row r="136" spans="1:26" ht="27" hidden="1" customHeight="1">
      <c r="A136" s="70" t="str">
        <f t="shared" si="15"/>
        <v/>
      </c>
      <c r="B136" s="70" t="str">
        <f t="shared" si="16"/>
        <v/>
      </c>
      <c r="C136" s="204" t="str" cm="1">
        <f t="array" ref="C136">IF(D136="","",
    IF(AND(ISNUMBER(D136), D136=INT(D136)),
        $V$6 &amp; " " &amp; (IFERROR(MAX($Y$12:$Y135), 0) + 1),
        IF(ISNUMBER(SEARCH(".", D136)), "", INDEX($C$12:$C136, MATCH(2, 1/($C$12:$C136 &lt;&gt; ""))))
    )
)</f>
        <v/>
      </c>
      <c r="D136" s="206"/>
      <c r="E136" s="206" t="str">
        <f>IF(AA136 = "", "",
    IF(ISNUMBER(SEARCH("Kiện", C136)),
       " GÓI " &amp; COUNTIF($C$13:C136, "*Kiện*") &amp; "/" &amp; COUNTIF($C$13:$C$1000, "*Kiện*") &amp; " " &amp; AA136,
       AA136)
)</f>
        <v/>
      </c>
      <c r="F136" s="206"/>
      <c r="G136" s="206"/>
      <c r="H136" s="206"/>
      <c r="I136" s="206"/>
      <c r="J136" s="206" t="str">
        <f t="shared" si="18"/>
        <v/>
      </c>
      <c r="K136" s="206" t="str">
        <f t="shared" si="20"/>
        <v/>
      </c>
      <c r="L136" s="206" t="str">
        <f t="shared" si="21"/>
        <v/>
      </c>
      <c r="M136" s="206" t="str">
        <f t="shared" si="22"/>
        <v/>
      </c>
      <c r="N136" s="206" t="str">
        <f t="shared" si="23"/>
        <v/>
      </c>
      <c r="O136" s="206" t="str">
        <f t="shared" si="24"/>
        <v/>
      </c>
      <c r="P136" s="84" t="str">
        <f t="shared" si="25"/>
        <v/>
      </c>
      <c r="Q136" s="205"/>
      <c r="R136" s="70" t="str">
        <f>IF(S136="IN",'BOM_Phan II'!$Y$3,"")</f>
        <v/>
      </c>
      <c r="S136" s="69" t="str">
        <f t="shared" si="17"/>
        <v/>
      </c>
      <c r="T136">
        <f t="shared" si="26"/>
        <v>3</v>
      </c>
      <c r="U136" t="str">
        <f t="shared" si="27"/>
        <v>KIỆN 14</v>
      </c>
      <c r="V136" t="str">
        <f t="shared" si="28"/>
        <v/>
      </c>
      <c r="W136" s="266"/>
      <c r="X136" s="266"/>
      <c r="Y136" s="266" t="str">
        <f t="shared" si="19"/>
        <v/>
      </c>
      <c r="Z136" s="266"/>
    </row>
    <row r="137" spans="1:26" ht="27" hidden="1" customHeight="1">
      <c r="A137" s="70" t="str">
        <f t="shared" si="15"/>
        <v/>
      </c>
      <c r="B137" s="70" t="str">
        <f t="shared" si="16"/>
        <v/>
      </c>
      <c r="C137" s="204" t="str" cm="1">
        <f t="array" ref="C137">IF(D137="","",
    IF(AND(ISNUMBER(D137), D137=INT(D137)),
        $V$6 &amp; " " &amp; (IFERROR(MAX($Y$12:$Y136), 0) + 1),
        IF(ISNUMBER(SEARCH(".", D137)), "", INDEX($C$12:$C137, MATCH(2, 1/($C$12:$C137 &lt;&gt; ""))))
    )
)</f>
        <v/>
      </c>
      <c r="D137" s="206"/>
      <c r="E137" s="206" t="str">
        <f>IF(AA137 = "", "",
    IF(ISNUMBER(SEARCH("Kiện", C137)),
       " GÓI " &amp; COUNTIF($C$13:C137, "*Kiện*") &amp; "/" &amp; COUNTIF($C$13:$C$1000, "*Kiện*") &amp; " " &amp; AA137,
       AA137)
)</f>
        <v/>
      </c>
      <c r="F137" s="206"/>
      <c r="G137" s="206"/>
      <c r="H137" s="206"/>
      <c r="I137" s="206"/>
      <c r="J137" s="206" t="str">
        <f t="shared" si="18"/>
        <v/>
      </c>
      <c r="K137" s="206" t="str">
        <f t="shared" si="20"/>
        <v/>
      </c>
      <c r="L137" s="206" t="str">
        <f t="shared" si="21"/>
        <v/>
      </c>
      <c r="M137" s="206" t="str">
        <f t="shared" si="22"/>
        <v/>
      </c>
      <c r="N137" s="206" t="str">
        <f t="shared" si="23"/>
        <v/>
      </c>
      <c r="O137" s="206" t="str">
        <f t="shared" si="24"/>
        <v/>
      </c>
      <c r="P137" s="84" t="str">
        <f t="shared" si="25"/>
        <v/>
      </c>
      <c r="Q137" s="205"/>
      <c r="R137" s="70" t="str">
        <f>IF(S137="IN",'BOM_Phan II'!$Y$3,"")</f>
        <v/>
      </c>
      <c r="S137" s="69" t="str">
        <f t="shared" si="17"/>
        <v/>
      </c>
      <c r="T137">
        <f t="shared" si="26"/>
        <v>3</v>
      </c>
      <c r="U137" t="str">
        <f t="shared" si="27"/>
        <v>KIỆN 14</v>
      </c>
      <c r="V137" t="str">
        <f t="shared" si="28"/>
        <v/>
      </c>
      <c r="W137" s="266"/>
      <c r="X137" s="266"/>
      <c r="Y137" s="266" t="str">
        <f t="shared" si="19"/>
        <v/>
      </c>
      <c r="Z137" s="266"/>
    </row>
    <row r="138" spans="1:26" ht="27" hidden="1" customHeight="1">
      <c r="A138" s="70" t="str">
        <f t="shared" si="15"/>
        <v/>
      </c>
      <c r="B138" s="70" t="str">
        <f t="shared" si="16"/>
        <v/>
      </c>
      <c r="C138" s="204" t="str" cm="1">
        <f t="array" ref="C138">IF(D138="","",
    IF(AND(ISNUMBER(D138), D138=INT(D138)),
        $V$6 &amp; " " &amp; (IFERROR(MAX($Y$12:$Y137), 0) + 1),
        IF(ISNUMBER(SEARCH(".", D138)), "", INDEX($C$12:$C138, MATCH(2, 1/($C$12:$C138 &lt;&gt; ""))))
    )
)</f>
        <v/>
      </c>
      <c r="D138" s="206"/>
      <c r="E138" s="206" t="str">
        <f>IF(AA138 = "", "",
    IF(ISNUMBER(SEARCH("Kiện", C138)),
       " GÓI " &amp; COUNTIF($C$13:C138, "*Kiện*") &amp; "/" &amp; COUNTIF($C$13:$C$1000, "*Kiện*") &amp; " " &amp; AA138,
       AA138)
)</f>
        <v/>
      </c>
      <c r="F138" s="206"/>
      <c r="G138" s="206"/>
      <c r="H138" s="206"/>
      <c r="I138" s="206"/>
      <c r="J138" s="206" t="str">
        <f t="shared" si="18"/>
        <v/>
      </c>
      <c r="K138" s="206" t="str">
        <f t="shared" si="20"/>
        <v/>
      </c>
      <c r="L138" s="206" t="str">
        <f t="shared" si="21"/>
        <v/>
      </c>
      <c r="M138" s="206" t="str">
        <f t="shared" si="22"/>
        <v/>
      </c>
      <c r="N138" s="206" t="str">
        <f t="shared" si="23"/>
        <v/>
      </c>
      <c r="O138" s="206" t="str">
        <f t="shared" si="24"/>
        <v/>
      </c>
      <c r="P138" s="84" t="str">
        <f t="shared" si="25"/>
        <v/>
      </c>
      <c r="Q138" s="205"/>
      <c r="R138" s="70" t="str">
        <f>IF(S138="IN",'BOM_Phan II'!$Y$3,"")</f>
        <v/>
      </c>
      <c r="S138" s="69" t="str">
        <f t="shared" si="17"/>
        <v/>
      </c>
      <c r="T138">
        <f t="shared" si="26"/>
        <v>3</v>
      </c>
      <c r="U138" t="str">
        <f t="shared" si="27"/>
        <v>KIỆN 14</v>
      </c>
      <c r="V138" t="str">
        <f t="shared" si="28"/>
        <v/>
      </c>
      <c r="W138" s="266"/>
      <c r="X138" s="266"/>
      <c r="Y138" s="266" t="str">
        <f t="shared" si="19"/>
        <v/>
      </c>
      <c r="Z138" s="266"/>
    </row>
    <row r="139" spans="1:26" ht="27" hidden="1" customHeight="1">
      <c r="A139" s="70" t="str">
        <f t="shared" si="15"/>
        <v/>
      </c>
      <c r="B139" s="70" t="str">
        <f t="shared" si="16"/>
        <v/>
      </c>
      <c r="C139" s="204" t="str" cm="1">
        <f t="array" ref="C139">IF(D139="","",
    IF(AND(ISNUMBER(D139), D139=INT(D139)),
        $V$6 &amp; " " &amp; (IFERROR(MAX($Y$12:$Y138), 0) + 1),
        IF(ISNUMBER(SEARCH(".", D139)), "", INDEX($C$12:$C139, MATCH(2, 1/($C$12:$C139 &lt;&gt; ""))))
    )
)</f>
        <v/>
      </c>
      <c r="D139" s="206"/>
      <c r="E139" s="206" t="str">
        <f>IF(AA139 = "", "",
    IF(ISNUMBER(SEARCH("Kiện", C139)),
       " GÓI " &amp; COUNTIF($C$13:C139, "*Kiện*") &amp; "/" &amp; COUNTIF($C$13:$C$1000, "*Kiện*") &amp; " " &amp; AA139,
       AA139)
)</f>
        <v/>
      </c>
      <c r="F139" s="206"/>
      <c r="G139" s="206"/>
      <c r="H139" s="206"/>
      <c r="I139" s="206"/>
      <c r="J139" s="206" t="str">
        <f t="shared" si="18"/>
        <v/>
      </c>
      <c r="K139" s="206" t="str">
        <f t="shared" si="20"/>
        <v/>
      </c>
      <c r="L139" s="206" t="str">
        <f t="shared" si="21"/>
        <v/>
      </c>
      <c r="M139" s="206" t="str">
        <f t="shared" si="22"/>
        <v/>
      </c>
      <c r="N139" s="206" t="str">
        <f t="shared" si="23"/>
        <v/>
      </c>
      <c r="O139" s="206" t="str">
        <f t="shared" si="24"/>
        <v/>
      </c>
      <c r="P139" s="84" t="str">
        <f t="shared" si="25"/>
        <v/>
      </c>
      <c r="Q139" s="205"/>
      <c r="R139" s="70" t="str">
        <f>IF(S139="IN",'BOM_Phan II'!$Y$3,"")</f>
        <v/>
      </c>
      <c r="S139" s="69" t="str">
        <f t="shared" si="17"/>
        <v/>
      </c>
      <c r="T139">
        <f t="shared" si="26"/>
        <v>3</v>
      </c>
      <c r="U139" t="str">
        <f t="shared" si="27"/>
        <v>KIỆN 14</v>
      </c>
      <c r="V139" t="str">
        <f t="shared" si="28"/>
        <v/>
      </c>
      <c r="W139" s="266"/>
      <c r="X139" s="266"/>
      <c r="Y139" s="266" t="str">
        <f t="shared" si="19"/>
        <v/>
      </c>
      <c r="Z139" s="266"/>
    </row>
    <row r="140" spans="1:26" ht="27" hidden="1" customHeight="1">
      <c r="A140" s="70" t="str">
        <f t="shared" ref="A140:A203" si="29">IF(S140="IN",$E$6,"")</f>
        <v/>
      </c>
      <c r="B140" s="70" t="str">
        <f t="shared" ref="B140:B203" si="30">IF(S140="IN","Muc "&amp;$E$7,"")</f>
        <v/>
      </c>
      <c r="C140" s="204" t="str" cm="1">
        <f t="array" ref="C140">IF(D140="","",
    IF(AND(ISNUMBER(D140), D140=INT(D140)),
        $V$6 &amp; " " &amp; (IFERROR(MAX($Y$12:$Y139), 0) + 1),
        IF(ISNUMBER(SEARCH(".", D140)), "", INDEX($C$12:$C140, MATCH(2, 1/($C$12:$C140 &lt;&gt; ""))))
    )
)</f>
        <v/>
      </c>
      <c r="D140" s="206"/>
      <c r="E140" s="206" t="str">
        <f>IF(AA140 = "", "",
    IF(ISNUMBER(SEARCH("Kiện", C140)),
       " GÓI " &amp; COUNTIF($C$13:C140, "*Kiện*") &amp; "/" &amp; COUNTIF($C$13:$C$1000, "*Kiện*") &amp; " " &amp; AA140,
       AA140)
)</f>
        <v/>
      </c>
      <c r="F140" s="206"/>
      <c r="G140" s="206"/>
      <c r="H140" s="206"/>
      <c r="I140" s="206"/>
      <c r="J140" s="206" t="str">
        <f t="shared" si="18"/>
        <v/>
      </c>
      <c r="K140" s="206" t="str">
        <f t="shared" si="20"/>
        <v/>
      </c>
      <c r="L140" s="206" t="str">
        <f t="shared" si="21"/>
        <v/>
      </c>
      <c r="M140" s="206" t="str">
        <f t="shared" si="22"/>
        <v/>
      </c>
      <c r="N140" s="206" t="str">
        <f t="shared" si="23"/>
        <v/>
      </c>
      <c r="O140" s="206" t="str">
        <f t="shared" si="24"/>
        <v/>
      </c>
      <c r="P140" s="84" t="str">
        <f t="shared" si="25"/>
        <v/>
      </c>
      <c r="Q140" s="205"/>
      <c r="R140" s="70" t="str">
        <f>IF(S140="IN",'BOM_Phan II'!$Y$3,"")</f>
        <v/>
      </c>
      <c r="S140" s="69" t="str">
        <f t="shared" ref="S140:S203" si="31">IF(OR(E140&lt;&gt;"",D140&lt;&gt;""),"IN","")</f>
        <v/>
      </c>
      <c r="T140">
        <f t="shared" si="26"/>
        <v>3</v>
      </c>
      <c r="U140" t="str">
        <f t="shared" si="27"/>
        <v>KIỆN 14</v>
      </c>
      <c r="V140" t="str">
        <f t="shared" si="28"/>
        <v/>
      </c>
      <c r="W140" s="266"/>
      <c r="X140" s="266"/>
      <c r="Y140" s="266" t="str">
        <f t="shared" si="19"/>
        <v/>
      </c>
      <c r="Z140" s="266"/>
    </row>
    <row r="141" spans="1:26" ht="27" hidden="1" customHeight="1">
      <c r="A141" s="70" t="str">
        <f t="shared" si="29"/>
        <v/>
      </c>
      <c r="B141" s="70" t="str">
        <f t="shared" si="30"/>
        <v/>
      </c>
      <c r="C141" s="204" t="str" cm="1">
        <f t="array" ref="C141">IF(D141="","",
    IF(AND(ISNUMBER(D141), D141=INT(D141)),
        $V$6 &amp; " " &amp; (IFERROR(MAX($Y$12:$Y140), 0) + 1),
        IF(ISNUMBER(SEARCH(".", D141)), "", INDEX($C$12:$C141, MATCH(2, 1/($C$12:$C141 &lt;&gt; ""))))
    )
)</f>
        <v/>
      </c>
      <c r="D141" s="206"/>
      <c r="E141" s="206" t="str">
        <f>IF(AA141 = "", "",
    IF(ISNUMBER(SEARCH("Kiện", C141)),
       " GÓI " &amp; COUNTIF($C$13:C141, "*Kiện*") &amp; "/" &amp; COUNTIF($C$13:$C$1000, "*Kiện*") &amp; " " &amp; AA141,
       AA141)
)</f>
        <v/>
      </c>
      <c r="F141" s="206"/>
      <c r="G141" s="206"/>
      <c r="H141" s="206"/>
      <c r="I141" s="206"/>
      <c r="J141" s="206" t="str">
        <f t="shared" ref="J141:J204" si="32">IF(C141&lt;&gt;"",C141&amp;"_"&amp;$E$6,"")</f>
        <v/>
      </c>
      <c r="K141" s="206" t="str">
        <f t="shared" si="20"/>
        <v/>
      </c>
      <c r="L141" s="206" t="str">
        <f t="shared" si="21"/>
        <v/>
      </c>
      <c r="M141" s="206" t="str">
        <f t="shared" si="22"/>
        <v/>
      </c>
      <c r="N141" s="206" t="str">
        <f t="shared" si="23"/>
        <v/>
      </c>
      <c r="O141" s="206" t="str">
        <f t="shared" si="24"/>
        <v/>
      </c>
      <c r="P141" s="84" t="str">
        <f t="shared" si="25"/>
        <v/>
      </c>
      <c r="Q141" s="205"/>
      <c r="R141" s="70" t="str">
        <f>IF(S141="IN",'BOM_Phan II'!$Y$3,"")</f>
        <v/>
      </c>
      <c r="S141" s="69" t="str">
        <f t="shared" si="31"/>
        <v/>
      </c>
      <c r="T141">
        <f t="shared" si="26"/>
        <v>3</v>
      </c>
      <c r="U141" t="str">
        <f t="shared" si="27"/>
        <v>KIỆN 14</v>
      </c>
      <c r="V141" t="str">
        <f t="shared" si="28"/>
        <v/>
      </c>
      <c r="W141" s="266"/>
      <c r="X141" s="266"/>
      <c r="Y141" s="266" t="str">
        <f t="shared" ref="Y141:Y204" si="33">IFERROR(VALUE(RIGHT(C141,LEN(C141)-5)),"")</f>
        <v/>
      </c>
      <c r="Z141" s="266"/>
    </row>
    <row r="142" spans="1:26" ht="27" hidden="1" customHeight="1">
      <c r="A142" s="70" t="str">
        <f t="shared" si="29"/>
        <v/>
      </c>
      <c r="B142" s="70" t="str">
        <f t="shared" si="30"/>
        <v/>
      </c>
      <c r="C142" s="204" t="str" cm="1">
        <f t="array" ref="C142">IF(D142="","",
    IF(AND(ISNUMBER(D142), D142=INT(D142)),
        $V$6 &amp; " " &amp; (IFERROR(MAX($Y$12:$Y141), 0) + 1),
        IF(ISNUMBER(SEARCH(".", D142)), "", INDEX($C$12:$C142, MATCH(2, 1/($C$12:$C142 &lt;&gt; ""))))
    )
)</f>
        <v/>
      </c>
      <c r="D142" s="206"/>
      <c r="E142" s="206" t="str">
        <f>IF(AA142 = "", "",
    IF(ISNUMBER(SEARCH("Kiện", C142)),
       " GÓI " &amp; COUNTIF($C$13:C142, "*Kiện*") &amp; "/" &amp; COUNTIF($C$13:$C$1000, "*Kiện*") &amp; " " &amp; AA142,
       AA142)
)</f>
        <v/>
      </c>
      <c r="F142" s="206"/>
      <c r="G142" s="206"/>
      <c r="H142" s="206"/>
      <c r="I142" s="206"/>
      <c r="J142" s="206" t="str">
        <f t="shared" si="32"/>
        <v/>
      </c>
      <c r="K142" s="206" t="str">
        <f t="shared" ref="K142:K205" si="34">IFERROR(IF($C142&lt;&gt;"",IF($T$13=1,F142+20,IF($T$13=2,F142+20,IF($T$13=3,F142+50,IF($T$13=4,F142+40,IF($T$13=5,F142+50,IF($T$13=51,F142+50,IF($T$13=6,F142+50,IF($T$13=7,F142+50,"")))))))),""),"")</f>
        <v/>
      </c>
      <c r="L142" s="206" t="str">
        <f t="shared" ref="L142:L205" si="35">IFERROR(IF($C142&lt;&gt;"",IF($T$13=1,G142+20,IF($T$13=2,G142+20,IF($T$13=3,G142+50,IF($T$13=4,G142+40,IF($T$13=5,G142+50,IF($T$13=51,G142+50,IF($T$13=6,G142+50,IF($T$13=7,G142+50,"")))))))),""),"")</f>
        <v/>
      </c>
      <c r="M142" s="206" t="str">
        <f t="shared" ref="M142:M205" si="36">IFERROR(IF($C142&lt;&gt;"",IF($T$13=1,H142+20,IF($T$13=2,H142+20,IF($T$13=3,H142+70,IF($T$13=4,H142+40,IF($T$13=5,H142+50,IF($T$13=51,H142+150,IF($T$13=6,H142+50,IF($T$13=7,H142+50,"")))))))),""),"")</f>
        <v/>
      </c>
      <c r="N142" s="206" t="str">
        <f t="shared" ref="N142:N205" si="37">IF(C142&lt;&gt;"",I142,"")</f>
        <v/>
      </c>
      <c r="O142" s="206" t="str">
        <f t="shared" ref="O142:O205" si="38">IF(C142&lt;&gt;"",$O$13,"")</f>
        <v/>
      </c>
      <c r="P142" s="84" t="str">
        <f t="shared" ref="P142:P205" si="39">IFERROR(IF(C142&lt;&gt;"",SUMIFS($V$13:$V$969,$U$13:$U$969,C142)*$S$6,V142*$S$6),"")</f>
        <v/>
      </c>
      <c r="Q142" s="205"/>
      <c r="R142" s="70" t="str">
        <f>IF(S142="IN",'BOM_Phan II'!$Y$3,"")</f>
        <v/>
      </c>
      <c r="S142" s="69" t="str">
        <f t="shared" si="31"/>
        <v/>
      </c>
      <c r="T142">
        <f t="shared" ref="T142:T205" si="40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3</v>
      </c>
      <c r="U142" t="str">
        <f t="shared" ref="U142:U205" si="41">IF(C142="",U141,C142)</f>
        <v>KIỆN 14</v>
      </c>
      <c r="V142" t="str">
        <f t="shared" ref="V142:V205" si="42">IFERROR(IF(AND(C142="", OR($W142="1", $W142="2")), IF(I142="", "", F142*G142*H142*I142/10^9), ""), "")</f>
        <v/>
      </c>
      <c r="W142" s="266"/>
      <c r="X142" s="266"/>
      <c r="Y142" s="266" t="str">
        <f t="shared" si="33"/>
        <v/>
      </c>
      <c r="Z142" s="266"/>
    </row>
    <row r="143" spans="1:26" ht="27" hidden="1" customHeight="1">
      <c r="A143" s="70" t="str">
        <f t="shared" si="29"/>
        <v/>
      </c>
      <c r="B143" s="70" t="str">
        <f t="shared" si="30"/>
        <v/>
      </c>
      <c r="C143" s="204" t="str" cm="1">
        <f t="array" ref="C143">IF(D143="","",
    IF(AND(ISNUMBER(D143), D143=INT(D143)),
        $V$6 &amp; " " &amp; (IFERROR(MAX($Y$12:$Y142), 0) + 1),
        IF(ISNUMBER(SEARCH(".", D143)), "", INDEX($C$12:$C143, MATCH(2, 1/($C$12:$C143 &lt;&gt; ""))))
    )
)</f>
        <v/>
      </c>
      <c r="D143" s="206"/>
      <c r="E143" s="206" t="str">
        <f>IF(AA143 = "", "",
    IF(ISNUMBER(SEARCH("Kiện", C143)),
       " GÓI " &amp; COUNTIF($C$13:C143, "*Kiện*") &amp; "/" &amp; COUNTIF($C$13:$C$1000, "*Kiện*") &amp; " " &amp; AA143,
       AA143)
)</f>
        <v/>
      </c>
      <c r="F143" s="206"/>
      <c r="G143" s="206"/>
      <c r="H143" s="206"/>
      <c r="I143" s="206"/>
      <c r="J143" s="206" t="str">
        <f t="shared" si="32"/>
        <v/>
      </c>
      <c r="K143" s="206" t="str">
        <f t="shared" si="34"/>
        <v/>
      </c>
      <c r="L143" s="206" t="str">
        <f t="shared" si="35"/>
        <v/>
      </c>
      <c r="M143" s="206" t="str">
        <f t="shared" si="36"/>
        <v/>
      </c>
      <c r="N143" s="206" t="str">
        <f t="shared" si="37"/>
        <v/>
      </c>
      <c r="O143" s="206" t="str">
        <f t="shared" si="38"/>
        <v/>
      </c>
      <c r="P143" s="84" t="str">
        <f t="shared" si="39"/>
        <v/>
      </c>
      <c r="Q143" s="205"/>
      <c r="R143" s="70" t="str">
        <f>IF(S143="IN",'BOM_Phan II'!$Y$3,"")</f>
        <v/>
      </c>
      <c r="S143" s="69" t="str">
        <f t="shared" si="31"/>
        <v/>
      </c>
      <c r="T143">
        <f t="shared" si="40"/>
        <v>3</v>
      </c>
      <c r="U143" t="str">
        <f t="shared" si="41"/>
        <v>KIỆN 14</v>
      </c>
      <c r="V143" t="str">
        <f t="shared" si="42"/>
        <v/>
      </c>
      <c r="W143" s="266"/>
      <c r="X143" s="266"/>
      <c r="Y143" s="266" t="str">
        <f t="shared" si="33"/>
        <v/>
      </c>
      <c r="Z143" s="266"/>
    </row>
    <row r="144" spans="1:26" ht="27" hidden="1" customHeight="1">
      <c r="A144" s="70" t="str">
        <f t="shared" si="29"/>
        <v/>
      </c>
      <c r="B144" s="70" t="str">
        <f t="shared" si="30"/>
        <v/>
      </c>
      <c r="C144" s="204" t="str" cm="1">
        <f t="array" ref="C144">IF(D144="","",
    IF(AND(ISNUMBER(D144), D144=INT(D144)),
        $V$6 &amp; " " &amp; (IFERROR(MAX($Y$12:$Y143), 0) + 1),
        IF(ISNUMBER(SEARCH(".", D144)), "", INDEX($C$12:$C144, MATCH(2, 1/($C$12:$C144 &lt;&gt; ""))))
    )
)</f>
        <v/>
      </c>
      <c r="D144" s="206"/>
      <c r="E144" s="206" t="str">
        <f>IF(AA144 = "", "",
    IF(ISNUMBER(SEARCH("Kiện", C144)),
       " GÓI " &amp; COUNTIF($C$13:C144, "*Kiện*") &amp; "/" &amp; COUNTIF($C$13:$C$1000, "*Kiện*") &amp; " " &amp; AA144,
       AA144)
)</f>
        <v/>
      </c>
      <c r="F144" s="206"/>
      <c r="G144" s="206"/>
      <c r="H144" s="206"/>
      <c r="I144" s="206"/>
      <c r="J144" s="206" t="str">
        <f t="shared" si="32"/>
        <v/>
      </c>
      <c r="K144" s="206" t="str">
        <f t="shared" si="34"/>
        <v/>
      </c>
      <c r="L144" s="206" t="str">
        <f t="shared" si="35"/>
        <v/>
      </c>
      <c r="M144" s="206" t="str">
        <f t="shared" si="36"/>
        <v/>
      </c>
      <c r="N144" s="206" t="str">
        <f t="shared" si="37"/>
        <v/>
      </c>
      <c r="O144" s="206" t="str">
        <f t="shared" si="38"/>
        <v/>
      </c>
      <c r="P144" s="84" t="str">
        <f t="shared" si="39"/>
        <v/>
      </c>
      <c r="Q144" s="205"/>
      <c r="R144" s="70" t="str">
        <f>IF(S144="IN",'BOM_Phan II'!$Y$3,"")</f>
        <v/>
      </c>
      <c r="S144" s="69" t="str">
        <f t="shared" si="31"/>
        <v/>
      </c>
      <c r="T144">
        <f t="shared" si="40"/>
        <v>3</v>
      </c>
      <c r="U144" t="str">
        <f t="shared" si="41"/>
        <v>KIỆN 14</v>
      </c>
      <c r="V144" t="str">
        <f t="shared" si="42"/>
        <v/>
      </c>
      <c r="W144" s="266"/>
      <c r="X144" s="266"/>
      <c r="Y144" s="266" t="str">
        <f t="shared" si="33"/>
        <v/>
      </c>
      <c r="Z144" s="266"/>
    </row>
    <row r="145" spans="1:26" ht="27" hidden="1" customHeight="1">
      <c r="A145" s="70" t="str">
        <f t="shared" si="29"/>
        <v/>
      </c>
      <c r="B145" s="70" t="str">
        <f t="shared" si="30"/>
        <v/>
      </c>
      <c r="C145" s="204" t="str" cm="1">
        <f t="array" ref="C145">IF(D145="","",
    IF(AND(ISNUMBER(D145), D145=INT(D145)),
        $V$6 &amp; " " &amp; (IFERROR(MAX($Y$12:$Y144), 0) + 1),
        IF(ISNUMBER(SEARCH(".", D145)), "", INDEX($C$12:$C145, MATCH(2, 1/($C$12:$C145 &lt;&gt; ""))))
    )
)</f>
        <v/>
      </c>
      <c r="D145" s="206"/>
      <c r="E145" s="206" t="str">
        <f>IF(AA145 = "", "",
    IF(ISNUMBER(SEARCH("Kiện", C145)),
       " GÓI " &amp; COUNTIF($C$13:C145, "*Kiện*") &amp; "/" &amp; COUNTIF($C$13:$C$1000, "*Kiện*") &amp; " " &amp; AA145,
       AA145)
)</f>
        <v/>
      </c>
      <c r="F145" s="206"/>
      <c r="G145" s="206"/>
      <c r="H145" s="206"/>
      <c r="I145" s="206"/>
      <c r="J145" s="206" t="str">
        <f t="shared" si="32"/>
        <v/>
      </c>
      <c r="K145" s="206" t="str">
        <f t="shared" si="34"/>
        <v/>
      </c>
      <c r="L145" s="206" t="str">
        <f t="shared" si="35"/>
        <v/>
      </c>
      <c r="M145" s="206" t="str">
        <f t="shared" si="36"/>
        <v/>
      </c>
      <c r="N145" s="206" t="str">
        <f t="shared" si="37"/>
        <v/>
      </c>
      <c r="O145" s="206" t="str">
        <f t="shared" si="38"/>
        <v/>
      </c>
      <c r="P145" s="84" t="str">
        <f t="shared" si="39"/>
        <v/>
      </c>
      <c r="Q145" s="205"/>
      <c r="R145" s="70" t="str">
        <f>IF(S145="IN",'BOM_Phan II'!$Y$3,"")</f>
        <v/>
      </c>
      <c r="S145" s="69" t="str">
        <f t="shared" si="31"/>
        <v/>
      </c>
      <c r="T145">
        <f t="shared" si="40"/>
        <v>3</v>
      </c>
      <c r="U145" t="str">
        <f t="shared" si="41"/>
        <v>KIỆN 14</v>
      </c>
      <c r="V145" t="str">
        <f t="shared" si="42"/>
        <v/>
      </c>
      <c r="W145" s="266"/>
      <c r="X145" s="266"/>
      <c r="Y145" s="266" t="str">
        <f t="shared" si="33"/>
        <v/>
      </c>
      <c r="Z145" s="266"/>
    </row>
    <row r="146" spans="1:26" ht="27" hidden="1" customHeight="1">
      <c r="A146" s="70" t="str">
        <f t="shared" si="29"/>
        <v/>
      </c>
      <c r="B146" s="70" t="str">
        <f t="shared" si="30"/>
        <v/>
      </c>
      <c r="C146" s="204" t="str" cm="1">
        <f t="array" ref="C146">IF(D146="","",
    IF(AND(ISNUMBER(D146), D146=INT(D146)),
        $V$6 &amp; " " &amp; (IFERROR(MAX($Y$12:$Y145), 0) + 1),
        IF(ISNUMBER(SEARCH(".", D146)), "", INDEX($C$12:$C146, MATCH(2, 1/($C$12:$C146 &lt;&gt; ""))))
    )
)</f>
        <v/>
      </c>
      <c r="D146" s="206"/>
      <c r="E146" s="206" t="str">
        <f>IF(AA146 = "", "",
    IF(ISNUMBER(SEARCH("Kiện", C146)),
       " GÓI " &amp; COUNTIF($C$13:C146, "*Kiện*") &amp; "/" &amp; COUNTIF($C$13:$C$1000, "*Kiện*") &amp; " " &amp; AA146,
       AA146)
)</f>
        <v/>
      </c>
      <c r="F146" s="206"/>
      <c r="G146" s="206"/>
      <c r="H146" s="206"/>
      <c r="I146" s="206"/>
      <c r="J146" s="206" t="str">
        <f t="shared" si="32"/>
        <v/>
      </c>
      <c r="K146" s="206" t="str">
        <f t="shared" si="34"/>
        <v/>
      </c>
      <c r="L146" s="206" t="str">
        <f t="shared" si="35"/>
        <v/>
      </c>
      <c r="M146" s="206" t="str">
        <f t="shared" si="36"/>
        <v/>
      </c>
      <c r="N146" s="206" t="str">
        <f t="shared" si="37"/>
        <v/>
      </c>
      <c r="O146" s="206" t="str">
        <f t="shared" si="38"/>
        <v/>
      </c>
      <c r="P146" s="84" t="str">
        <f t="shared" si="39"/>
        <v/>
      </c>
      <c r="Q146" s="205"/>
      <c r="R146" s="70" t="str">
        <f>IF(S146="IN",'BOM_Phan II'!$Y$3,"")</f>
        <v/>
      </c>
      <c r="S146" s="69" t="str">
        <f t="shared" si="31"/>
        <v/>
      </c>
      <c r="T146">
        <f t="shared" si="40"/>
        <v>3</v>
      </c>
      <c r="U146" t="str">
        <f t="shared" si="41"/>
        <v>KIỆN 14</v>
      </c>
      <c r="V146" t="str">
        <f t="shared" si="42"/>
        <v/>
      </c>
      <c r="W146" s="266"/>
      <c r="X146" s="266"/>
      <c r="Y146" s="266" t="str">
        <f t="shared" si="33"/>
        <v/>
      </c>
      <c r="Z146" s="266"/>
    </row>
    <row r="147" spans="1:26" ht="27" hidden="1" customHeight="1">
      <c r="A147" s="70" t="str">
        <f t="shared" si="29"/>
        <v/>
      </c>
      <c r="B147" s="70" t="str">
        <f t="shared" si="30"/>
        <v/>
      </c>
      <c r="C147" s="204" t="str" cm="1">
        <f t="array" ref="C147">IF(D147="","",
    IF(AND(ISNUMBER(D147), D147=INT(D147)),
        $V$6 &amp; " " &amp; (IFERROR(MAX($Y$12:$Y146), 0) + 1),
        IF(ISNUMBER(SEARCH(".", D147)), "", INDEX($C$12:$C147, MATCH(2, 1/($C$12:$C147 &lt;&gt; ""))))
    )
)</f>
        <v/>
      </c>
      <c r="D147" s="206"/>
      <c r="E147" s="206" t="str">
        <f>IF(AA147 = "", "",
    IF(ISNUMBER(SEARCH("Kiện", C147)),
       " GÓI " &amp; COUNTIF($C$13:C147, "*Kiện*") &amp; "/" &amp; COUNTIF($C$13:$C$1000, "*Kiện*") &amp; " " &amp; AA147,
       AA147)
)</f>
        <v/>
      </c>
      <c r="F147" s="206"/>
      <c r="G147" s="206"/>
      <c r="H147" s="206"/>
      <c r="I147" s="206"/>
      <c r="J147" s="206" t="str">
        <f t="shared" si="32"/>
        <v/>
      </c>
      <c r="K147" s="206" t="str">
        <f t="shared" si="34"/>
        <v/>
      </c>
      <c r="L147" s="206" t="str">
        <f t="shared" si="35"/>
        <v/>
      </c>
      <c r="M147" s="206" t="str">
        <f t="shared" si="36"/>
        <v/>
      </c>
      <c r="N147" s="206" t="str">
        <f t="shared" si="37"/>
        <v/>
      </c>
      <c r="O147" s="206" t="str">
        <f t="shared" si="38"/>
        <v/>
      </c>
      <c r="P147" s="84" t="str">
        <f t="shared" si="39"/>
        <v/>
      </c>
      <c r="Q147" s="205"/>
      <c r="R147" s="70" t="str">
        <f>IF(S147="IN",'BOM_Phan II'!$Y$3,"")</f>
        <v/>
      </c>
      <c r="S147" s="69" t="str">
        <f t="shared" si="31"/>
        <v/>
      </c>
      <c r="T147">
        <f t="shared" si="40"/>
        <v>3</v>
      </c>
      <c r="U147" t="str">
        <f t="shared" si="41"/>
        <v>KIỆN 14</v>
      </c>
      <c r="V147" t="str">
        <f t="shared" si="42"/>
        <v/>
      </c>
      <c r="W147" s="266"/>
      <c r="X147" s="266"/>
      <c r="Y147" s="266" t="str">
        <f t="shared" si="33"/>
        <v/>
      </c>
      <c r="Z147" s="266"/>
    </row>
    <row r="148" spans="1:26" ht="27" hidden="1" customHeight="1">
      <c r="A148" s="70" t="str">
        <f t="shared" si="29"/>
        <v/>
      </c>
      <c r="B148" s="70" t="str">
        <f t="shared" si="30"/>
        <v/>
      </c>
      <c r="C148" s="204" t="str" cm="1">
        <f t="array" ref="C148">IF(D148="","",
    IF(AND(ISNUMBER(D148), D148=INT(D148)),
        $V$6 &amp; " " &amp; (IFERROR(MAX($Y$12:$Y147), 0) + 1),
        IF(ISNUMBER(SEARCH(".", D148)), "", INDEX($C$12:$C148, MATCH(2, 1/($C$12:$C148 &lt;&gt; ""))))
    )
)</f>
        <v/>
      </c>
      <c r="D148" s="206"/>
      <c r="E148" s="206" t="str">
        <f>IF(AA148 = "", "",
    IF(ISNUMBER(SEARCH("Kiện", C148)),
       " GÓI " &amp; COUNTIF($C$13:C148, "*Kiện*") &amp; "/" &amp; COUNTIF($C$13:$C$1000, "*Kiện*") &amp; " " &amp; AA148,
       AA148)
)</f>
        <v/>
      </c>
      <c r="F148" s="206"/>
      <c r="G148" s="206"/>
      <c r="H148" s="206"/>
      <c r="I148" s="206"/>
      <c r="J148" s="206" t="str">
        <f t="shared" si="32"/>
        <v/>
      </c>
      <c r="K148" s="206" t="str">
        <f t="shared" si="34"/>
        <v/>
      </c>
      <c r="L148" s="206" t="str">
        <f t="shared" si="35"/>
        <v/>
      </c>
      <c r="M148" s="206" t="str">
        <f t="shared" si="36"/>
        <v/>
      </c>
      <c r="N148" s="206" t="str">
        <f t="shared" si="37"/>
        <v/>
      </c>
      <c r="O148" s="206" t="str">
        <f t="shared" si="38"/>
        <v/>
      </c>
      <c r="P148" s="84" t="str">
        <f t="shared" si="39"/>
        <v/>
      </c>
      <c r="Q148" s="205"/>
      <c r="R148" s="70" t="str">
        <f>IF(S148="IN",'BOM_Phan II'!$Y$3,"")</f>
        <v/>
      </c>
      <c r="S148" s="69" t="str">
        <f t="shared" si="31"/>
        <v/>
      </c>
      <c r="T148">
        <f t="shared" si="40"/>
        <v>3</v>
      </c>
      <c r="U148" t="str">
        <f t="shared" si="41"/>
        <v>KIỆN 14</v>
      </c>
      <c r="V148" t="str">
        <f t="shared" si="42"/>
        <v/>
      </c>
      <c r="W148" s="266"/>
      <c r="X148" s="266"/>
      <c r="Y148" s="266" t="str">
        <f t="shared" si="33"/>
        <v/>
      </c>
      <c r="Z148" s="266"/>
    </row>
    <row r="149" spans="1:26" ht="27" hidden="1" customHeight="1">
      <c r="A149" s="70" t="str">
        <f t="shared" si="29"/>
        <v/>
      </c>
      <c r="B149" s="70" t="str">
        <f t="shared" si="30"/>
        <v/>
      </c>
      <c r="C149" s="204" t="str" cm="1">
        <f t="array" ref="C149">IF(D149="","",
    IF(AND(ISNUMBER(D149), D149=INT(D149)),
        $V$6 &amp; " " &amp; (IFERROR(MAX($Y$12:$Y148), 0) + 1),
        IF(ISNUMBER(SEARCH(".", D149)), "", INDEX($C$12:$C149, MATCH(2, 1/($C$12:$C149 &lt;&gt; ""))))
    )
)</f>
        <v/>
      </c>
      <c r="D149" s="206"/>
      <c r="E149" s="206" t="str">
        <f>IF(AA149 = "", "",
    IF(ISNUMBER(SEARCH("Kiện", C149)),
       " GÓI " &amp; COUNTIF($C$13:C149, "*Kiện*") &amp; "/" &amp; COUNTIF($C$13:$C$1000, "*Kiện*") &amp; " " &amp; AA149,
       AA149)
)</f>
        <v/>
      </c>
      <c r="F149" s="206"/>
      <c r="G149" s="206"/>
      <c r="H149" s="206"/>
      <c r="I149" s="206"/>
      <c r="J149" s="206" t="str">
        <f t="shared" si="32"/>
        <v/>
      </c>
      <c r="K149" s="206" t="str">
        <f t="shared" si="34"/>
        <v/>
      </c>
      <c r="L149" s="206" t="str">
        <f t="shared" si="35"/>
        <v/>
      </c>
      <c r="M149" s="206" t="str">
        <f t="shared" si="36"/>
        <v/>
      </c>
      <c r="N149" s="206" t="str">
        <f t="shared" si="37"/>
        <v/>
      </c>
      <c r="O149" s="206" t="str">
        <f t="shared" si="38"/>
        <v/>
      </c>
      <c r="P149" s="84" t="str">
        <f t="shared" si="39"/>
        <v/>
      </c>
      <c r="Q149" s="205"/>
      <c r="R149" s="70" t="str">
        <f>IF(S149="IN",'BOM_Phan II'!$Y$3,"")</f>
        <v/>
      </c>
      <c r="S149" s="69" t="str">
        <f t="shared" si="31"/>
        <v/>
      </c>
      <c r="T149">
        <f t="shared" si="40"/>
        <v>3</v>
      </c>
      <c r="U149" t="str">
        <f t="shared" si="41"/>
        <v>KIỆN 14</v>
      </c>
      <c r="V149" t="str">
        <f t="shared" si="42"/>
        <v/>
      </c>
      <c r="W149" s="266"/>
      <c r="X149" s="266"/>
      <c r="Y149" s="266" t="str">
        <f t="shared" si="33"/>
        <v/>
      </c>
      <c r="Z149" s="266"/>
    </row>
    <row r="150" spans="1:26" ht="27" hidden="1" customHeight="1">
      <c r="A150" s="70" t="str">
        <f t="shared" si="29"/>
        <v/>
      </c>
      <c r="B150" s="70" t="str">
        <f t="shared" si="30"/>
        <v/>
      </c>
      <c r="C150" s="204" t="str" cm="1">
        <f t="array" ref="C150">IF(D150="","",
    IF(AND(ISNUMBER(D150), D150=INT(D150)),
        $V$6 &amp; " " &amp; (IFERROR(MAX($Y$12:$Y149), 0) + 1),
        IF(ISNUMBER(SEARCH(".", D150)), "", INDEX($C$12:$C150, MATCH(2, 1/($C$12:$C150 &lt;&gt; ""))))
    )
)</f>
        <v/>
      </c>
      <c r="D150" s="206"/>
      <c r="E150" s="206" t="str">
        <f>IF(AA150 = "", "",
    IF(ISNUMBER(SEARCH("Kiện", C150)),
       " GÓI " &amp; COUNTIF($C$13:C150, "*Kiện*") &amp; "/" &amp; COUNTIF($C$13:$C$1000, "*Kiện*") &amp; " " &amp; AA150,
       AA150)
)</f>
        <v/>
      </c>
      <c r="F150" s="206"/>
      <c r="G150" s="206"/>
      <c r="H150" s="206"/>
      <c r="I150" s="206"/>
      <c r="J150" s="206" t="str">
        <f t="shared" si="32"/>
        <v/>
      </c>
      <c r="K150" s="206" t="str">
        <f t="shared" si="34"/>
        <v/>
      </c>
      <c r="L150" s="206" t="str">
        <f t="shared" si="35"/>
        <v/>
      </c>
      <c r="M150" s="206" t="str">
        <f t="shared" si="36"/>
        <v/>
      </c>
      <c r="N150" s="206" t="str">
        <f t="shared" si="37"/>
        <v/>
      </c>
      <c r="O150" s="206" t="str">
        <f t="shared" si="38"/>
        <v/>
      </c>
      <c r="P150" s="84" t="str">
        <f t="shared" si="39"/>
        <v/>
      </c>
      <c r="Q150" s="205"/>
      <c r="R150" s="70" t="str">
        <f>IF(S150="IN",'BOM_Phan II'!$Y$3,"")</f>
        <v/>
      </c>
      <c r="S150" s="69" t="str">
        <f t="shared" si="31"/>
        <v/>
      </c>
      <c r="T150">
        <f t="shared" si="40"/>
        <v>3</v>
      </c>
      <c r="U150" t="str">
        <f t="shared" si="41"/>
        <v>KIỆN 14</v>
      </c>
      <c r="V150" t="str">
        <f t="shared" si="42"/>
        <v/>
      </c>
      <c r="W150" s="266"/>
      <c r="X150" s="266"/>
      <c r="Y150" s="266" t="str">
        <f t="shared" si="33"/>
        <v/>
      </c>
      <c r="Z150" s="266"/>
    </row>
    <row r="151" spans="1:26" ht="27" hidden="1" customHeight="1">
      <c r="A151" s="70" t="str">
        <f t="shared" si="29"/>
        <v/>
      </c>
      <c r="B151" s="70" t="str">
        <f t="shared" si="30"/>
        <v/>
      </c>
      <c r="C151" s="204" t="str" cm="1">
        <f t="array" ref="C151">IF(D151="","",
    IF(AND(ISNUMBER(D151), D151=INT(D151)),
        $V$6 &amp; " " &amp; (IFERROR(MAX($Y$12:$Y150), 0) + 1),
        IF(ISNUMBER(SEARCH(".", D151)), "", INDEX($C$12:$C151, MATCH(2, 1/($C$12:$C151 &lt;&gt; ""))))
    )
)</f>
        <v/>
      </c>
      <c r="D151" s="206"/>
      <c r="E151" s="206" t="str">
        <f>IF(AA151 = "", "",
    IF(ISNUMBER(SEARCH("Kiện", C151)),
       " GÓI " &amp; COUNTIF($C$13:C151, "*Kiện*") &amp; "/" &amp; COUNTIF($C$13:$C$1000, "*Kiện*") &amp; " " &amp; AA151,
       AA151)
)</f>
        <v/>
      </c>
      <c r="F151" s="206"/>
      <c r="G151" s="206"/>
      <c r="H151" s="206"/>
      <c r="I151" s="206"/>
      <c r="J151" s="206" t="str">
        <f t="shared" si="32"/>
        <v/>
      </c>
      <c r="K151" s="206" t="str">
        <f t="shared" si="34"/>
        <v/>
      </c>
      <c r="L151" s="206" t="str">
        <f t="shared" si="35"/>
        <v/>
      </c>
      <c r="M151" s="206" t="str">
        <f t="shared" si="36"/>
        <v/>
      </c>
      <c r="N151" s="206" t="str">
        <f t="shared" si="37"/>
        <v/>
      </c>
      <c r="O151" s="206" t="str">
        <f t="shared" si="38"/>
        <v/>
      </c>
      <c r="P151" s="84" t="str">
        <f t="shared" si="39"/>
        <v/>
      </c>
      <c r="Q151" s="205"/>
      <c r="R151" s="70" t="str">
        <f>IF(S151="IN",'BOM_Phan II'!$Y$3,"")</f>
        <v/>
      </c>
      <c r="S151" s="69" t="str">
        <f t="shared" si="31"/>
        <v/>
      </c>
      <c r="T151">
        <f t="shared" si="40"/>
        <v>3</v>
      </c>
      <c r="U151" t="str">
        <f t="shared" si="41"/>
        <v>KIỆN 14</v>
      </c>
      <c r="V151" t="str">
        <f t="shared" si="42"/>
        <v/>
      </c>
      <c r="W151" s="266"/>
      <c r="X151" s="266"/>
      <c r="Y151" s="266" t="str">
        <f t="shared" si="33"/>
        <v/>
      </c>
      <c r="Z151" s="266"/>
    </row>
    <row r="152" spans="1:26" ht="27" hidden="1" customHeight="1">
      <c r="A152" s="70" t="str">
        <f t="shared" si="29"/>
        <v/>
      </c>
      <c r="B152" s="70" t="str">
        <f t="shared" si="30"/>
        <v/>
      </c>
      <c r="C152" s="204" t="str" cm="1">
        <f t="array" ref="C152">IF(D152="","",
    IF(AND(ISNUMBER(D152), D152=INT(D152)),
        $V$6 &amp; " " &amp; (IFERROR(MAX($Y$12:$Y151), 0) + 1),
        IF(ISNUMBER(SEARCH(".", D152)), "", INDEX($C$12:$C152, MATCH(2, 1/($C$12:$C152 &lt;&gt; ""))))
    )
)</f>
        <v/>
      </c>
      <c r="D152" s="206"/>
      <c r="E152" s="206" t="str">
        <f>IF(AA152 = "", "",
    IF(ISNUMBER(SEARCH("Kiện", C152)),
       " GÓI " &amp; COUNTIF($C$13:C152, "*Kiện*") &amp; "/" &amp; COUNTIF($C$13:$C$1000, "*Kiện*") &amp; " " &amp; AA152,
       AA152)
)</f>
        <v/>
      </c>
      <c r="F152" s="206"/>
      <c r="G152" s="206"/>
      <c r="H152" s="206"/>
      <c r="I152" s="206"/>
      <c r="J152" s="206" t="str">
        <f t="shared" si="32"/>
        <v/>
      </c>
      <c r="K152" s="206" t="str">
        <f t="shared" si="34"/>
        <v/>
      </c>
      <c r="L152" s="206" t="str">
        <f t="shared" si="35"/>
        <v/>
      </c>
      <c r="M152" s="206" t="str">
        <f t="shared" si="36"/>
        <v/>
      </c>
      <c r="N152" s="206" t="str">
        <f t="shared" si="37"/>
        <v/>
      </c>
      <c r="O152" s="206" t="str">
        <f t="shared" si="38"/>
        <v/>
      </c>
      <c r="P152" s="84" t="str">
        <f t="shared" si="39"/>
        <v/>
      </c>
      <c r="Q152" s="205"/>
      <c r="R152" s="70" t="str">
        <f>IF(S152="IN",'BOM_Phan II'!$Y$3,"")</f>
        <v/>
      </c>
      <c r="S152" s="69" t="str">
        <f t="shared" si="31"/>
        <v/>
      </c>
      <c r="T152">
        <f t="shared" si="40"/>
        <v>3</v>
      </c>
      <c r="U152" t="str">
        <f t="shared" si="41"/>
        <v>KIỆN 14</v>
      </c>
      <c r="V152" t="str">
        <f t="shared" si="42"/>
        <v/>
      </c>
      <c r="W152" s="266"/>
      <c r="X152" s="266"/>
      <c r="Y152" s="266" t="str">
        <f t="shared" si="33"/>
        <v/>
      </c>
      <c r="Z152" s="266"/>
    </row>
    <row r="153" spans="1:26" ht="27" hidden="1" customHeight="1">
      <c r="A153" s="70" t="str">
        <f t="shared" si="29"/>
        <v/>
      </c>
      <c r="B153" s="70" t="str">
        <f t="shared" si="30"/>
        <v/>
      </c>
      <c r="C153" s="204" t="str" cm="1">
        <f t="array" ref="C153">IF(D153="","",
    IF(AND(ISNUMBER(D153), D153=INT(D153)),
        $V$6 &amp; " " &amp; (IFERROR(MAX($Y$12:$Y152), 0) + 1),
        IF(ISNUMBER(SEARCH(".", D153)), "", INDEX($C$12:$C153, MATCH(2, 1/($C$12:$C153 &lt;&gt; ""))))
    )
)</f>
        <v/>
      </c>
      <c r="D153" s="206"/>
      <c r="E153" s="206" t="str">
        <f>IF(AA153 = "", "",
    IF(ISNUMBER(SEARCH("Kiện", C153)),
       " GÓI " &amp; COUNTIF($C$13:C153, "*Kiện*") &amp; "/" &amp; COUNTIF($C$13:$C$1000, "*Kiện*") &amp; " " &amp; AA153,
       AA153)
)</f>
        <v/>
      </c>
      <c r="F153" s="206"/>
      <c r="G153" s="206"/>
      <c r="H153" s="206"/>
      <c r="I153" s="206"/>
      <c r="J153" s="206" t="str">
        <f t="shared" si="32"/>
        <v/>
      </c>
      <c r="K153" s="206" t="str">
        <f t="shared" si="34"/>
        <v/>
      </c>
      <c r="L153" s="206" t="str">
        <f t="shared" si="35"/>
        <v/>
      </c>
      <c r="M153" s="206" t="str">
        <f t="shared" si="36"/>
        <v/>
      </c>
      <c r="N153" s="206" t="str">
        <f t="shared" si="37"/>
        <v/>
      </c>
      <c r="O153" s="206" t="str">
        <f t="shared" si="38"/>
        <v/>
      </c>
      <c r="P153" s="84" t="str">
        <f t="shared" si="39"/>
        <v/>
      </c>
      <c r="Q153" s="205"/>
      <c r="R153" s="70" t="str">
        <f>IF(S153="IN",'BOM_Phan II'!$Y$3,"")</f>
        <v/>
      </c>
      <c r="S153" s="69" t="str">
        <f t="shared" si="31"/>
        <v/>
      </c>
      <c r="T153">
        <f t="shared" si="40"/>
        <v>3</v>
      </c>
      <c r="U153" t="str">
        <f t="shared" si="41"/>
        <v>KIỆN 14</v>
      </c>
      <c r="V153" t="str">
        <f t="shared" si="42"/>
        <v/>
      </c>
      <c r="W153" s="266"/>
      <c r="X153" s="266"/>
      <c r="Y153" s="266" t="str">
        <f t="shared" si="33"/>
        <v/>
      </c>
      <c r="Z153" s="266"/>
    </row>
    <row r="154" spans="1:26" ht="27" hidden="1" customHeight="1">
      <c r="A154" s="70" t="str">
        <f t="shared" si="29"/>
        <v/>
      </c>
      <c r="B154" s="70" t="str">
        <f t="shared" si="30"/>
        <v/>
      </c>
      <c r="C154" s="204" t="str" cm="1">
        <f t="array" ref="C154">IF(D154="","",
    IF(AND(ISNUMBER(D154), D154=INT(D154)),
        $V$6 &amp; " " &amp; (IFERROR(MAX($Y$12:$Y153), 0) + 1),
        IF(ISNUMBER(SEARCH(".", D154)), "", INDEX($C$12:$C154, MATCH(2, 1/($C$12:$C154 &lt;&gt; ""))))
    )
)</f>
        <v/>
      </c>
      <c r="D154" s="206"/>
      <c r="E154" s="206" t="str">
        <f>IF(AA154 = "", "",
    IF(ISNUMBER(SEARCH("Kiện", C154)),
       " GÓI " &amp; COUNTIF($C$13:C154, "*Kiện*") &amp; "/" &amp; COUNTIF($C$13:$C$1000, "*Kiện*") &amp; " " &amp; AA154,
       AA154)
)</f>
        <v/>
      </c>
      <c r="F154" s="206"/>
      <c r="G154" s="206"/>
      <c r="H154" s="206"/>
      <c r="I154" s="206"/>
      <c r="J154" s="206" t="str">
        <f t="shared" si="32"/>
        <v/>
      </c>
      <c r="K154" s="206" t="str">
        <f t="shared" si="34"/>
        <v/>
      </c>
      <c r="L154" s="206" t="str">
        <f t="shared" si="35"/>
        <v/>
      </c>
      <c r="M154" s="206" t="str">
        <f t="shared" si="36"/>
        <v/>
      </c>
      <c r="N154" s="206" t="str">
        <f t="shared" si="37"/>
        <v/>
      </c>
      <c r="O154" s="206" t="str">
        <f t="shared" si="38"/>
        <v/>
      </c>
      <c r="P154" s="84" t="str">
        <f t="shared" si="39"/>
        <v/>
      </c>
      <c r="Q154" s="205"/>
      <c r="R154" s="70" t="str">
        <f>IF(S154="IN",'BOM_Phan II'!$Y$3,"")</f>
        <v/>
      </c>
      <c r="S154" s="69" t="str">
        <f t="shared" si="31"/>
        <v/>
      </c>
      <c r="T154">
        <f t="shared" si="40"/>
        <v>3</v>
      </c>
      <c r="U154" t="str">
        <f t="shared" si="41"/>
        <v>KIỆN 14</v>
      </c>
      <c r="V154" t="str">
        <f t="shared" si="42"/>
        <v/>
      </c>
      <c r="W154" s="266"/>
      <c r="X154" s="266"/>
      <c r="Y154" s="266" t="str">
        <f t="shared" si="33"/>
        <v/>
      </c>
      <c r="Z154" s="266"/>
    </row>
    <row r="155" spans="1:26" ht="27" hidden="1" customHeight="1">
      <c r="A155" s="70" t="str">
        <f t="shared" si="29"/>
        <v/>
      </c>
      <c r="B155" s="70" t="str">
        <f t="shared" si="30"/>
        <v/>
      </c>
      <c r="C155" s="204" t="str" cm="1">
        <f t="array" ref="C155">IF(D155="","",
    IF(AND(ISNUMBER(D155), D155=INT(D155)),
        $V$6 &amp; " " &amp; (IFERROR(MAX($Y$12:$Y154), 0) + 1),
        IF(ISNUMBER(SEARCH(".", D155)), "", INDEX($C$12:$C155, MATCH(2, 1/($C$12:$C155 &lt;&gt; ""))))
    )
)</f>
        <v/>
      </c>
      <c r="D155" s="206"/>
      <c r="E155" s="206" t="str">
        <f>IF(AA155 = "", "",
    IF(ISNUMBER(SEARCH("Kiện", C155)),
       " GÓI " &amp; COUNTIF($C$13:C155, "*Kiện*") &amp; "/" &amp; COUNTIF($C$13:$C$1000, "*Kiện*") &amp; " " &amp; AA155,
       AA155)
)</f>
        <v/>
      </c>
      <c r="F155" s="206"/>
      <c r="G155" s="206"/>
      <c r="H155" s="206"/>
      <c r="I155" s="206"/>
      <c r="J155" s="206" t="str">
        <f t="shared" si="32"/>
        <v/>
      </c>
      <c r="K155" s="206" t="str">
        <f t="shared" si="34"/>
        <v/>
      </c>
      <c r="L155" s="206" t="str">
        <f t="shared" si="35"/>
        <v/>
      </c>
      <c r="M155" s="206" t="str">
        <f t="shared" si="36"/>
        <v/>
      </c>
      <c r="N155" s="206" t="str">
        <f t="shared" si="37"/>
        <v/>
      </c>
      <c r="O155" s="206" t="str">
        <f t="shared" si="38"/>
        <v/>
      </c>
      <c r="P155" s="84" t="str">
        <f t="shared" si="39"/>
        <v/>
      </c>
      <c r="Q155" s="205"/>
      <c r="R155" s="70" t="str">
        <f>IF(S155="IN",'BOM_Phan II'!$Y$3,"")</f>
        <v/>
      </c>
      <c r="S155" s="69" t="str">
        <f t="shared" si="31"/>
        <v/>
      </c>
      <c r="T155">
        <f t="shared" si="40"/>
        <v>3</v>
      </c>
      <c r="U155" t="str">
        <f t="shared" si="41"/>
        <v>KIỆN 14</v>
      </c>
      <c r="V155" t="str">
        <f t="shared" si="42"/>
        <v/>
      </c>
      <c r="W155" s="266"/>
      <c r="X155" s="266"/>
      <c r="Y155" s="266" t="str">
        <f t="shared" si="33"/>
        <v/>
      </c>
      <c r="Z155" s="266"/>
    </row>
    <row r="156" spans="1:26" ht="27" hidden="1" customHeight="1">
      <c r="A156" s="70" t="str">
        <f t="shared" si="29"/>
        <v/>
      </c>
      <c r="B156" s="70" t="str">
        <f t="shared" si="30"/>
        <v/>
      </c>
      <c r="C156" s="204" t="str" cm="1">
        <f t="array" ref="C156">IF(D156="","",
    IF(AND(ISNUMBER(D156), D156=INT(D156)),
        $V$6 &amp; " " &amp; (IFERROR(MAX($Y$12:$Y155), 0) + 1),
        IF(ISNUMBER(SEARCH(".", D156)), "", INDEX($C$12:$C156, MATCH(2, 1/($C$12:$C156 &lt;&gt; ""))))
    )
)</f>
        <v/>
      </c>
      <c r="D156" s="206"/>
      <c r="E156" s="206" t="str">
        <f>IF(AA156 = "", "",
    IF(ISNUMBER(SEARCH("Kiện", C156)),
       " GÓI " &amp; COUNTIF($C$13:C156, "*Kiện*") &amp; "/" &amp; COUNTIF($C$13:$C$1000, "*Kiện*") &amp; " " &amp; AA156,
       AA156)
)</f>
        <v/>
      </c>
      <c r="F156" s="206"/>
      <c r="G156" s="206"/>
      <c r="H156" s="206"/>
      <c r="I156" s="206"/>
      <c r="J156" s="206" t="str">
        <f t="shared" si="32"/>
        <v/>
      </c>
      <c r="K156" s="206" t="str">
        <f t="shared" si="34"/>
        <v/>
      </c>
      <c r="L156" s="206" t="str">
        <f t="shared" si="35"/>
        <v/>
      </c>
      <c r="M156" s="206" t="str">
        <f t="shared" si="36"/>
        <v/>
      </c>
      <c r="N156" s="206" t="str">
        <f t="shared" si="37"/>
        <v/>
      </c>
      <c r="O156" s="206" t="str">
        <f t="shared" si="38"/>
        <v/>
      </c>
      <c r="P156" s="84" t="str">
        <f t="shared" si="39"/>
        <v/>
      </c>
      <c r="Q156" s="205"/>
      <c r="R156" s="70" t="str">
        <f>IF(S156="IN",'BOM_Phan II'!$Y$3,"")</f>
        <v/>
      </c>
      <c r="S156" s="69" t="str">
        <f t="shared" si="31"/>
        <v/>
      </c>
      <c r="T156">
        <f t="shared" si="40"/>
        <v>3</v>
      </c>
      <c r="U156" t="str">
        <f t="shared" si="41"/>
        <v>KIỆN 14</v>
      </c>
      <c r="V156" t="str">
        <f t="shared" si="42"/>
        <v/>
      </c>
      <c r="W156" s="266"/>
      <c r="X156" s="266"/>
      <c r="Y156" s="266" t="str">
        <f t="shared" si="33"/>
        <v/>
      </c>
      <c r="Z156" s="266"/>
    </row>
    <row r="157" spans="1:26" ht="27" hidden="1" customHeight="1">
      <c r="A157" s="70" t="str">
        <f t="shared" si="29"/>
        <v/>
      </c>
      <c r="B157" s="70" t="str">
        <f t="shared" si="30"/>
        <v/>
      </c>
      <c r="C157" s="204" t="str" cm="1">
        <f t="array" ref="C157">IF(D157="","",
    IF(AND(ISNUMBER(D157), D157=INT(D157)),
        $V$6 &amp; " " &amp; (IFERROR(MAX($Y$12:$Y156), 0) + 1),
        IF(ISNUMBER(SEARCH(".", D157)), "", INDEX($C$12:$C157, MATCH(2, 1/($C$12:$C157 &lt;&gt; ""))))
    )
)</f>
        <v/>
      </c>
      <c r="D157" s="206"/>
      <c r="E157" s="206" t="str">
        <f>IF(AA157 = "", "",
    IF(ISNUMBER(SEARCH("Kiện", C157)),
       " GÓI " &amp; COUNTIF($C$13:C157, "*Kiện*") &amp; "/" &amp; COUNTIF($C$13:$C$1000, "*Kiện*") &amp; " " &amp; AA157,
       AA157)
)</f>
        <v/>
      </c>
      <c r="F157" s="206"/>
      <c r="G157" s="206"/>
      <c r="H157" s="206"/>
      <c r="I157" s="206"/>
      <c r="J157" s="206" t="str">
        <f t="shared" si="32"/>
        <v/>
      </c>
      <c r="K157" s="206" t="str">
        <f t="shared" si="34"/>
        <v/>
      </c>
      <c r="L157" s="206" t="str">
        <f t="shared" si="35"/>
        <v/>
      </c>
      <c r="M157" s="206" t="str">
        <f t="shared" si="36"/>
        <v/>
      </c>
      <c r="N157" s="206" t="str">
        <f t="shared" si="37"/>
        <v/>
      </c>
      <c r="O157" s="206" t="str">
        <f t="shared" si="38"/>
        <v/>
      </c>
      <c r="P157" s="84" t="str">
        <f t="shared" si="39"/>
        <v/>
      </c>
      <c r="Q157" s="205"/>
      <c r="R157" s="70" t="str">
        <f>IF(S157="IN",'BOM_Phan II'!$Y$3,"")</f>
        <v/>
      </c>
      <c r="S157" s="69" t="str">
        <f t="shared" si="31"/>
        <v/>
      </c>
      <c r="T157">
        <f t="shared" si="40"/>
        <v>3</v>
      </c>
      <c r="U157" t="str">
        <f t="shared" si="41"/>
        <v>KIỆN 14</v>
      </c>
      <c r="V157" t="str">
        <f t="shared" si="42"/>
        <v/>
      </c>
      <c r="W157" s="266"/>
      <c r="X157" s="266"/>
      <c r="Y157" s="266" t="str">
        <f t="shared" si="33"/>
        <v/>
      </c>
      <c r="Z157" s="266"/>
    </row>
    <row r="158" spans="1:26" ht="27" hidden="1" customHeight="1">
      <c r="A158" s="70" t="str">
        <f t="shared" si="29"/>
        <v/>
      </c>
      <c r="B158" s="70" t="str">
        <f t="shared" si="30"/>
        <v/>
      </c>
      <c r="C158" s="204" t="str" cm="1">
        <f t="array" ref="C158">IF(D158="","",
    IF(AND(ISNUMBER(D158), D158=INT(D158)),
        $V$6 &amp; " " &amp; (IFERROR(MAX($Y$12:$Y157), 0) + 1),
        IF(ISNUMBER(SEARCH(".", D158)), "", INDEX($C$12:$C158, MATCH(2, 1/($C$12:$C158 &lt;&gt; ""))))
    )
)</f>
        <v/>
      </c>
      <c r="D158" s="206"/>
      <c r="E158" s="206" t="str">
        <f>IF(AA158 = "", "",
    IF(ISNUMBER(SEARCH("Kiện", C158)),
       " GÓI " &amp; COUNTIF($C$13:C158, "*Kiện*") &amp; "/" &amp; COUNTIF($C$13:$C$1000, "*Kiện*") &amp; " " &amp; AA158,
       AA158)
)</f>
        <v/>
      </c>
      <c r="F158" s="206"/>
      <c r="G158" s="206"/>
      <c r="H158" s="206"/>
      <c r="I158" s="206"/>
      <c r="J158" s="206" t="str">
        <f t="shared" si="32"/>
        <v/>
      </c>
      <c r="K158" s="206" t="str">
        <f t="shared" si="34"/>
        <v/>
      </c>
      <c r="L158" s="206" t="str">
        <f t="shared" si="35"/>
        <v/>
      </c>
      <c r="M158" s="206" t="str">
        <f t="shared" si="36"/>
        <v/>
      </c>
      <c r="N158" s="206" t="str">
        <f t="shared" si="37"/>
        <v/>
      </c>
      <c r="O158" s="206" t="str">
        <f t="shared" si="38"/>
        <v/>
      </c>
      <c r="P158" s="84" t="str">
        <f t="shared" si="39"/>
        <v/>
      </c>
      <c r="Q158" s="205"/>
      <c r="R158" s="70" t="str">
        <f>IF(S158="IN",'BOM_Phan II'!$Y$3,"")</f>
        <v/>
      </c>
      <c r="S158" s="69" t="str">
        <f t="shared" si="31"/>
        <v/>
      </c>
      <c r="T158">
        <f t="shared" si="40"/>
        <v>3</v>
      </c>
      <c r="U158" t="str">
        <f t="shared" si="41"/>
        <v>KIỆN 14</v>
      </c>
      <c r="V158" t="str">
        <f t="shared" si="42"/>
        <v/>
      </c>
      <c r="W158" s="266"/>
      <c r="X158" s="266"/>
      <c r="Y158" s="266" t="str">
        <f t="shared" si="33"/>
        <v/>
      </c>
      <c r="Z158" s="266"/>
    </row>
    <row r="159" spans="1:26" ht="27" hidden="1" customHeight="1">
      <c r="A159" s="70" t="str">
        <f t="shared" si="29"/>
        <v/>
      </c>
      <c r="B159" s="70" t="str">
        <f t="shared" si="30"/>
        <v/>
      </c>
      <c r="C159" s="204" t="str" cm="1">
        <f t="array" ref="C159">IF(D159="","",
    IF(AND(ISNUMBER(D159), D159=INT(D159)),
        $V$6 &amp; " " &amp; (IFERROR(MAX($Y$12:$Y158), 0) + 1),
        IF(ISNUMBER(SEARCH(".", D159)), "", INDEX($C$12:$C159, MATCH(2, 1/($C$12:$C159 &lt;&gt; ""))))
    )
)</f>
        <v/>
      </c>
      <c r="D159" s="206"/>
      <c r="E159" s="206" t="str">
        <f>IF(AA159 = "", "",
    IF(ISNUMBER(SEARCH("Kiện", C159)),
       " GÓI " &amp; COUNTIF($C$13:C159, "*Kiện*") &amp; "/" &amp; COUNTIF($C$13:$C$1000, "*Kiện*") &amp; " " &amp; AA159,
       AA159)
)</f>
        <v/>
      </c>
      <c r="F159" s="206"/>
      <c r="G159" s="206"/>
      <c r="H159" s="206"/>
      <c r="I159" s="206"/>
      <c r="J159" s="206" t="str">
        <f t="shared" si="32"/>
        <v/>
      </c>
      <c r="K159" s="206" t="str">
        <f t="shared" si="34"/>
        <v/>
      </c>
      <c r="L159" s="206" t="str">
        <f t="shared" si="35"/>
        <v/>
      </c>
      <c r="M159" s="206" t="str">
        <f t="shared" si="36"/>
        <v/>
      </c>
      <c r="N159" s="206" t="str">
        <f t="shared" si="37"/>
        <v/>
      </c>
      <c r="O159" s="206" t="str">
        <f t="shared" si="38"/>
        <v/>
      </c>
      <c r="P159" s="84" t="str">
        <f t="shared" si="39"/>
        <v/>
      </c>
      <c r="Q159" s="205"/>
      <c r="R159" s="70" t="str">
        <f>IF(S159="IN",'BOM_Phan II'!$Y$3,"")</f>
        <v/>
      </c>
      <c r="S159" s="69" t="str">
        <f t="shared" si="31"/>
        <v/>
      </c>
      <c r="T159">
        <f t="shared" si="40"/>
        <v>3</v>
      </c>
      <c r="U159" t="str">
        <f t="shared" si="41"/>
        <v>KIỆN 14</v>
      </c>
      <c r="V159" t="str">
        <f t="shared" si="42"/>
        <v/>
      </c>
      <c r="W159" s="266"/>
      <c r="X159" s="266"/>
      <c r="Y159" s="266" t="str">
        <f t="shared" si="33"/>
        <v/>
      </c>
      <c r="Z159" s="266"/>
    </row>
    <row r="160" spans="1:26" ht="27" hidden="1" customHeight="1">
      <c r="A160" s="70" t="str">
        <f t="shared" si="29"/>
        <v/>
      </c>
      <c r="B160" s="70" t="str">
        <f t="shared" si="30"/>
        <v/>
      </c>
      <c r="C160" s="204" t="str" cm="1">
        <f t="array" ref="C160">IF(D160="","",
    IF(AND(ISNUMBER(D160), D160=INT(D160)),
        $V$6 &amp; " " &amp; (IFERROR(MAX($Y$12:$Y159), 0) + 1),
        IF(ISNUMBER(SEARCH(".", D160)), "", INDEX($C$12:$C160, MATCH(2, 1/($C$12:$C160 &lt;&gt; ""))))
    )
)</f>
        <v/>
      </c>
      <c r="D160" s="206"/>
      <c r="E160" s="206" t="str">
        <f>IF(AA160 = "", "",
    IF(ISNUMBER(SEARCH("Kiện", C160)),
       " GÓI " &amp; COUNTIF($C$13:C160, "*Kiện*") &amp; "/" &amp; COUNTIF($C$13:$C$1000, "*Kiện*") &amp; " " &amp; AA160,
       AA160)
)</f>
        <v/>
      </c>
      <c r="F160" s="206"/>
      <c r="G160" s="206"/>
      <c r="H160" s="206"/>
      <c r="I160" s="206"/>
      <c r="J160" s="206" t="str">
        <f t="shared" si="32"/>
        <v/>
      </c>
      <c r="K160" s="206" t="str">
        <f t="shared" si="34"/>
        <v/>
      </c>
      <c r="L160" s="206" t="str">
        <f t="shared" si="35"/>
        <v/>
      </c>
      <c r="M160" s="206" t="str">
        <f t="shared" si="36"/>
        <v/>
      </c>
      <c r="N160" s="206" t="str">
        <f t="shared" si="37"/>
        <v/>
      </c>
      <c r="O160" s="206" t="str">
        <f t="shared" si="38"/>
        <v/>
      </c>
      <c r="P160" s="84" t="str">
        <f t="shared" si="39"/>
        <v/>
      </c>
      <c r="Q160" s="205"/>
      <c r="R160" s="70" t="str">
        <f>IF(S160="IN",'BOM_Phan II'!$Y$3,"")</f>
        <v/>
      </c>
      <c r="S160" s="69" t="str">
        <f t="shared" si="31"/>
        <v/>
      </c>
      <c r="T160">
        <f t="shared" si="40"/>
        <v>3</v>
      </c>
      <c r="U160" t="str">
        <f t="shared" si="41"/>
        <v>KIỆN 14</v>
      </c>
      <c r="V160" t="str">
        <f t="shared" si="42"/>
        <v/>
      </c>
      <c r="W160" s="266"/>
      <c r="X160" s="266"/>
      <c r="Y160" s="266" t="str">
        <f t="shared" si="33"/>
        <v/>
      </c>
      <c r="Z160" s="266"/>
    </row>
    <row r="161" spans="1:26" ht="27" hidden="1" customHeight="1">
      <c r="A161" s="70" t="str">
        <f t="shared" si="29"/>
        <v/>
      </c>
      <c r="B161" s="70" t="str">
        <f t="shared" si="30"/>
        <v/>
      </c>
      <c r="C161" s="204" t="str" cm="1">
        <f t="array" ref="C161">IF(D161="","",
    IF(AND(ISNUMBER(D161), D161=INT(D161)),
        $V$6 &amp; " " &amp; (IFERROR(MAX($Y$12:$Y160), 0) + 1),
        IF(ISNUMBER(SEARCH(".", D161)), "", INDEX($C$12:$C161, MATCH(2, 1/($C$12:$C161 &lt;&gt; ""))))
    )
)</f>
        <v/>
      </c>
      <c r="D161" s="206"/>
      <c r="E161" s="206" t="str">
        <f>IF(AA161 = "", "",
    IF(ISNUMBER(SEARCH("Kiện", C161)),
       " GÓI " &amp; COUNTIF($C$13:C161, "*Kiện*") &amp; "/" &amp; COUNTIF($C$13:$C$1000, "*Kiện*") &amp; " " &amp; AA161,
       AA161)
)</f>
        <v/>
      </c>
      <c r="F161" s="206"/>
      <c r="G161" s="206"/>
      <c r="H161" s="206"/>
      <c r="I161" s="206"/>
      <c r="J161" s="206" t="str">
        <f t="shared" si="32"/>
        <v/>
      </c>
      <c r="K161" s="206" t="str">
        <f t="shared" si="34"/>
        <v/>
      </c>
      <c r="L161" s="206" t="str">
        <f t="shared" si="35"/>
        <v/>
      </c>
      <c r="M161" s="206" t="str">
        <f t="shared" si="36"/>
        <v/>
      </c>
      <c r="N161" s="206" t="str">
        <f t="shared" si="37"/>
        <v/>
      </c>
      <c r="O161" s="206" t="str">
        <f t="shared" si="38"/>
        <v/>
      </c>
      <c r="P161" s="84" t="str">
        <f t="shared" si="39"/>
        <v/>
      </c>
      <c r="Q161" s="205"/>
      <c r="R161" s="70" t="str">
        <f>IF(S161="IN",'BOM_Phan II'!$Y$3,"")</f>
        <v/>
      </c>
      <c r="S161" s="69" t="str">
        <f t="shared" si="31"/>
        <v/>
      </c>
      <c r="T161">
        <f t="shared" si="40"/>
        <v>3</v>
      </c>
      <c r="U161" t="str">
        <f t="shared" si="41"/>
        <v>KIỆN 14</v>
      </c>
      <c r="V161" t="str">
        <f t="shared" si="42"/>
        <v/>
      </c>
      <c r="W161" s="266"/>
      <c r="X161" s="266"/>
      <c r="Y161" s="266" t="str">
        <f t="shared" si="33"/>
        <v/>
      </c>
      <c r="Z161" s="266"/>
    </row>
    <row r="162" spans="1:26" ht="27" hidden="1" customHeight="1">
      <c r="A162" s="70" t="str">
        <f t="shared" si="29"/>
        <v/>
      </c>
      <c r="B162" s="70" t="str">
        <f t="shared" si="30"/>
        <v/>
      </c>
      <c r="C162" s="204" t="str" cm="1">
        <f t="array" ref="C162">IF(D162="","",
    IF(AND(ISNUMBER(D162), D162=INT(D162)),
        $V$6 &amp; " " &amp; (IFERROR(MAX($Y$12:$Y161), 0) + 1),
        IF(ISNUMBER(SEARCH(".", D162)), "", INDEX($C$12:$C162, MATCH(2, 1/($C$12:$C162 &lt;&gt; ""))))
    )
)</f>
        <v/>
      </c>
      <c r="D162" s="206"/>
      <c r="E162" s="206" t="str">
        <f>IF(AA162 = "", "",
    IF(ISNUMBER(SEARCH("Kiện", C162)),
       " GÓI " &amp; COUNTIF($C$13:C162, "*Kiện*") &amp; "/" &amp; COUNTIF($C$13:$C$1000, "*Kiện*") &amp; " " &amp; AA162,
       AA162)
)</f>
        <v/>
      </c>
      <c r="F162" s="206"/>
      <c r="G162" s="206"/>
      <c r="H162" s="206"/>
      <c r="I162" s="206"/>
      <c r="J162" s="206" t="str">
        <f t="shared" si="32"/>
        <v/>
      </c>
      <c r="K162" s="206" t="str">
        <f t="shared" si="34"/>
        <v/>
      </c>
      <c r="L162" s="206" t="str">
        <f t="shared" si="35"/>
        <v/>
      </c>
      <c r="M162" s="206" t="str">
        <f t="shared" si="36"/>
        <v/>
      </c>
      <c r="N162" s="206" t="str">
        <f t="shared" si="37"/>
        <v/>
      </c>
      <c r="O162" s="206" t="str">
        <f t="shared" si="38"/>
        <v/>
      </c>
      <c r="P162" s="84" t="str">
        <f t="shared" si="39"/>
        <v/>
      </c>
      <c r="Q162" s="205"/>
      <c r="R162" s="70" t="str">
        <f>IF(S162="IN",'BOM_Phan II'!$Y$3,"")</f>
        <v/>
      </c>
      <c r="S162" s="69" t="str">
        <f t="shared" si="31"/>
        <v/>
      </c>
      <c r="T162">
        <f t="shared" si="40"/>
        <v>3</v>
      </c>
      <c r="U162" t="str">
        <f t="shared" si="41"/>
        <v>KIỆN 14</v>
      </c>
      <c r="V162" t="str">
        <f t="shared" si="42"/>
        <v/>
      </c>
      <c r="W162" s="266"/>
      <c r="X162" s="266"/>
      <c r="Y162" s="266" t="str">
        <f t="shared" si="33"/>
        <v/>
      </c>
      <c r="Z162" s="266"/>
    </row>
    <row r="163" spans="1:26" ht="27" hidden="1" customHeight="1">
      <c r="A163" s="70" t="str">
        <f t="shared" si="29"/>
        <v/>
      </c>
      <c r="B163" s="70" t="str">
        <f t="shared" si="30"/>
        <v/>
      </c>
      <c r="C163" s="204" t="str" cm="1">
        <f t="array" ref="C163">IF(D163="","",
    IF(AND(ISNUMBER(D163), D163=INT(D163)),
        $V$6 &amp; " " &amp; (IFERROR(MAX($Y$12:$Y162), 0) + 1),
        IF(ISNUMBER(SEARCH(".", D163)), "", INDEX($C$12:$C163, MATCH(2, 1/($C$12:$C163 &lt;&gt; ""))))
    )
)</f>
        <v/>
      </c>
      <c r="D163" s="206"/>
      <c r="E163" s="206" t="str">
        <f>IF(AA163 = "", "",
    IF(ISNUMBER(SEARCH("Kiện", C163)),
       " GÓI " &amp; COUNTIF($C$13:C163, "*Kiện*") &amp; "/" &amp; COUNTIF($C$13:$C$1000, "*Kiện*") &amp; " " &amp; AA163,
       AA163)
)</f>
        <v/>
      </c>
      <c r="F163" s="206"/>
      <c r="G163" s="206"/>
      <c r="H163" s="206"/>
      <c r="I163" s="206"/>
      <c r="J163" s="206" t="str">
        <f t="shared" si="32"/>
        <v/>
      </c>
      <c r="K163" s="206" t="str">
        <f t="shared" si="34"/>
        <v/>
      </c>
      <c r="L163" s="206" t="str">
        <f t="shared" si="35"/>
        <v/>
      </c>
      <c r="M163" s="206" t="str">
        <f t="shared" si="36"/>
        <v/>
      </c>
      <c r="N163" s="206" t="str">
        <f t="shared" si="37"/>
        <v/>
      </c>
      <c r="O163" s="206" t="str">
        <f t="shared" si="38"/>
        <v/>
      </c>
      <c r="P163" s="84" t="str">
        <f t="shared" si="39"/>
        <v/>
      </c>
      <c r="Q163" s="205"/>
      <c r="R163" s="70" t="str">
        <f>IF(S163="IN",'BOM_Phan II'!$Y$3,"")</f>
        <v/>
      </c>
      <c r="S163" s="69" t="str">
        <f t="shared" si="31"/>
        <v/>
      </c>
      <c r="T163">
        <f t="shared" si="40"/>
        <v>3</v>
      </c>
      <c r="U163" t="str">
        <f t="shared" si="41"/>
        <v>KIỆN 14</v>
      </c>
      <c r="V163" t="str">
        <f t="shared" si="42"/>
        <v/>
      </c>
      <c r="W163" s="266"/>
      <c r="X163" s="266"/>
      <c r="Y163" s="266" t="str">
        <f t="shared" si="33"/>
        <v/>
      </c>
      <c r="Z163" s="266"/>
    </row>
    <row r="164" spans="1:26" ht="27" hidden="1" customHeight="1">
      <c r="A164" s="70" t="str">
        <f t="shared" si="29"/>
        <v/>
      </c>
      <c r="B164" s="70" t="str">
        <f t="shared" si="30"/>
        <v/>
      </c>
      <c r="C164" s="204" t="str" cm="1">
        <f t="array" ref="C164">IF(D164="","",
    IF(AND(ISNUMBER(D164), D164=INT(D164)),
        $V$6 &amp; " " &amp; (IFERROR(MAX($Y$12:$Y163), 0) + 1),
        IF(ISNUMBER(SEARCH(".", D164)), "", INDEX($C$12:$C164, MATCH(2, 1/($C$12:$C164 &lt;&gt; ""))))
    )
)</f>
        <v/>
      </c>
      <c r="D164" s="206"/>
      <c r="E164" s="206" t="str">
        <f>IF(AA164 = "", "",
    IF(ISNUMBER(SEARCH("Kiện", C164)),
       " GÓI " &amp; COUNTIF($C$13:C164, "*Kiện*") &amp; "/" &amp; COUNTIF($C$13:$C$1000, "*Kiện*") &amp; " " &amp; AA164,
       AA164)
)</f>
        <v/>
      </c>
      <c r="F164" s="206"/>
      <c r="G164" s="206"/>
      <c r="H164" s="206"/>
      <c r="I164" s="206"/>
      <c r="J164" s="206" t="str">
        <f t="shared" si="32"/>
        <v/>
      </c>
      <c r="K164" s="206" t="str">
        <f t="shared" si="34"/>
        <v/>
      </c>
      <c r="L164" s="206" t="str">
        <f t="shared" si="35"/>
        <v/>
      </c>
      <c r="M164" s="206" t="str">
        <f t="shared" si="36"/>
        <v/>
      </c>
      <c r="N164" s="206" t="str">
        <f t="shared" si="37"/>
        <v/>
      </c>
      <c r="O164" s="206" t="str">
        <f t="shared" si="38"/>
        <v/>
      </c>
      <c r="P164" s="84" t="str">
        <f t="shared" si="39"/>
        <v/>
      </c>
      <c r="Q164" s="205"/>
      <c r="R164" s="70" t="str">
        <f>IF(S164="IN",'BOM_Phan II'!$Y$3,"")</f>
        <v/>
      </c>
      <c r="S164" s="69" t="str">
        <f t="shared" si="31"/>
        <v/>
      </c>
      <c r="T164">
        <f t="shared" si="40"/>
        <v>3</v>
      </c>
      <c r="U164" t="str">
        <f t="shared" si="41"/>
        <v>KIỆN 14</v>
      </c>
      <c r="V164" t="str">
        <f t="shared" si="42"/>
        <v/>
      </c>
      <c r="W164" s="266"/>
      <c r="X164" s="266"/>
      <c r="Y164" s="266" t="str">
        <f t="shared" si="33"/>
        <v/>
      </c>
      <c r="Z164" s="266"/>
    </row>
    <row r="165" spans="1:26" ht="27" hidden="1" customHeight="1">
      <c r="A165" s="70" t="str">
        <f t="shared" si="29"/>
        <v/>
      </c>
      <c r="B165" s="70" t="str">
        <f t="shared" si="30"/>
        <v/>
      </c>
      <c r="C165" s="204" t="str" cm="1">
        <f t="array" ref="C165">IF(D165="","",
    IF(AND(ISNUMBER(D165), D165=INT(D165)),
        $V$6 &amp; " " &amp; (IFERROR(MAX($Y$12:$Y164), 0) + 1),
        IF(ISNUMBER(SEARCH(".", D165)), "", INDEX($C$12:$C165, MATCH(2, 1/($C$12:$C165 &lt;&gt; ""))))
    )
)</f>
        <v/>
      </c>
      <c r="D165" s="206"/>
      <c r="E165" s="206" t="str">
        <f>IF(AA165 = "", "",
    IF(ISNUMBER(SEARCH("Kiện", C165)),
       " GÓI " &amp; COUNTIF($C$13:C165, "*Kiện*") &amp; "/" &amp; COUNTIF($C$13:$C$1000, "*Kiện*") &amp; " " &amp; AA165,
       AA165)
)</f>
        <v/>
      </c>
      <c r="F165" s="206"/>
      <c r="G165" s="206"/>
      <c r="H165" s="206"/>
      <c r="I165" s="206"/>
      <c r="J165" s="206" t="str">
        <f t="shared" si="32"/>
        <v/>
      </c>
      <c r="K165" s="206" t="str">
        <f t="shared" si="34"/>
        <v/>
      </c>
      <c r="L165" s="206" t="str">
        <f t="shared" si="35"/>
        <v/>
      </c>
      <c r="M165" s="206" t="str">
        <f t="shared" si="36"/>
        <v/>
      </c>
      <c r="N165" s="206" t="str">
        <f t="shared" si="37"/>
        <v/>
      </c>
      <c r="O165" s="206" t="str">
        <f t="shared" si="38"/>
        <v/>
      </c>
      <c r="P165" s="84" t="str">
        <f t="shared" si="39"/>
        <v/>
      </c>
      <c r="Q165" s="205"/>
      <c r="R165" s="70" t="str">
        <f>IF(S165="IN",'BOM_Phan II'!$Y$3,"")</f>
        <v/>
      </c>
      <c r="S165" s="69" t="str">
        <f t="shared" si="31"/>
        <v/>
      </c>
      <c r="T165">
        <f t="shared" si="40"/>
        <v>3</v>
      </c>
      <c r="U165" t="str">
        <f t="shared" si="41"/>
        <v>KIỆN 14</v>
      </c>
      <c r="V165" t="str">
        <f t="shared" si="42"/>
        <v/>
      </c>
      <c r="W165" s="266"/>
      <c r="X165" s="266"/>
      <c r="Y165" s="266" t="str">
        <f t="shared" si="33"/>
        <v/>
      </c>
      <c r="Z165" s="266"/>
    </row>
    <row r="166" spans="1:26" ht="27" hidden="1" customHeight="1">
      <c r="A166" s="70" t="str">
        <f t="shared" si="29"/>
        <v/>
      </c>
      <c r="B166" s="70" t="str">
        <f t="shared" si="30"/>
        <v/>
      </c>
      <c r="C166" s="204" t="str" cm="1">
        <f t="array" ref="C166">IF(D166="","",
    IF(AND(ISNUMBER(D166), D166=INT(D166)),
        $V$6 &amp; " " &amp; (IFERROR(MAX($Y$12:$Y165), 0) + 1),
        IF(ISNUMBER(SEARCH(".", D166)), "", INDEX($C$12:$C166, MATCH(2, 1/($C$12:$C166 &lt;&gt; ""))))
    )
)</f>
        <v/>
      </c>
      <c r="D166" s="206"/>
      <c r="E166" s="206" t="str">
        <f>IF(AA166 = "", "",
    IF(ISNUMBER(SEARCH("Kiện", C166)),
       " GÓI " &amp; COUNTIF($C$13:C166, "*Kiện*") &amp; "/" &amp; COUNTIF($C$13:$C$1000, "*Kiện*") &amp; " " &amp; AA166,
       AA166)
)</f>
        <v/>
      </c>
      <c r="F166" s="206"/>
      <c r="G166" s="206"/>
      <c r="H166" s="206"/>
      <c r="I166" s="206"/>
      <c r="J166" s="206" t="str">
        <f t="shared" si="32"/>
        <v/>
      </c>
      <c r="K166" s="206" t="str">
        <f t="shared" si="34"/>
        <v/>
      </c>
      <c r="L166" s="206" t="str">
        <f t="shared" si="35"/>
        <v/>
      </c>
      <c r="M166" s="206" t="str">
        <f t="shared" si="36"/>
        <v/>
      </c>
      <c r="N166" s="206" t="str">
        <f t="shared" si="37"/>
        <v/>
      </c>
      <c r="O166" s="206" t="str">
        <f t="shared" si="38"/>
        <v/>
      </c>
      <c r="P166" s="84" t="str">
        <f t="shared" si="39"/>
        <v/>
      </c>
      <c r="Q166" s="205"/>
      <c r="R166" s="70" t="str">
        <f>IF(S166="IN",'BOM_Phan II'!$Y$3,"")</f>
        <v/>
      </c>
      <c r="S166" s="69" t="str">
        <f t="shared" si="31"/>
        <v/>
      </c>
      <c r="T166">
        <f t="shared" si="40"/>
        <v>3</v>
      </c>
      <c r="U166" t="str">
        <f t="shared" si="41"/>
        <v>KIỆN 14</v>
      </c>
      <c r="V166" t="str">
        <f t="shared" si="42"/>
        <v/>
      </c>
      <c r="W166" s="266"/>
      <c r="X166" s="266"/>
      <c r="Y166" s="266" t="str">
        <f t="shared" si="33"/>
        <v/>
      </c>
      <c r="Z166" s="266"/>
    </row>
    <row r="167" spans="1:26" ht="27" hidden="1" customHeight="1">
      <c r="A167" s="70" t="str">
        <f t="shared" si="29"/>
        <v/>
      </c>
      <c r="B167" s="70" t="str">
        <f t="shared" si="30"/>
        <v/>
      </c>
      <c r="C167" s="204" t="str" cm="1">
        <f t="array" ref="C167">IF(D167="","",
    IF(AND(ISNUMBER(D167), D167=INT(D167)),
        $V$6 &amp; " " &amp; (IFERROR(MAX($Y$12:$Y166), 0) + 1),
        IF(ISNUMBER(SEARCH(".", D167)), "", INDEX($C$12:$C167, MATCH(2, 1/($C$12:$C167 &lt;&gt; ""))))
    )
)</f>
        <v/>
      </c>
      <c r="D167" s="206"/>
      <c r="E167" s="206" t="str">
        <f>IF(AA167 = "", "",
    IF(ISNUMBER(SEARCH("Kiện", C167)),
       " GÓI " &amp; COUNTIF($C$13:C167, "*Kiện*") &amp; "/" &amp; COUNTIF($C$13:$C$1000, "*Kiện*") &amp; " " &amp; AA167,
       AA167)
)</f>
        <v/>
      </c>
      <c r="F167" s="206"/>
      <c r="G167" s="206"/>
      <c r="H167" s="206"/>
      <c r="I167" s="206"/>
      <c r="J167" s="206" t="str">
        <f t="shared" si="32"/>
        <v/>
      </c>
      <c r="K167" s="206" t="str">
        <f t="shared" si="34"/>
        <v/>
      </c>
      <c r="L167" s="206" t="str">
        <f t="shared" si="35"/>
        <v/>
      </c>
      <c r="M167" s="206" t="str">
        <f t="shared" si="36"/>
        <v/>
      </c>
      <c r="N167" s="206" t="str">
        <f t="shared" si="37"/>
        <v/>
      </c>
      <c r="O167" s="206" t="str">
        <f t="shared" si="38"/>
        <v/>
      </c>
      <c r="P167" s="84" t="str">
        <f t="shared" si="39"/>
        <v/>
      </c>
      <c r="Q167" s="205"/>
      <c r="R167" s="70" t="str">
        <f>IF(S167="IN",'BOM_Phan II'!$Y$3,"")</f>
        <v/>
      </c>
      <c r="S167" s="69" t="str">
        <f t="shared" si="31"/>
        <v/>
      </c>
      <c r="T167">
        <f t="shared" si="40"/>
        <v>3</v>
      </c>
      <c r="U167" t="str">
        <f t="shared" si="41"/>
        <v>KIỆN 14</v>
      </c>
      <c r="V167" t="str">
        <f t="shared" si="42"/>
        <v/>
      </c>
      <c r="W167" s="266"/>
      <c r="X167" s="266"/>
      <c r="Y167" s="266" t="str">
        <f t="shared" si="33"/>
        <v/>
      </c>
      <c r="Z167" s="266"/>
    </row>
    <row r="168" spans="1:26" ht="27" hidden="1" customHeight="1">
      <c r="A168" s="70" t="str">
        <f t="shared" si="29"/>
        <v/>
      </c>
      <c r="B168" s="70" t="str">
        <f t="shared" si="30"/>
        <v/>
      </c>
      <c r="C168" s="204" t="str" cm="1">
        <f t="array" ref="C168">IF(D168="","",
    IF(AND(ISNUMBER(D168), D168=INT(D168)),
        $V$6 &amp; " " &amp; (IFERROR(MAX($Y$12:$Y167), 0) + 1),
        IF(ISNUMBER(SEARCH(".", D168)), "", INDEX($C$12:$C168, MATCH(2, 1/($C$12:$C168 &lt;&gt; ""))))
    )
)</f>
        <v/>
      </c>
      <c r="D168" s="206"/>
      <c r="E168" s="206" t="str">
        <f>IF(AA168 = "", "",
    IF(ISNUMBER(SEARCH("Kiện", C168)),
       " GÓI " &amp; COUNTIF($C$13:C168, "*Kiện*") &amp; "/" &amp; COUNTIF($C$13:$C$1000, "*Kiện*") &amp; " " &amp; AA168,
       AA168)
)</f>
        <v/>
      </c>
      <c r="F168" s="206"/>
      <c r="G168" s="206"/>
      <c r="H168" s="206"/>
      <c r="I168" s="206"/>
      <c r="J168" s="206" t="str">
        <f t="shared" si="32"/>
        <v/>
      </c>
      <c r="K168" s="206" t="str">
        <f t="shared" si="34"/>
        <v/>
      </c>
      <c r="L168" s="206" t="str">
        <f t="shared" si="35"/>
        <v/>
      </c>
      <c r="M168" s="206" t="str">
        <f t="shared" si="36"/>
        <v/>
      </c>
      <c r="N168" s="206" t="str">
        <f t="shared" si="37"/>
        <v/>
      </c>
      <c r="O168" s="206" t="str">
        <f t="shared" si="38"/>
        <v/>
      </c>
      <c r="P168" s="84" t="str">
        <f t="shared" si="39"/>
        <v/>
      </c>
      <c r="Q168" s="205"/>
      <c r="R168" s="70" t="str">
        <f>IF(S168="IN",'BOM_Phan II'!$Y$3,"")</f>
        <v/>
      </c>
      <c r="S168" s="69" t="str">
        <f t="shared" si="31"/>
        <v/>
      </c>
      <c r="T168">
        <f t="shared" si="40"/>
        <v>3</v>
      </c>
      <c r="U168" t="str">
        <f t="shared" si="41"/>
        <v>KIỆN 14</v>
      </c>
      <c r="V168" t="str">
        <f t="shared" si="42"/>
        <v/>
      </c>
      <c r="W168" s="266"/>
      <c r="X168" s="266"/>
      <c r="Y168" s="266" t="str">
        <f t="shared" si="33"/>
        <v/>
      </c>
      <c r="Z168" s="266"/>
    </row>
    <row r="169" spans="1:26" ht="27" hidden="1" customHeight="1">
      <c r="A169" s="70" t="str">
        <f t="shared" si="29"/>
        <v/>
      </c>
      <c r="B169" s="70" t="str">
        <f t="shared" si="30"/>
        <v/>
      </c>
      <c r="C169" s="204" t="str" cm="1">
        <f t="array" ref="C169">IF(D169="","",
    IF(AND(ISNUMBER(D169), D169=INT(D169)),
        $V$6 &amp; " " &amp; (IFERROR(MAX($Y$12:$Y168), 0) + 1),
        IF(ISNUMBER(SEARCH(".", D169)), "", INDEX($C$12:$C169, MATCH(2, 1/($C$12:$C169 &lt;&gt; ""))))
    )
)</f>
        <v/>
      </c>
      <c r="D169" s="206"/>
      <c r="E169" s="206" t="str">
        <f>IF(AA169 = "", "",
    IF(ISNUMBER(SEARCH("Kiện", C169)),
       " GÓI " &amp; COUNTIF($C$13:C169, "*Kiện*") &amp; "/" &amp; COUNTIF($C$13:$C$1000, "*Kiện*") &amp; " " &amp; AA169,
       AA169)
)</f>
        <v/>
      </c>
      <c r="F169" s="206"/>
      <c r="G169" s="206"/>
      <c r="H169" s="206"/>
      <c r="I169" s="206"/>
      <c r="J169" s="206" t="str">
        <f t="shared" si="32"/>
        <v/>
      </c>
      <c r="K169" s="206" t="str">
        <f t="shared" si="34"/>
        <v/>
      </c>
      <c r="L169" s="206" t="str">
        <f t="shared" si="35"/>
        <v/>
      </c>
      <c r="M169" s="206" t="str">
        <f t="shared" si="36"/>
        <v/>
      </c>
      <c r="N169" s="206" t="str">
        <f t="shared" si="37"/>
        <v/>
      </c>
      <c r="O169" s="206" t="str">
        <f t="shared" si="38"/>
        <v/>
      </c>
      <c r="P169" s="84" t="str">
        <f t="shared" si="39"/>
        <v/>
      </c>
      <c r="Q169" s="205"/>
      <c r="R169" s="70" t="str">
        <f>IF(S169="IN",'BOM_Phan II'!$Y$3,"")</f>
        <v/>
      </c>
      <c r="S169" s="69" t="str">
        <f t="shared" si="31"/>
        <v/>
      </c>
      <c r="T169">
        <f t="shared" si="40"/>
        <v>3</v>
      </c>
      <c r="U169" t="str">
        <f t="shared" si="41"/>
        <v>KIỆN 14</v>
      </c>
      <c r="V169" t="str">
        <f t="shared" si="42"/>
        <v/>
      </c>
      <c r="W169" s="266"/>
      <c r="X169" s="266"/>
      <c r="Y169" s="266" t="str">
        <f t="shared" si="33"/>
        <v/>
      </c>
      <c r="Z169" s="266"/>
    </row>
    <row r="170" spans="1:26" ht="27" hidden="1" customHeight="1">
      <c r="A170" s="70" t="str">
        <f t="shared" si="29"/>
        <v/>
      </c>
      <c r="B170" s="70" t="str">
        <f t="shared" si="30"/>
        <v/>
      </c>
      <c r="C170" s="204" t="str" cm="1">
        <f t="array" ref="C170">IF(D170="","",
    IF(AND(ISNUMBER(D170), D170=INT(D170)),
        $V$6 &amp; " " &amp; (IFERROR(MAX($Y$12:$Y169), 0) + 1),
        IF(ISNUMBER(SEARCH(".", D170)), "", INDEX($C$12:$C170, MATCH(2, 1/($C$12:$C170 &lt;&gt; ""))))
    )
)</f>
        <v/>
      </c>
      <c r="D170" s="206"/>
      <c r="E170" s="206" t="str">
        <f>IF(AA170 = "", "",
    IF(ISNUMBER(SEARCH("Kiện", C170)),
       " GÓI " &amp; COUNTIF($C$13:C170, "*Kiện*") &amp; "/" &amp; COUNTIF($C$13:$C$1000, "*Kiện*") &amp; " " &amp; AA170,
       AA170)
)</f>
        <v/>
      </c>
      <c r="F170" s="206"/>
      <c r="G170" s="206"/>
      <c r="H170" s="206"/>
      <c r="I170" s="206"/>
      <c r="J170" s="206" t="str">
        <f t="shared" si="32"/>
        <v/>
      </c>
      <c r="K170" s="206" t="str">
        <f t="shared" si="34"/>
        <v/>
      </c>
      <c r="L170" s="206" t="str">
        <f t="shared" si="35"/>
        <v/>
      </c>
      <c r="M170" s="206" t="str">
        <f t="shared" si="36"/>
        <v/>
      </c>
      <c r="N170" s="206" t="str">
        <f t="shared" si="37"/>
        <v/>
      </c>
      <c r="O170" s="206" t="str">
        <f t="shared" si="38"/>
        <v/>
      </c>
      <c r="P170" s="84" t="str">
        <f t="shared" si="39"/>
        <v/>
      </c>
      <c r="Q170" s="205"/>
      <c r="R170" s="70" t="str">
        <f>IF(S170="IN",'BOM_Phan II'!$Y$3,"")</f>
        <v/>
      </c>
      <c r="S170" s="69" t="str">
        <f t="shared" si="31"/>
        <v/>
      </c>
      <c r="T170">
        <f t="shared" si="40"/>
        <v>3</v>
      </c>
      <c r="U170" t="str">
        <f t="shared" si="41"/>
        <v>KIỆN 14</v>
      </c>
      <c r="V170" t="str">
        <f t="shared" si="42"/>
        <v/>
      </c>
      <c r="W170" s="266"/>
      <c r="X170" s="266"/>
      <c r="Y170" s="266" t="str">
        <f t="shared" si="33"/>
        <v/>
      </c>
      <c r="Z170" s="266"/>
    </row>
    <row r="171" spans="1:26" ht="27" hidden="1" customHeight="1">
      <c r="A171" s="70" t="str">
        <f t="shared" si="29"/>
        <v/>
      </c>
      <c r="B171" s="70" t="str">
        <f t="shared" si="30"/>
        <v/>
      </c>
      <c r="C171" s="204" t="str" cm="1">
        <f t="array" ref="C171">IF(D171="","",
    IF(AND(ISNUMBER(D171), D171=INT(D171)),
        $V$6 &amp; " " &amp; (IFERROR(MAX($Y$12:$Y170), 0) + 1),
        IF(ISNUMBER(SEARCH(".", D171)), "", INDEX($C$12:$C171, MATCH(2, 1/($C$12:$C171 &lt;&gt; ""))))
    )
)</f>
        <v/>
      </c>
      <c r="D171" s="206"/>
      <c r="E171" s="206" t="str">
        <f>IF(AA171 = "", "",
    IF(ISNUMBER(SEARCH("Kiện", C171)),
       " GÓI " &amp; COUNTIF($C$13:C171, "*Kiện*") &amp; "/" &amp; COUNTIF($C$13:$C$1000, "*Kiện*") &amp; " " &amp; AA171,
       AA171)
)</f>
        <v/>
      </c>
      <c r="F171" s="206"/>
      <c r="G171" s="206"/>
      <c r="H171" s="206"/>
      <c r="I171" s="206"/>
      <c r="J171" s="206" t="str">
        <f t="shared" si="32"/>
        <v/>
      </c>
      <c r="K171" s="206" t="str">
        <f t="shared" si="34"/>
        <v/>
      </c>
      <c r="L171" s="206" t="str">
        <f t="shared" si="35"/>
        <v/>
      </c>
      <c r="M171" s="206" t="str">
        <f t="shared" si="36"/>
        <v/>
      </c>
      <c r="N171" s="206" t="str">
        <f t="shared" si="37"/>
        <v/>
      </c>
      <c r="O171" s="206" t="str">
        <f t="shared" si="38"/>
        <v/>
      </c>
      <c r="P171" s="84" t="str">
        <f t="shared" si="39"/>
        <v/>
      </c>
      <c r="Q171" s="205"/>
      <c r="R171" s="70" t="str">
        <f>IF(S171="IN",'BOM_Phan II'!$Y$3,"")</f>
        <v/>
      </c>
      <c r="S171" s="69" t="str">
        <f t="shared" si="31"/>
        <v/>
      </c>
      <c r="T171">
        <f t="shared" si="40"/>
        <v>3</v>
      </c>
      <c r="U171" t="str">
        <f t="shared" si="41"/>
        <v>KIỆN 14</v>
      </c>
      <c r="V171" t="str">
        <f t="shared" si="42"/>
        <v/>
      </c>
      <c r="W171" s="266"/>
      <c r="X171" s="266"/>
      <c r="Y171" s="266" t="str">
        <f t="shared" si="33"/>
        <v/>
      </c>
      <c r="Z171" s="266"/>
    </row>
    <row r="172" spans="1:26" ht="27" hidden="1" customHeight="1">
      <c r="A172" s="70" t="str">
        <f t="shared" si="29"/>
        <v/>
      </c>
      <c r="B172" s="70" t="str">
        <f t="shared" si="30"/>
        <v/>
      </c>
      <c r="C172" s="204" t="str" cm="1">
        <f t="array" ref="C172">IF(D172="","",
    IF(AND(ISNUMBER(D172), D172=INT(D172)),
        $V$6 &amp; " " &amp; (IFERROR(MAX($Y$12:$Y171), 0) + 1),
        IF(ISNUMBER(SEARCH(".", D172)), "", INDEX($C$12:$C172, MATCH(2, 1/($C$12:$C172 &lt;&gt; ""))))
    )
)</f>
        <v/>
      </c>
      <c r="D172" s="206"/>
      <c r="E172" s="206" t="str">
        <f>IF(AA172 = "", "",
    IF(ISNUMBER(SEARCH("Kiện", C172)),
       " GÓI " &amp; COUNTIF($C$13:C172, "*Kiện*") &amp; "/" &amp; COUNTIF($C$13:$C$1000, "*Kiện*") &amp; " " &amp; AA172,
       AA172)
)</f>
        <v/>
      </c>
      <c r="F172" s="206"/>
      <c r="G172" s="206"/>
      <c r="H172" s="206"/>
      <c r="I172" s="206"/>
      <c r="J172" s="206" t="str">
        <f t="shared" si="32"/>
        <v/>
      </c>
      <c r="K172" s="206" t="str">
        <f t="shared" si="34"/>
        <v/>
      </c>
      <c r="L172" s="206" t="str">
        <f t="shared" si="35"/>
        <v/>
      </c>
      <c r="M172" s="206" t="str">
        <f t="shared" si="36"/>
        <v/>
      </c>
      <c r="N172" s="206" t="str">
        <f t="shared" si="37"/>
        <v/>
      </c>
      <c r="O172" s="206" t="str">
        <f t="shared" si="38"/>
        <v/>
      </c>
      <c r="P172" s="84" t="str">
        <f t="shared" si="39"/>
        <v/>
      </c>
      <c r="Q172" s="205"/>
      <c r="R172" s="70" t="str">
        <f>IF(S172="IN",'BOM_Phan II'!$Y$3,"")</f>
        <v/>
      </c>
      <c r="S172" s="69" t="str">
        <f t="shared" si="31"/>
        <v/>
      </c>
      <c r="T172">
        <f t="shared" si="40"/>
        <v>3</v>
      </c>
      <c r="U172" t="str">
        <f t="shared" si="41"/>
        <v>KIỆN 14</v>
      </c>
      <c r="V172" t="str">
        <f t="shared" si="42"/>
        <v/>
      </c>
      <c r="W172" s="266"/>
      <c r="X172" s="266"/>
      <c r="Y172" s="266" t="str">
        <f t="shared" si="33"/>
        <v/>
      </c>
      <c r="Z172" s="266"/>
    </row>
    <row r="173" spans="1:26" ht="27" hidden="1" customHeight="1">
      <c r="A173" s="70" t="str">
        <f t="shared" si="29"/>
        <v/>
      </c>
      <c r="B173" s="70" t="str">
        <f t="shared" si="30"/>
        <v/>
      </c>
      <c r="C173" s="204" t="str" cm="1">
        <f t="array" ref="C173">IF(D173="","",
    IF(AND(ISNUMBER(D173), D173=INT(D173)),
        $V$6 &amp; " " &amp; (IFERROR(MAX($Y$12:$Y172), 0) + 1),
        IF(ISNUMBER(SEARCH(".", D173)), "", INDEX($C$12:$C173, MATCH(2, 1/($C$12:$C173 &lt;&gt; ""))))
    )
)</f>
        <v/>
      </c>
      <c r="D173" s="206"/>
      <c r="E173" s="206" t="str">
        <f>IF(AA173 = "", "",
    IF(ISNUMBER(SEARCH("Kiện", C173)),
       " GÓI " &amp; COUNTIF($C$13:C173, "*Kiện*") &amp; "/" &amp; COUNTIF($C$13:$C$1000, "*Kiện*") &amp; " " &amp; AA173,
       AA173)
)</f>
        <v/>
      </c>
      <c r="F173" s="206"/>
      <c r="G173" s="206"/>
      <c r="H173" s="206"/>
      <c r="I173" s="206"/>
      <c r="J173" s="206" t="str">
        <f t="shared" si="32"/>
        <v/>
      </c>
      <c r="K173" s="206" t="str">
        <f t="shared" si="34"/>
        <v/>
      </c>
      <c r="L173" s="206" t="str">
        <f t="shared" si="35"/>
        <v/>
      </c>
      <c r="M173" s="206" t="str">
        <f t="shared" si="36"/>
        <v/>
      </c>
      <c r="N173" s="206" t="str">
        <f t="shared" si="37"/>
        <v/>
      </c>
      <c r="O173" s="206" t="str">
        <f t="shared" si="38"/>
        <v/>
      </c>
      <c r="P173" s="84" t="str">
        <f t="shared" si="39"/>
        <v/>
      </c>
      <c r="Q173" s="205"/>
      <c r="R173" s="70" t="str">
        <f>IF(S173="IN",'BOM_Phan II'!$Y$3,"")</f>
        <v/>
      </c>
      <c r="S173" s="69" t="str">
        <f t="shared" si="31"/>
        <v/>
      </c>
      <c r="T173">
        <f t="shared" si="40"/>
        <v>3</v>
      </c>
      <c r="U173" t="str">
        <f t="shared" si="41"/>
        <v>KIỆN 14</v>
      </c>
      <c r="V173" t="str">
        <f t="shared" si="42"/>
        <v/>
      </c>
      <c r="W173" s="266"/>
      <c r="X173" s="266"/>
      <c r="Y173" s="266" t="str">
        <f t="shared" si="33"/>
        <v/>
      </c>
      <c r="Z173" s="266"/>
    </row>
    <row r="174" spans="1:26" ht="27" hidden="1" customHeight="1">
      <c r="A174" s="70" t="str">
        <f t="shared" si="29"/>
        <v/>
      </c>
      <c r="B174" s="70" t="str">
        <f t="shared" si="30"/>
        <v/>
      </c>
      <c r="C174" s="204" t="str" cm="1">
        <f t="array" ref="C174">IF(D174="","",
    IF(AND(ISNUMBER(D174), D174=INT(D174)),
        $V$6 &amp; " " &amp; (IFERROR(MAX($Y$12:$Y173), 0) + 1),
        IF(ISNUMBER(SEARCH(".", D174)), "", INDEX($C$12:$C174, MATCH(2, 1/($C$12:$C174 &lt;&gt; ""))))
    )
)</f>
        <v/>
      </c>
      <c r="D174" s="206"/>
      <c r="E174" s="206" t="str">
        <f>IF(AA174 = "", "",
    IF(ISNUMBER(SEARCH("Kiện", C174)),
       " GÓI " &amp; COUNTIF($C$13:C174, "*Kiện*") &amp; "/" &amp; COUNTIF($C$13:$C$1000, "*Kiện*") &amp; " " &amp; AA174,
       AA174)
)</f>
        <v/>
      </c>
      <c r="F174" s="206"/>
      <c r="G174" s="206"/>
      <c r="H174" s="206"/>
      <c r="I174" s="206"/>
      <c r="J174" s="206" t="str">
        <f t="shared" si="32"/>
        <v/>
      </c>
      <c r="K174" s="206" t="str">
        <f t="shared" si="34"/>
        <v/>
      </c>
      <c r="L174" s="206" t="str">
        <f t="shared" si="35"/>
        <v/>
      </c>
      <c r="M174" s="206" t="str">
        <f t="shared" si="36"/>
        <v/>
      </c>
      <c r="N174" s="206" t="str">
        <f t="shared" si="37"/>
        <v/>
      </c>
      <c r="O174" s="206" t="str">
        <f t="shared" si="38"/>
        <v/>
      </c>
      <c r="P174" s="84" t="str">
        <f t="shared" si="39"/>
        <v/>
      </c>
      <c r="Q174" s="205"/>
      <c r="R174" s="70" t="str">
        <f>IF(S174="IN",'BOM_Phan II'!$Y$3,"")</f>
        <v/>
      </c>
      <c r="S174" s="69" t="str">
        <f t="shared" si="31"/>
        <v/>
      </c>
      <c r="T174">
        <f t="shared" si="40"/>
        <v>3</v>
      </c>
      <c r="U174" t="str">
        <f t="shared" si="41"/>
        <v>KIỆN 14</v>
      </c>
      <c r="V174" t="str">
        <f t="shared" si="42"/>
        <v/>
      </c>
      <c r="W174" s="266"/>
      <c r="X174" s="266"/>
      <c r="Y174" s="266" t="str">
        <f t="shared" si="33"/>
        <v/>
      </c>
      <c r="Z174" s="266"/>
    </row>
    <row r="175" spans="1:26" ht="27" hidden="1" customHeight="1">
      <c r="A175" s="70" t="str">
        <f t="shared" si="29"/>
        <v/>
      </c>
      <c r="B175" s="70" t="str">
        <f t="shared" si="30"/>
        <v/>
      </c>
      <c r="C175" s="204" t="str" cm="1">
        <f t="array" ref="C175">IF(D175="","",
    IF(AND(ISNUMBER(D175), D175=INT(D175)),
        $V$6 &amp; " " &amp; (IFERROR(MAX($Y$12:$Y174), 0) + 1),
        IF(ISNUMBER(SEARCH(".", D175)), "", INDEX($C$12:$C175, MATCH(2, 1/($C$12:$C175 &lt;&gt; ""))))
    )
)</f>
        <v/>
      </c>
      <c r="D175" s="206"/>
      <c r="E175" s="206" t="str">
        <f>IF(AA175 = "", "",
    IF(ISNUMBER(SEARCH("Kiện", C175)),
       " GÓI " &amp; COUNTIF($C$13:C175, "*Kiện*") &amp; "/" &amp; COUNTIF($C$13:$C$1000, "*Kiện*") &amp; " " &amp; AA175,
       AA175)
)</f>
        <v/>
      </c>
      <c r="F175" s="206"/>
      <c r="G175" s="206"/>
      <c r="H175" s="206"/>
      <c r="I175" s="206"/>
      <c r="J175" s="206" t="str">
        <f t="shared" si="32"/>
        <v/>
      </c>
      <c r="K175" s="206" t="str">
        <f t="shared" si="34"/>
        <v/>
      </c>
      <c r="L175" s="206" t="str">
        <f t="shared" si="35"/>
        <v/>
      </c>
      <c r="M175" s="206" t="str">
        <f t="shared" si="36"/>
        <v/>
      </c>
      <c r="N175" s="206" t="str">
        <f t="shared" si="37"/>
        <v/>
      </c>
      <c r="O175" s="206" t="str">
        <f t="shared" si="38"/>
        <v/>
      </c>
      <c r="P175" s="84" t="str">
        <f t="shared" si="39"/>
        <v/>
      </c>
      <c r="Q175" s="205"/>
      <c r="R175" s="70" t="str">
        <f>IF(S175="IN",'BOM_Phan II'!$Y$3,"")</f>
        <v/>
      </c>
      <c r="S175" s="69" t="str">
        <f t="shared" si="31"/>
        <v/>
      </c>
      <c r="T175">
        <f t="shared" si="40"/>
        <v>3</v>
      </c>
      <c r="U175" t="str">
        <f t="shared" si="41"/>
        <v>KIỆN 14</v>
      </c>
      <c r="V175" t="str">
        <f t="shared" si="42"/>
        <v/>
      </c>
      <c r="W175" s="266"/>
      <c r="X175" s="266"/>
      <c r="Y175" s="266" t="str">
        <f t="shared" si="33"/>
        <v/>
      </c>
      <c r="Z175" s="266"/>
    </row>
    <row r="176" spans="1:26" ht="27" hidden="1" customHeight="1">
      <c r="A176" s="70" t="str">
        <f t="shared" si="29"/>
        <v/>
      </c>
      <c r="B176" s="70" t="str">
        <f t="shared" si="30"/>
        <v/>
      </c>
      <c r="C176" s="204" t="str" cm="1">
        <f t="array" ref="C176">IF(D176="","",
    IF(AND(ISNUMBER(D176), D176=INT(D176)),
        $V$6 &amp; " " &amp; (IFERROR(MAX($Y$12:$Y175), 0) + 1),
        IF(ISNUMBER(SEARCH(".", D176)), "", INDEX($C$12:$C176, MATCH(2, 1/($C$12:$C176 &lt;&gt; ""))))
    )
)</f>
        <v/>
      </c>
      <c r="D176" s="206"/>
      <c r="E176" s="206" t="str">
        <f>IF(AA176 = "", "",
    IF(ISNUMBER(SEARCH("Kiện", C176)),
       " GÓI " &amp; COUNTIF($C$13:C176, "*Kiện*") &amp; "/" &amp; COUNTIF($C$13:$C$1000, "*Kiện*") &amp; " " &amp; AA176,
       AA176)
)</f>
        <v/>
      </c>
      <c r="F176" s="206"/>
      <c r="G176" s="206"/>
      <c r="H176" s="206"/>
      <c r="I176" s="206"/>
      <c r="J176" s="206" t="str">
        <f t="shared" si="32"/>
        <v/>
      </c>
      <c r="K176" s="206" t="str">
        <f t="shared" si="34"/>
        <v/>
      </c>
      <c r="L176" s="206" t="str">
        <f t="shared" si="35"/>
        <v/>
      </c>
      <c r="M176" s="206" t="str">
        <f t="shared" si="36"/>
        <v/>
      </c>
      <c r="N176" s="206" t="str">
        <f t="shared" si="37"/>
        <v/>
      </c>
      <c r="O176" s="206" t="str">
        <f t="shared" si="38"/>
        <v/>
      </c>
      <c r="P176" s="84" t="str">
        <f t="shared" si="39"/>
        <v/>
      </c>
      <c r="Q176" s="205"/>
      <c r="R176" s="70" t="str">
        <f>IF(S176="IN",'BOM_Phan II'!$Y$3,"")</f>
        <v/>
      </c>
      <c r="S176" s="69" t="str">
        <f t="shared" si="31"/>
        <v/>
      </c>
      <c r="T176">
        <f t="shared" si="40"/>
        <v>3</v>
      </c>
      <c r="U176" t="str">
        <f t="shared" si="41"/>
        <v>KIỆN 14</v>
      </c>
      <c r="V176" t="str">
        <f t="shared" si="42"/>
        <v/>
      </c>
      <c r="W176" s="266"/>
      <c r="X176" s="266"/>
      <c r="Y176" s="266" t="str">
        <f t="shared" si="33"/>
        <v/>
      </c>
      <c r="Z176" s="266"/>
    </row>
    <row r="177" spans="1:26" ht="27" hidden="1" customHeight="1">
      <c r="A177" s="70" t="str">
        <f t="shared" si="29"/>
        <v/>
      </c>
      <c r="B177" s="70" t="str">
        <f t="shared" si="30"/>
        <v/>
      </c>
      <c r="C177" s="204" t="str" cm="1">
        <f t="array" ref="C177">IF(D177="","",
    IF(AND(ISNUMBER(D177), D177=INT(D177)),
        $V$6 &amp; " " &amp; (IFERROR(MAX($Y$12:$Y176), 0) + 1),
        IF(ISNUMBER(SEARCH(".", D177)), "", INDEX($C$12:$C177, MATCH(2, 1/($C$12:$C177 &lt;&gt; ""))))
    )
)</f>
        <v/>
      </c>
      <c r="D177" s="206"/>
      <c r="E177" s="206" t="str">
        <f>IF(AA177 = "", "",
    IF(ISNUMBER(SEARCH("Kiện", C177)),
       " GÓI " &amp; COUNTIF($C$13:C177, "*Kiện*") &amp; "/" &amp; COUNTIF($C$13:$C$1000, "*Kiện*") &amp; " " &amp; AA177,
       AA177)
)</f>
        <v/>
      </c>
      <c r="F177" s="206"/>
      <c r="G177" s="206"/>
      <c r="H177" s="206"/>
      <c r="I177" s="206"/>
      <c r="J177" s="206" t="str">
        <f t="shared" si="32"/>
        <v/>
      </c>
      <c r="K177" s="206" t="str">
        <f t="shared" si="34"/>
        <v/>
      </c>
      <c r="L177" s="206" t="str">
        <f t="shared" si="35"/>
        <v/>
      </c>
      <c r="M177" s="206" t="str">
        <f t="shared" si="36"/>
        <v/>
      </c>
      <c r="N177" s="206" t="str">
        <f t="shared" si="37"/>
        <v/>
      </c>
      <c r="O177" s="206" t="str">
        <f t="shared" si="38"/>
        <v/>
      </c>
      <c r="P177" s="84" t="str">
        <f t="shared" si="39"/>
        <v/>
      </c>
      <c r="Q177" s="205"/>
      <c r="R177" s="70" t="str">
        <f>IF(S177="IN",'BOM_Phan II'!$Y$3,"")</f>
        <v/>
      </c>
      <c r="S177" s="69" t="str">
        <f t="shared" si="31"/>
        <v/>
      </c>
      <c r="T177">
        <f t="shared" si="40"/>
        <v>3</v>
      </c>
      <c r="U177" t="str">
        <f t="shared" si="41"/>
        <v>KIỆN 14</v>
      </c>
      <c r="V177" t="str">
        <f t="shared" si="42"/>
        <v/>
      </c>
      <c r="W177" s="266"/>
      <c r="X177" s="266"/>
      <c r="Y177" s="266" t="str">
        <f t="shared" si="33"/>
        <v/>
      </c>
      <c r="Z177" s="266"/>
    </row>
    <row r="178" spans="1:26" ht="27" hidden="1" customHeight="1">
      <c r="A178" s="70" t="str">
        <f t="shared" si="29"/>
        <v/>
      </c>
      <c r="B178" s="70" t="str">
        <f t="shared" si="30"/>
        <v/>
      </c>
      <c r="C178" s="204" t="str" cm="1">
        <f t="array" ref="C178">IF(D178="","",
    IF(AND(ISNUMBER(D178), D178=INT(D178)),
        $V$6 &amp; " " &amp; (IFERROR(MAX($Y$12:$Y177), 0) + 1),
        IF(ISNUMBER(SEARCH(".", D178)), "", INDEX($C$12:$C178, MATCH(2, 1/($C$12:$C178 &lt;&gt; ""))))
    )
)</f>
        <v/>
      </c>
      <c r="D178" s="206"/>
      <c r="E178" s="206" t="str">
        <f>IF(AA178 = "", "",
    IF(ISNUMBER(SEARCH("Kiện", C178)),
       " GÓI " &amp; COUNTIF($C$13:C178, "*Kiện*") &amp; "/" &amp; COUNTIF($C$13:$C$1000, "*Kiện*") &amp; " " &amp; AA178,
       AA178)
)</f>
        <v/>
      </c>
      <c r="F178" s="206"/>
      <c r="G178" s="206"/>
      <c r="H178" s="206"/>
      <c r="I178" s="206"/>
      <c r="J178" s="206" t="str">
        <f t="shared" si="32"/>
        <v/>
      </c>
      <c r="K178" s="206" t="str">
        <f t="shared" si="34"/>
        <v/>
      </c>
      <c r="L178" s="206" t="str">
        <f t="shared" si="35"/>
        <v/>
      </c>
      <c r="M178" s="206" t="str">
        <f t="shared" si="36"/>
        <v/>
      </c>
      <c r="N178" s="206" t="str">
        <f t="shared" si="37"/>
        <v/>
      </c>
      <c r="O178" s="206" t="str">
        <f t="shared" si="38"/>
        <v/>
      </c>
      <c r="P178" s="84" t="str">
        <f t="shared" si="39"/>
        <v/>
      </c>
      <c r="Q178" s="205"/>
      <c r="R178" s="70" t="str">
        <f>IF(S178="IN",'BOM_Phan II'!$Y$3,"")</f>
        <v/>
      </c>
      <c r="S178" s="69" t="str">
        <f t="shared" si="31"/>
        <v/>
      </c>
      <c r="T178">
        <f t="shared" si="40"/>
        <v>3</v>
      </c>
      <c r="U178" t="str">
        <f t="shared" si="41"/>
        <v>KIỆN 14</v>
      </c>
      <c r="V178" t="str">
        <f t="shared" si="42"/>
        <v/>
      </c>
      <c r="W178" s="266"/>
      <c r="X178" s="266"/>
      <c r="Y178" s="266" t="str">
        <f t="shared" si="33"/>
        <v/>
      </c>
      <c r="Z178" s="266"/>
    </row>
    <row r="179" spans="1:26" ht="27" hidden="1" customHeight="1">
      <c r="A179" s="70" t="str">
        <f t="shared" si="29"/>
        <v/>
      </c>
      <c r="B179" s="70" t="str">
        <f t="shared" si="30"/>
        <v/>
      </c>
      <c r="C179" s="204" t="str" cm="1">
        <f t="array" ref="C179">IF(D179="","",
    IF(AND(ISNUMBER(D179), D179=INT(D179)),
        $V$6 &amp; " " &amp; (IFERROR(MAX($Y$12:$Y178), 0) + 1),
        IF(ISNUMBER(SEARCH(".", D179)), "", INDEX($C$12:$C179, MATCH(2, 1/($C$12:$C179 &lt;&gt; ""))))
    )
)</f>
        <v/>
      </c>
      <c r="D179" s="206"/>
      <c r="E179" s="206" t="str">
        <f>IF(AA179 = "", "",
    IF(ISNUMBER(SEARCH("Kiện", C179)),
       " GÓI " &amp; COUNTIF($C$13:C179, "*Kiện*") &amp; "/" &amp; COUNTIF($C$13:$C$1000, "*Kiện*") &amp; " " &amp; AA179,
       AA179)
)</f>
        <v/>
      </c>
      <c r="F179" s="206"/>
      <c r="G179" s="206"/>
      <c r="H179" s="206"/>
      <c r="I179" s="206"/>
      <c r="J179" s="206" t="str">
        <f t="shared" si="32"/>
        <v/>
      </c>
      <c r="K179" s="206" t="str">
        <f t="shared" si="34"/>
        <v/>
      </c>
      <c r="L179" s="206" t="str">
        <f t="shared" si="35"/>
        <v/>
      </c>
      <c r="M179" s="206" t="str">
        <f t="shared" si="36"/>
        <v/>
      </c>
      <c r="N179" s="206" t="str">
        <f t="shared" si="37"/>
        <v/>
      </c>
      <c r="O179" s="206" t="str">
        <f t="shared" si="38"/>
        <v/>
      </c>
      <c r="P179" s="84" t="str">
        <f t="shared" si="39"/>
        <v/>
      </c>
      <c r="Q179" s="205"/>
      <c r="R179" s="70" t="str">
        <f>IF(S179="IN",'BOM_Phan II'!$Y$3,"")</f>
        <v/>
      </c>
      <c r="S179" s="69" t="str">
        <f t="shared" si="31"/>
        <v/>
      </c>
      <c r="T179">
        <f t="shared" si="40"/>
        <v>3</v>
      </c>
      <c r="U179" t="str">
        <f t="shared" si="41"/>
        <v>KIỆN 14</v>
      </c>
      <c r="V179" t="str">
        <f t="shared" si="42"/>
        <v/>
      </c>
      <c r="W179" s="266"/>
      <c r="X179" s="266"/>
      <c r="Y179" s="266" t="str">
        <f t="shared" si="33"/>
        <v/>
      </c>
      <c r="Z179" s="266"/>
    </row>
    <row r="180" spans="1:26" ht="27" hidden="1" customHeight="1">
      <c r="A180" s="70" t="str">
        <f t="shared" si="29"/>
        <v/>
      </c>
      <c r="B180" s="70" t="str">
        <f t="shared" si="30"/>
        <v/>
      </c>
      <c r="C180" s="204" t="str" cm="1">
        <f t="array" ref="C180">IF(D180="","",
    IF(AND(ISNUMBER(D180), D180=INT(D180)),
        $V$6 &amp; " " &amp; (IFERROR(MAX($Y$12:$Y179), 0) + 1),
        IF(ISNUMBER(SEARCH(".", D180)), "", INDEX($C$12:$C180, MATCH(2, 1/($C$12:$C180 &lt;&gt; ""))))
    )
)</f>
        <v/>
      </c>
      <c r="D180" s="206"/>
      <c r="E180" s="206" t="str">
        <f>IF(AA180 = "", "",
    IF(ISNUMBER(SEARCH("Kiện", C180)),
       " GÓI " &amp; COUNTIF($C$13:C180, "*Kiện*") &amp; "/" &amp; COUNTIF($C$13:$C$1000, "*Kiện*") &amp; " " &amp; AA180,
       AA180)
)</f>
        <v/>
      </c>
      <c r="F180" s="206"/>
      <c r="G180" s="206"/>
      <c r="H180" s="206"/>
      <c r="I180" s="206"/>
      <c r="J180" s="206" t="str">
        <f t="shared" si="32"/>
        <v/>
      </c>
      <c r="K180" s="206" t="str">
        <f t="shared" si="34"/>
        <v/>
      </c>
      <c r="L180" s="206" t="str">
        <f t="shared" si="35"/>
        <v/>
      </c>
      <c r="M180" s="206" t="str">
        <f t="shared" si="36"/>
        <v/>
      </c>
      <c r="N180" s="206" t="str">
        <f t="shared" si="37"/>
        <v/>
      </c>
      <c r="O180" s="206" t="str">
        <f t="shared" si="38"/>
        <v/>
      </c>
      <c r="P180" s="84" t="str">
        <f t="shared" si="39"/>
        <v/>
      </c>
      <c r="Q180" s="205"/>
      <c r="R180" s="70" t="str">
        <f>IF(S180="IN",'BOM_Phan II'!$Y$3,"")</f>
        <v/>
      </c>
      <c r="S180" s="69" t="str">
        <f t="shared" si="31"/>
        <v/>
      </c>
      <c r="T180">
        <f t="shared" si="40"/>
        <v>3</v>
      </c>
      <c r="U180" t="str">
        <f t="shared" si="41"/>
        <v>KIỆN 14</v>
      </c>
      <c r="V180" t="str">
        <f t="shared" si="42"/>
        <v/>
      </c>
      <c r="W180" s="266"/>
      <c r="X180" s="266"/>
      <c r="Y180" s="266" t="str">
        <f t="shared" si="33"/>
        <v/>
      </c>
      <c r="Z180" s="266"/>
    </row>
    <row r="181" spans="1:26" ht="27" hidden="1" customHeight="1">
      <c r="A181" s="70" t="str">
        <f t="shared" si="29"/>
        <v/>
      </c>
      <c r="B181" s="70" t="str">
        <f t="shared" si="30"/>
        <v/>
      </c>
      <c r="C181" s="204" t="str" cm="1">
        <f t="array" ref="C181">IF(D181="","",
    IF(AND(ISNUMBER(D181), D181=INT(D181)),
        $V$6 &amp; " " &amp; (IFERROR(MAX($Y$12:$Y180), 0) + 1),
        IF(ISNUMBER(SEARCH(".", D181)), "", INDEX($C$12:$C181, MATCH(2, 1/($C$12:$C181 &lt;&gt; ""))))
    )
)</f>
        <v/>
      </c>
      <c r="D181" s="206"/>
      <c r="E181" s="206" t="str">
        <f>IF(AA181 = "", "",
    IF(ISNUMBER(SEARCH("Kiện", C181)),
       " GÓI " &amp; COUNTIF($C$13:C181, "*Kiện*") &amp; "/" &amp; COUNTIF($C$13:$C$1000, "*Kiện*") &amp; " " &amp; AA181,
       AA181)
)</f>
        <v/>
      </c>
      <c r="F181" s="206"/>
      <c r="G181" s="206"/>
      <c r="H181" s="206"/>
      <c r="I181" s="206"/>
      <c r="J181" s="206" t="str">
        <f t="shared" si="32"/>
        <v/>
      </c>
      <c r="K181" s="206" t="str">
        <f t="shared" si="34"/>
        <v/>
      </c>
      <c r="L181" s="206" t="str">
        <f t="shared" si="35"/>
        <v/>
      </c>
      <c r="M181" s="206" t="str">
        <f t="shared" si="36"/>
        <v/>
      </c>
      <c r="N181" s="206" t="str">
        <f t="shared" si="37"/>
        <v/>
      </c>
      <c r="O181" s="206" t="str">
        <f t="shared" si="38"/>
        <v/>
      </c>
      <c r="P181" s="84" t="str">
        <f t="shared" si="39"/>
        <v/>
      </c>
      <c r="Q181" s="205"/>
      <c r="R181" s="70" t="str">
        <f>IF(S181="IN",'BOM_Phan II'!$Y$3,"")</f>
        <v/>
      </c>
      <c r="S181" s="69" t="str">
        <f t="shared" si="31"/>
        <v/>
      </c>
      <c r="T181">
        <f t="shared" si="40"/>
        <v>3</v>
      </c>
      <c r="U181" t="str">
        <f t="shared" si="41"/>
        <v>KIỆN 14</v>
      </c>
      <c r="V181" t="str">
        <f t="shared" si="42"/>
        <v/>
      </c>
      <c r="W181" s="266"/>
      <c r="X181" s="266"/>
      <c r="Y181" s="266" t="str">
        <f t="shared" si="33"/>
        <v/>
      </c>
      <c r="Z181" s="266"/>
    </row>
    <row r="182" spans="1:26" ht="27" hidden="1" customHeight="1">
      <c r="A182" s="70" t="str">
        <f t="shared" si="29"/>
        <v/>
      </c>
      <c r="B182" s="70" t="str">
        <f t="shared" si="30"/>
        <v/>
      </c>
      <c r="C182" s="204" t="str" cm="1">
        <f t="array" ref="C182">IF(D182="","",
    IF(AND(ISNUMBER(D182), D182=INT(D182)),
        $V$6 &amp; " " &amp; (IFERROR(MAX($Y$12:$Y181), 0) + 1),
        IF(ISNUMBER(SEARCH(".", D182)), "", INDEX($C$12:$C182, MATCH(2, 1/($C$12:$C182 &lt;&gt; ""))))
    )
)</f>
        <v/>
      </c>
      <c r="D182" s="206"/>
      <c r="E182" s="206" t="str">
        <f>IF(AA182 = "", "",
    IF(ISNUMBER(SEARCH("Kiện", C182)),
       " GÓI " &amp; COUNTIF($C$13:C182, "*Kiện*") &amp; "/" &amp; COUNTIF($C$13:$C$1000, "*Kiện*") &amp; " " &amp; AA182,
       AA182)
)</f>
        <v/>
      </c>
      <c r="F182" s="206"/>
      <c r="G182" s="206"/>
      <c r="H182" s="206"/>
      <c r="I182" s="206"/>
      <c r="J182" s="206" t="str">
        <f t="shared" si="32"/>
        <v/>
      </c>
      <c r="K182" s="206" t="str">
        <f t="shared" si="34"/>
        <v/>
      </c>
      <c r="L182" s="206" t="str">
        <f t="shared" si="35"/>
        <v/>
      </c>
      <c r="M182" s="206" t="str">
        <f t="shared" si="36"/>
        <v/>
      </c>
      <c r="N182" s="206" t="str">
        <f t="shared" si="37"/>
        <v/>
      </c>
      <c r="O182" s="206" t="str">
        <f t="shared" si="38"/>
        <v/>
      </c>
      <c r="P182" s="84" t="str">
        <f t="shared" si="39"/>
        <v/>
      </c>
      <c r="Q182" s="205"/>
      <c r="R182" s="70" t="str">
        <f>IF(S182="IN",'BOM_Phan II'!$Y$3,"")</f>
        <v/>
      </c>
      <c r="S182" s="69" t="str">
        <f t="shared" si="31"/>
        <v/>
      </c>
      <c r="T182">
        <f t="shared" si="40"/>
        <v>3</v>
      </c>
      <c r="U182" t="str">
        <f t="shared" si="41"/>
        <v>KIỆN 14</v>
      </c>
      <c r="V182" t="str">
        <f t="shared" si="42"/>
        <v/>
      </c>
      <c r="W182" s="266"/>
      <c r="X182" s="266"/>
      <c r="Y182" s="266" t="str">
        <f t="shared" si="33"/>
        <v/>
      </c>
      <c r="Z182" s="266"/>
    </row>
    <row r="183" spans="1:26" ht="27" hidden="1" customHeight="1">
      <c r="A183" s="70" t="str">
        <f t="shared" si="29"/>
        <v/>
      </c>
      <c r="B183" s="70" t="str">
        <f t="shared" si="30"/>
        <v/>
      </c>
      <c r="C183" s="204" t="str" cm="1">
        <f t="array" ref="C183">IF(D183="","",
    IF(AND(ISNUMBER(D183), D183=INT(D183)),
        $V$6 &amp; " " &amp; (IFERROR(MAX($Y$12:$Y182), 0) + 1),
        IF(ISNUMBER(SEARCH(".", D183)), "", INDEX($C$12:$C183, MATCH(2, 1/($C$12:$C183 &lt;&gt; ""))))
    )
)</f>
        <v/>
      </c>
      <c r="D183" s="206"/>
      <c r="E183" s="206" t="str">
        <f>IF(AA183 = "", "",
    IF(ISNUMBER(SEARCH("Kiện", C183)),
       " GÓI " &amp; COUNTIF($C$13:C183, "*Kiện*") &amp; "/" &amp; COUNTIF($C$13:$C$1000, "*Kiện*") &amp; " " &amp; AA183,
       AA183)
)</f>
        <v/>
      </c>
      <c r="F183" s="206"/>
      <c r="G183" s="206"/>
      <c r="H183" s="206"/>
      <c r="I183" s="206"/>
      <c r="J183" s="206" t="str">
        <f t="shared" si="32"/>
        <v/>
      </c>
      <c r="K183" s="206" t="str">
        <f t="shared" si="34"/>
        <v/>
      </c>
      <c r="L183" s="206" t="str">
        <f t="shared" si="35"/>
        <v/>
      </c>
      <c r="M183" s="206" t="str">
        <f t="shared" si="36"/>
        <v/>
      </c>
      <c r="N183" s="206" t="str">
        <f t="shared" si="37"/>
        <v/>
      </c>
      <c r="O183" s="206" t="str">
        <f t="shared" si="38"/>
        <v/>
      </c>
      <c r="P183" s="84" t="str">
        <f t="shared" si="39"/>
        <v/>
      </c>
      <c r="Q183" s="205"/>
      <c r="R183" s="70" t="str">
        <f>IF(S183="IN",'BOM_Phan II'!$Y$3,"")</f>
        <v/>
      </c>
      <c r="S183" s="69" t="str">
        <f t="shared" si="31"/>
        <v/>
      </c>
      <c r="T183">
        <f t="shared" si="40"/>
        <v>3</v>
      </c>
      <c r="U183" t="str">
        <f t="shared" si="41"/>
        <v>KIỆN 14</v>
      </c>
      <c r="V183" t="str">
        <f t="shared" si="42"/>
        <v/>
      </c>
      <c r="W183" s="266"/>
      <c r="X183" s="266"/>
      <c r="Y183" s="266" t="str">
        <f t="shared" si="33"/>
        <v/>
      </c>
      <c r="Z183" s="266"/>
    </row>
    <row r="184" spans="1:26" ht="27" hidden="1" customHeight="1">
      <c r="A184" s="70" t="str">
        <f t="shared" si="29"/>
        <v/>
      </c>
      <c r="B184" s="70" t="str">
        <f t="shared" si="30"/>
        <v/>
      </c>
      <c r="C184" s="204" t="str" cm="1">
        <f t="array" ref="C184">IF(D184="","",
    IF(AND(ISNUMBER(D184), D184=INT(D184)),
        $V$6 &amp; " " &amp; (IFERROR(MAX($Y$12:$Y183), 0) + 1),
        IF(ISNUMBER(SEARCH(".", D184)), "", INDEX($C$12:$C184, MATCH(2, 1/($C$12:$C184 &lt;&gt; ""))))
    )
)</f>
        <v/>
      </c>
      <c r="D184" s="206"/>
      <c r="E184" s="206" t="str">
        <f>IF(AA184 = "", "",
    IF(ISNUMBER(SEARCH("Kiện", C184)),
       " GÓI " &amp; COUNTIF($C$13:C184, "*Kiện*") &amp; "/" &amp; COUNTIF($C$13:$C$1000, "*Kiện*") &amp; " " &amp; AA184,
       AA184)
)</f>
        <v/>
      </c>
      <c r="F184" s="206"/>
      <c r="G184" s="206"/>
      <c r="H184" s="206"/>
      <c r="I184" s="206"/>
      <c r="J184" s="206" t="str">
        <f t="shared" si="32"/>
        <v/>
      </c>
      <c r="K184" s="206" t="str">
        <f t="shared" si="34"/>
        <v/>
      </c>
      <c r="L184" s="206" t="str">
        <f t="shared" si="35"/>
        <v/>
      </c>
      <c r="M184" s="206" t="str">
        <f t="shared" si="36"/>
        <v/>
      </c>
      <c r="N184" s="206" t="str">
        <f t="shared" si="37"/>
        <v/>
      </c>
      <c r="O184" s="206" t="str">
        <f t="shared" si="38"/>
        <v/>
      </c>
      <c r="P184" s="84" t="str">
        <f t="shared" si="39"/>
        <v/>
      </c>
      <c r="Q184" s="205"/>
      <c r="R184" s="70" t="str">
        <f>IF(S184="IN",'BOM_Phan II'!$Y$3,"")</f>
        <v/>
      </c>
      <c r="S184" s="69" t="str">
        <f t="shared" si="31"/>
        <v/>
      </c>
      <c r="T184">
        <f t="shared" si="40"/>
        <v>3</v>
      </c>
      <c r="U184" t="str">
        <f t="shared" si="41"/>
        <v>KIỆN 14</v>
      </c>
      <c r="V184" t="str">
        <f t="shared" si="42"/>
        <v/>
      </c>
      <c r="W184" s="266"/>
      <c r="X184" s="266"/>
      <c r="Y184" s="266" t="str">
        <f t="shared" si="33"/>
        <v/>
      </c>
      <c r="Z184" s="266"/>
    </row>
    <row r="185" spans="1:26" ht="27" hidden="1" customHeight="1">
      <c r="A185" s="70" t="str">
        <f t="shared" si="29"/>
        <v/>
      </c>
      <c r="B185" s="70" t="str">
        <f t="shared" si="30"/>
        <v/>
      </c>
      <c r="C185" s="204" t="str" cm="1">
        <f t="array" ref="C185">IF(D185="","",
    IF(AND(ISNUMBER(D185), D185=INT(D185)),
        $V$6 &amp; " " &amp; (IFERROR(MAX($Y$12:$Y184), 0) + 1),
        IF(ISNUMBER(SEARCH(".", D185)), "", INDEX($C$12:$C185, MATCH(2, 1/($C$12:$C185 &lt;&gt; ""))))
    )
)</f>
        <v/>
      </c>
      <c r="D185" s="206"/>
      <c r="E185" s="206" t="str">
        <f>IF(AA185 = "", "",
    IF(ISNUMBER(SEARCH("Kiện", C185)),
       " GÓI " &amp; COUNTIF($C$13:C185, "*Kiện*") &amp; "/" &amp; COUNTIF($C$13:$C$1000, "*Kiện*") &amp; " " &amp; AA185,
       AA185)
)</f>
        <v/>
      </c>
      <c r="F185" s="206"/>
      <c r="G185" s="206"/>
      <c r="H185" s="206"/>
      <c r="I185" s="206"/>
      <c r="J185" s="206" t="str">
        <f t="shared" si="32"/>
        <v/>
      </c>
      <c r="K185" s="206" t="str">
        <f t="shared" si="34"/>
        <v/>
      </c>
      <c r="L185" s="206" t="str">
        <f t="shared" si="35"/>
        <v/>
      </c>
      <c r="M185" s="206" t="str">
        <f t="shared" si="36"/>
        <v/>
      </c>
      <c r="N185" s="206" t="str">
        <f t="shared" si="37"/>
        <v/>
      </c>
      <c r="O185" s="206" t="str">
        <f t="shared" si="38"/>
        <v/>
      </c>
      <c r="P185" s="84" t="str">
        <f t="shared" si="39"/>
        <v/>
      </c>
      <c r="Q185" s="205"/>
      <c r="R185" s="70" t="str">
        <f>IF(S185="IN",'BOM_Phan II'!$Y$3,"")</f>
        <v/>
      </c>
      <c r="S185" s="69" t="str">
        <f t="shared" si="31"/>
        <v/>
      </c>
      <c r="T185">
        <f t="shared" si="40"/>
        <v>3</v>
      </c>
      <c r="U185" t="str">
        <f t="shared" si="41"/>
        <v>KIỆN 14</v>
      </c>
      <c r="V185" t="str">
        <f t="shared" si="42"/>
        <v/>
      </c>
      <c r="W185" s="266"/>
      <c r="X185" s="266"/>
      <c r="Y185" s="266" t="str">
        <f t="shared" si="33"/>
        <v/>
      </c>
      <c r="Z185" s="266"/>
    </row>
    <row r="186" spans="1:26" ht="27" hidden="1" customHeight="1">
      <c r="A186" s="70" t="str">
        <f t="shared" si="29"/>
        <v/>
      </c>
      <c r="B186" s="70" t="str">
        <f t="shared" si="30"/>
        <v/>
      </c>
      <c r="C186" s="204" t="str" cm="1">
        <f t="array" ref="C186">IF(D186="","",
    IF(AND(ISNUMBER(D186), D186=INT(D186)),
        $V$6 &amp; " " &amp; (IFERROR(MAX($Y$12:$Y185), 0) + 1),
        IF(ISNUMBER(SEARCH(".", D186)), "", INDEX($C$12:$C186, MATCH(2, 1/($C$12:$C186 &lt;&gt; ""))))
    )
)</f>
        <v/>
      </c>
      <c r="D186" s="206"/>
      <c r="E186" s="206" t="str">
        <f>IF(AA186 = "", "",
    IF(ISNUMBER(SEARCH("Kiện", C186)),
       " GÓI " &amp; COUNTIF($C$13:C186, "*Kiện*") &amp; "/" &amp; COUNTIF($C$13:$C$1000, "*Kiện*") &amp; " " &amp; AA186,
       AA186)
)</f>
        <v/>
      </c>
      <c r="F186" s="206"/>
      <c r="G186" s="206"/>
      <c r="H186" s="206"/>
      <c r="I186" s="206"/>
      <c r="J186" s="206" t="str">
        <f t="shared" si="32"/>
        <v/>
      </c>
      <c r="K186" s="206" t="str">
        <f t="shared" si="34"/>
        <v/>
      </c>
      <c r="L186" s="206" t="str">
        <f t="shared" si="35"/>
        <v/>
      </c>
      <c r="M186" s="206" t="str">
        <f t="shared" si="36"/>
        <v/>
      </c>
      <c r="N186" s="206" t="str">
        <f t="shared" si="37"/>
        <v/>
      </c>
      <c r="O186" s="206" t="str">
        <f t="shared" si="38"/>
        <v/>
      </c>
      <c r="P186" s="84" t="str">
        <f t="shared" si="39"/>
        <v/>
      </c>
      <c r="Q186" s="205"/>
      <c r="R186" s="70" t="str">
        <f>IF(S186="IN",'BOM_Phan II'!$Y$3,"")</f>
        <v/>
      </c>
      <c r="S186" s="69" t="str">
        <f t="shared" si="31"/>
        <v/>
      </c>
      <c r="T186">
        <f t="shared" si="40"/>
        <v>3</v>
      </c>
      <c r="U186" t="str">
        <f t="shared" si="41"/>
        <v>KIỆN 14</v>
      </c>
      <c r="V186" t="str">
        <f t="shared" si="42"/>
        <v/>
      </c>
      <c r="W186" s="266"/>
      <c r="X186" s="266"/>
      <c r="Y186" s="266" t="str">
        <f t="shared" si="33"/>
        <v/>
      </c>
      <c r="Z186" s="266"/>
    </row>
    <row r="187" spans="1:26" ht="27" hidden="1" customHeight="1">
      <c r="A187" s="70" t="str">
        <f t="shared" si="29"/>
        <v/>
      </c>
      <c r="B187" s="70" t="str">
        <f t="shared" si="30"/>
        <v/>
      </c>
      <c r="C187" s="204" t="str" cm="1">
        <f t="array" ref="C187">IF(D187="","",
    IF(AND(ISNUMBER(D187), D187=INT(D187)),
        $V$6 &amp; " " &amp; (IFERROR(MAX($Y$12:$Y186), 0) + 1),
        IF(ISNUMBER(SEARCH(".", D187)), "", INDEX($C$12:$C187, MATCH(2, 1/($C$12:$C187 &lt;&gt; ""))))
    )
)</f>
        <v/>
      </c>
      <c r="D187" s="206"/>
      <c r="E187" s="206" t="str">
        <f>IF(AA187 = "", "",
    IF(ISNUMBER(SEARCH("Kiện", C187)),
       " GÓI " &amp; COUNTIF($C$13:C187, "*Kiện*") &amp; "/" &amp; COUNTIF($C$13:$C$1000, "*Kiện*") &amp; " " &amp; AA187,
       AA187)
)</f>
        <v/>
      </c>
      <c r="F187" s="206"/>
      <c r="G187" s="206"/>
      <c r="H187" s="206"/>
      <c r="I187" s="206"/>
      <c r="J187" s="206" t="str">
        <f t="shared" si="32"/>
        <v/>
      </c>
      <c r="K187" s="206" t="str">
        <f t="shared" si="34"/>
        <v/>
      </c>
      <c r="L187" s="206" t="str">
        <f t="shared" si="35"/>
        <v/>
      </c>
      <c r="M187" s="206" t="str">
        <f t="shared" si="36"/>
        <v/>
      </c>
      <c r="N187" s="206" t="str">
        <f t="shared" si="37"/>
        <v/>
      </c>
      <c r="O187" s="206" t="str">
        <f t="shared" si="38"/>
        <v/>
      </c>
      <c r="P187" s="84" t="str">
        <f t="shared" si="39"/>
        <v/>
      </c>
      <c r="Q187" s="205"/>
      <c r="R187" s="70" t="str">
        <f>IF(S187="IN",'BOM_Phan II'!$Y$3,"")</f>
        <v/>
      </c>
      <c r="S187" s="69" t="str">
        <f t="shared" si="31"/>
        <v/>
      </c>
      <c r="T187">
        <f t="shared" si="40"/>
        <v>3</v>
      </c>
      <c r="U187" t="str">
        <f t="shared" si="41"/>
        <v>KIỆN 14</v>
      </c>
      <c r="V187" t="str">
        <f t="shared" si="42"/>
        <v/>
      </c>
      <c r="W187" s="266"/>
      <c r="X187" s="266"/>
      <c r="Y187" s="266" t="str">
        <f t="shared" si="33"/>
        <v/>
      </c>
      <c r="Z187" s="266"/>
    </row>
    <row r="188" spans="1:26" ht="27" hidden="1" customHeight="1">
      <c r="A188" s="70" t="str">
        <f t="shared" si="29"/>
        <v/>
      </c>
      <c r="B188" s="70" t="str">
        <f t="shared" si="30"/>
        <v/>
      </c>
      <c r="C188" s="204" t="str" cm="1">
        <f t="array" ref="C188">IF(D188="","",
    IF(AND(ISNUMBER(D188), D188=INT(D188)),
        $V$6 &amp; " " &amp; (IFERROR(MAX($Y$12:$Y187), 0) + 1),
        IF(ISNUMBER(SEARCH(".", D188)), "", INDEX($C$12:$C188, MATCH(2, 1/($C$12:$C188 &lt;&gt; ""))))
    )
)</f>
        <v/>
      </c>
      <c r="D188" s="206"/>
      <c r="E188" s="206" t="str">
        <f>IF(AA188 = "", "",
    IF(ISNUMBER(SEARCH("Kiện", C188)),
       " GÓI " &amp; COUNTIF($C$13:C188, "*Kiện*") &amp; "/" &amp; COUNTIF($C$13:$C$1000, "*Kiện*") &amp; " " &amp; AA188,
       AA188)
)</f>
        <v/>
      </c>
      <c r="F188" s="206"/>
      <c r="G188" s="206"/>
      <c r="H188" s="206"/>
      <c r="I188" s="206"/>
      <c r="J188" s="206" t="str">
        <f t="shared" si="32"/>
        <v/>
      </c>
      <c r="K188" s="206" t="str">
        <f t="shared" si="34"/>
        <v/>
      </c>
      <c r="L188" s="206" t="str">
        <f t="shared" si="35"/>
        <v/>
      </c>
      <c r="M188" s="206" t="str">
        <f t="shared" si="36"/>
        <v/>
      </c>
      <c r="N188" s="206" t="str">
        <f t="shared" si="37"/>
        <v/>
      </c>
      <c r="O188" s="206" t="str">
        <f t="shared" si="38"/>
        <v/>
      </c>
      <c r="P188" s="84" t="str">
        <f t="shared" si="39"/>
        <v/>
      </c>
      <c r="Q188" s="205"/>
      <c r="R188" s="70" t="str">
        <f>IF(S188="IN",'BOM_Phan II'!$Y$3,"")</f>
        <v/>
      </c>
      <c r="S188" s="69" t="str">
        <f t="shared" si="31"/>
        <v/>
      </c>
      <c r="T188">
        <f t="shared" si="40"/>
        <v>3</v>
      </c>
      <c r="U188" t="str">
        <f t="shared" si="41"/>
        <v>KIỆN 14</v>
      </c>
      <c r="V188" t="str">
        <f t="shared" si="42"/>
        <v/>
      </c>
      <c r="W188" s="266"/>
      <c r="X188" s="266"/>
      <c r="Y188" s="266" t="str">
        <f t="shared" si="33"/>
        <v/>
      </c>
      <c r="Z188" s="266"/>
    </row>
    <row r="189" spans="1:26" ht="27" hidden="1" customHeight="1">
      <c r="A189" s="70" t="str">
        <f t="shared" si="29"/>
        <v/>
      </c>
      <c r="B189" s="70" t="str">
        <f t="shared" si="30"/>
        <v/>
      </c>
      <c r="C189" s="204" t="str" cm="1">
        <f t="array" ref="C189">IF(D189="","",
    IF(AND(ISNUMBER(D189), D189=INT(D189)),
        $V$6 &amp; " " &amp; (IFERROR(MAX($Y$12:$Y188), 0) + 1),
        IF(ISNUMBER(SEARCH(".", D189)), "", INDEX($C$12:$C189, MATCH(2, 1/($C$12:$C189 &lt;&gt; ""))))
    )
)</f>
        <v/>
      </c>
      <c r="D189" s="206"/>
      <c r="E189" s="206" t="str">
        <f>IF(AA189 = "", "",
    IF(ISNUMBER(SEARCH("Kiện", C189)),
       " GÓI " &amp; COUNTIF($C$13:C189, "*Kiện*") &amp; "/" &amp; COUNTIF($C$13:$C$1000, "*Kiện*") &amp; " " &amp; AA189,
       AA189)
)</f>
        <v/>
      </c>
      <c r="F189" s="206"/>
      <c r="G189" s="206"/>
      <c r="H189" s="206"/>
      <c r="I189" s="206"/>
      <c r="J189" s="206" t="str">
        <f t="shared" si="32"/>
        <v/>
      </c>
      <c r="K189" s="206" t="str">
        <f t="shared" si="34"/>
        <v/>
      </c>
      <c r="L189" s="206" t="str">
        <f t="shared" si="35"/>
        <v/>
      </c>
      <c r="M189" s="206" t="str">
        <f t="shared" si="36"/>
        <v/>
      </c>
      <c r="N189" s="206" t="str">
        <f t="shared" si="37"/>
        <v/>
      </c>
      <c r="O189" s="206" t="str">
        <f t="shared" si="38"/>
        <v/>
      </c>
      <c r="P189" s="84" t="str">
        <f t="shared" si="39"/>
        <v/>
      </c>
      <c r="Q189" s="205"/>
      <c r="R189" s="70" t="str">
        <f>IF(S189="IN",'BOM_Phan II'!$Y$3,"")</f>
        <v/>
      </c>
      <c r="S189" s="69" t="str">
        <f t="shared" si="31"/>
        <v/>
      </c>
      <c r="T189">
        <f t="shared" si="40"/>
        <v>3</v>
      </c>
      <c r="U189" t="str">
        <f t="shared" si="41"/>
        <v>KIỆN 14</v>
      </c>
      <c r="V189" t="str">
        <f t="shared" si="42"/>
        <v/>
      </c>
      <c r="W189" s="266"/>
      <c r="X189" s="266"/>
      <c r="Y189" s="266" t="str">
        <f t="shared" si="33"/>
        <v/>
      </c>
      <c r="Z189" s="266"/>
    </row>
    <row r="190" spans="1:26" ht="27" hidden="1" customHeight="1">
      <c r="A190" s="70" t="str">
        <f t="shared" si="29"/>
        <v/>
      </c>
      <c r="B190" s="70" t="str">
        <f t="shared" si="30"/>
        <v/>
      </c>
      <c r="C190" s="204" t="str" cm="1">
        <f t="array" ref="C190">IF(D190="","",
    IF(AND(ISNUMBER(D190), D190=INT(D190)),
        $V$6 &amp; " " &amp; (IFERROR(MAX($Y$12:$Y189), 0) + 1),
        IF(ISNUMBER(SEARCH(".", D190)), "", INDEX($C$12:$C190, MATCH(2, 1/($C$12:$C190 &lt;&gt; ""))))
    )
)</f>
        <v/>
      </c>
      <c r="D190" s="206"/>
      <c r="E190" s="206" t="str">
        <f>IF(AA190 = "", "",
    IF(ISNUMBER(SEARCH("Kiện", C190)),
       " GÓI " &amp; COUNTIF($C$13:C190, "*Kiện*") &amp; "/" &amp; COUNTIF($C$13:$C$1000, "*Kiện*") &amp; " " &amp; AA190,
       AA190)
)</f>
        <v/>
      </c>
      <c r="F190" s="206"/>
      <c r="G190" s="206"/>
      <c r="H190" s="206"/>
      <c r="I190" s="206"/>
      <c r="J190" s="206" t="str">
        <f t="shared" si="32"/>
        <v/>
      </c>
      <c r="K190" s="206" t="str">
        <f t="shared" si="34"/>
        <v/>
      </c>
      <c r="L190" s="206" t="str">
        <f t="shared" si="35"/>
        <v/>
      </c>
      <c r="M190" s="206" t="str">
        <f t="shared" si="36"/>
        <v/>
      </c>
      <c r="N190" s="206" t="str">
        <f t="shared" si="37"/>
        <v/>
      </c>
      <c r="O190" s="206" t="str">
        <f t="shared" si="38"/>
        <v/>
      </c>
      <c r="P190" s="84" t="str">
        <f t="shared" si="39"/>
        <v/>
      </c>
      <c r="Q190" s="205"/>
      <c r="R190" s="70" t="str">
        <f>IF(S190="IN",'BOM_Phan II'!$Y$3,"")</f>
        <v/>
      </c>
      <c r="S190" s="69" t="str">
        <f t="shared" si="31"/>
        <v/>
      </c>
      <c r="T190">
        <f t="shared" si="40"/>
        <v>3</v>
      </c>
      <c r="U190" t="str">
        <f t="shared" si="41"/>
        <v>KIỆN 14</v>
      </c>
      <c r="V190" t="str">
        <f t="shared" si="42"/>
        <v/>
      </c>
      <c r="W190" s="266"/>
      <c r="X190" s="266"/>
      <c r="Y190" s="266" t="str">
        <f t="shared" si="33"/>
        <v/>
      </c>
      <c r="Z190" s="266"/>
    </row>
    <row r="191" spans="1:26" ht="27" hidden="1" customHeight="1">
      <c r="A191" s="70" t="str">
        <f t="shared" si="29"/>
        <v/>
      </c>
      <c r="B191" s="70" t="str">
        <f t="shared" si="30"/>
        <v/>
      </c>
      <c r="C191" s="204" t="str" cm="1">
        <f t="array" ref="C191">IF(D191="","",
    IF(AND(ISNUMBER(D191), D191=INT(D191)),
        $V$6 &amp; " " &amp; (IFERROR(MAX($Y$12:$Y190), 0) + 1),
        IF(ISNUMBER(SEARCH(".", D191)), "", INDEX($C$12:$C191, MATCH(2, 1/($C$12:$C191 &lt;&gt; ""))))
    )
)</f>
        <v/>
      </c>
      <c r="D191" s="206"/>
      <c r="E191" s="206" t="str">
        <f>IF(AA191 = "", "",
    IF(ISNUMBER(SEARCH("Kiện", C191)),
       " GÓI " &amp; COUNTIF($C$13:C191, "*Kiện*") &amp; "/" &amp; COUNTIF($C$13:$C$1000, "*Kiện*") &amp; " " &amp; AA191,
       AA191)
)</f>
        <v/>
      </c>
      <c r="F191" s="206"/>
      <c r="G191" s="206"/>
      <c r="H191" s="206"/>
      <c r="I191" s="206"/>
      <c r="J191" s="206" t="str">
        <f t="shared" si="32"/>
        <v/>
      </c>
      <c r="K191" s="206" t="str">
        <f t="shared" si="34"/>
        <v/>
      </c>
      <c r="L191" s="206" t="str">
        <f t="shared" si="35"/>
        <v/>
      </c>
      <c r="M191" s="206" t="str">
        <f t="shared" si="36"/>
        <v/>
      </c>
      <c r="N191" s="206" t="str">
        <f t="shared" si="37"/>
        <v/>
      </c>
      <c r="O191" s="206" t="str">
        <f t="shared" si="38"/>
        <v/>
      </c>
      <c r="P191" s="84" t="str">
        <f t="shared" si="39"/>
        <v/>
      </c>
      <c r="Q191" s="205"/>
      <c r="R191" s="70" t="str">
        <f>IF(S191="IN",'BOM_Phan II'!$Y$3,"")</f>
        <v/>
      </c>
      <c r="S191" s="69" t="str">
        <f t="shared" si="31"/>
        <v/>
      </c>
      <c r="T191">
        <f t="shared" si="40"/>
        <v>3</v>
      </c>
      <c r="U191" t="str">
        <f t="shared" si="41"/>
        <v>KIỆN 14</v>
      </c>
      <c r="V191" t="str">
        <f t="shared" si="42"/>
        <v/>
      </c>
      <c r="W191" s="266"/>
      <c r="X191" s="266"/>
      <c r="Y191" s="266" t="str">
        <f t="shared" si="33"/>
        <v/>
      </c>
      <c r="Z191" s="266"/>
    </row>
    <row r="192" spans="1:26" ht="27" hidden="1" customHeight="1">
      <c r="A192" s="70" t="str">
        <f t="shared" si="29"/>
        <v/>
      </c>
      <c r="B192" s="70" t="str">
        <f t="shared" si="30"/>
        <v/>
      </c>
      <c r="C192" s="204" t="str" cm="1">
        <f t="array" ref="C192">IF(D192="","",
    IF(AND(ISNUMBER(D192), D192=INT(D192)),
        $V$6 &amp; " " &amp; (IFERROR(MAX($Y$12:$Y191), 0) + 1),
        IF(ISNUMBER(SEARCH(".", D192)), "", INDEX($C$12:$C192, MATCH(2, 1/($C$12:$C192 &lt;&gt; ""))))
    )
)</f>
        <v/>
      </c>
      <c r="D192" s="206"/>
      <c r="E192" s="206" t="str">
        <f>IF(AA192 = "", "",
    IF(ISNUMBER(SEARCH("Kiện", C192)),
       " GÓI " &amp; COUNTIF($C$13:C192, "*Kiện*") &amp; "/" &amp; COUNTIF($C$13:$C$1000, "*Kiện*") &amp; " " &amp; AA192,
       AA192)
)</f>
        <v/>
      </c>
      <c r="F192" s="206"/>
      <c r="G192" s="206"/>
      <c r="H192" s="206"/>
      <c r="I192" s="206"/>
      <c r="J192" s="206" t="str">
        <f t="shared" si="32"/>
        <v/>
      </c>
      <c r="K192" s="206" t="str">
        <f t="shared" si="34"/>
        <v/>
      </c>
      <c r="L192" s="206" t="str">
        <f t="shared" si="35"/>
        <v/>
      </c>
      <c r="M192" s="206" t="str">
        <f t="shared" si="36"/>
        <v/>
      </c>
      <c r="N192" s="206" t="str">
        <f t="shared" si="37"/>
        <v/>
      </c>
      <c r="O192" s="206" t="str">
        <f t="shared" si="38"/>
        <v/>
      </c>
      <c r="P192" s="84" t="str">
        <f t="shared" si="39"/>
        <v/>
      </c>
      <c r="Q192" s="205"/>
      <c r="R192" s="70" t="str">
        <f>IF(S192="IN",'BOM_Phan II'!$Y$3,"")</f>
        <v/>
      </c>
      <c r="S192" s="69" t="str">
        <f t="shared" si="31"/>
        <v/>
      </c>
      <c r="T192">
        <f t="shared" si="40"/>
        <v>3</v>
      </c>
      <c r="U192" t="str">
        <f t="shared" si="41"/>
        <v>KIỆN 14</v>
      </c>
      <c r="V192" t="str">
        <f t="shared" si="42"/>
        <v/>
      </c>
      <c r="W192" s="266"/>
      <c r="X192" s="266"/>
      <c r="Y192" s="266" t="str">
        <f t="shared" si="33"/>
        <v/>
      </c>
      <c r="Z192" s="266"/>
    </row>
    <row r="193" spans="1:26" ht="27" hidden="1" customHeight="1">
      <c r="A193" s="70" t="str">
        <f t="shared" si="29"/>
        <v/>
      </c>
      <c r="B193" s="70" t="str">
        <f t="shared" si="30"/>
        <v/>
      </c>
      <c r="C193" s="204" t="str" cm="1">
        <f t="array" ref="C193">IF(D193="","",
    IF(AND(ISNUMBER(D193), D193=INT(D193)),
        $V$6 &amp; " " &amp; (IFERROR(MAX($Y$12:$Y192), 0) + 1),
        IF(ISNUMBER(SEARCH(".", D193)), "", INDEX($C$12:$C193, MATCH(2, 1/($C$12:$C193 &lt;&gt; ""))))
    )
)</f>
        <v/>
      </c>
      <c r="D193" s="206"/>
      <c r="E193" s="206" t="str">
        <f>IF(AA193 = "", "",
    IF(ISNUMBER(SEARCH("Kiện", C193)),
       " GÓI " &amp; COUNTIF($C$13:C193, "*Kiện*") &amp; "/" &amp; COUNTIF($C$13:$C$1000, "*Kiện*") &amp; " " &amp; AA193,
       AA193)
)</f>
        <v/>
      </c>
      <c r="F193" s="206"/>
      <c r="G193" s="206"/>
      <c r="H193" s="206"/>
      <c r="I193" s="206"/>
      <c r="J193" s="206" t="str">
        <f t="shared" si="32"/>
        <v/>
      </c>
      <c r="K193" s="206" t="str">
        <f t="shared" si="34"/>
        <v/>
      </c>
      <c r="L193" s="206" t="str">
        <f t="shared" si="35"/>
        <v/>
      </c>
      <c r="M193" s="206" t="str">
        <f t="shared" si="36"/>
        <v/>
      </c>
      <c r="N193" s="206" t="str">
        <f t="shared" si="37"/>
        <v/>
      </c>
      <c r="O193" s="206" t="str">
        <f t="shared" si="38"/>
        <v/>
      </c>
      <c r="P193" s="84" t="str">
        <f t="shared" si="39"/>
        <v/>
      </c>
      <c r="Q193" s="205"/>
      <c r="R193" s="70" t="str">
        <f>IF(S193="IN",'BOM_Phan II'!$Y$3,"")</f>
        <v/>
      </c>
      <c r="S193" s="69" t="str">
        <f t="shared" si="31"/>
        <v/>
      </c>
      <c r="T193">
        <f t="shared" si="40"/>
        <v>3</v>
      </c>
      <c r="U193" t="str">
        <f t="shared" si="41"/>
        <v>KIỆN 14</v>
      </c>
      <c r="V193" t="str">
        <f t="shared" si="42"/>
        <v/>
      </c>
      <c r="W193" s="266"/>
      <c r="X193" s="266"/>
      <c r="Y193" s="266" t="str">
        <f t="shared" si="33"/>
        <v/>
      </c>
      <c r="Z193" s="266"/>
    </row>
    <row r="194" spans="1:26" ht="27" hidden="1" customHeight="1">
      <c r="A194" s="70" t="str">
        <f t="shared" si="29"/>
        <v/>
      </c>
      <c r="B194" s="70" t="str">
        <f t="shared" si="30"/>
        <v/>
      </c>
      <c r="C194" s="204" t="str" cm="1">
        <f t="array" ref="C194">IF(D194="","",
    IF(AND(ISNUMBER(D194), D194=INT(D194)),
        $V$6 &amp; " " &amp; (IFERROR(MAX($Y$12:$Y193), 0) + 1),
        IF(ISNUMBER(SEARCH(".", D194)), "", INDEX($C$12:$C194, MATCH(2, 1/($C$12:$C194 &lt;&gt; ""))))
    )
)</f>
        <v/>
      </c>
      <c r="D194" s="206"/>
      <c r="E194" s="206" t="str">
        <f>IF(AA194 = "", "",
    IF(ISNUMBER(SEARCH("Kiện", C194)),
       " GÓI " &amp; COUNTIF($C$13:C194, "*Kiện*") &amp; "/" &amp; COUNTIF($C$13:$C$1000, "*Kiện*") &amp; " " &amp; AA194,
       AA194)
)</f>
        <v/>
      </c>
      <c r="F194" s="206"/>
      <c r="G194" s="206"/>
      <c r="H194" s="206"/>
      <c r="I194" s="206"/>
      <c r="J194" s="206" t="str">
        <f t="shared" si="32"/>
        <v/>
      </c>
      <c r="K194" s="206" t="str">
        <f t="shared" si="34"/>
        <v/>
      </c>
      <c r="L194" s="206" t="str">
        <f t="shared" si="35"/>
        <v/>
      </c>
      <c r="M194" s="206" t="str">
        <f t="shared" si="36"/>
        <v/>
      </c>
      <c r="N194" s="206" t="str">
        <f t="shared" si="37"/>
        <v/>
      </c>
      <c r="O194" s="206" t="str">
        <f t="shared" si="38"/>
        <v/>
      </c>
      <c r="P194" s="84" t="str">
        <f t="shared" si="39"/>
        <v/>
      </c>
      <c r="Q194" s="205"/>
      <c r="R194" s="70" t="str">
        <f>IF(S194="IN",'BOM_Phan II'!$Y$3,"")</f>
        <v/>
      </c>
      <c r="S194" s="69" t="str">
        <f t="shared" si="31"/>
        <v/>
      </c>
      <c r="T194">
        <f t="shared" si="40"/>
        <v>3</v>
      </c>
      <c r="U194" t="str">
        <f t="shared" si="41"/>
        <v>KIỆN 14</v>
      </c>
      <c r="V194" t="str">
        <f t="shared" si="42"/>
        <v/>
      </c>
      <c r="W194" s="266"/>
      <c r="X194" s="266"/>
      <c r="Y194" s="266" t="str">
        <f t="shared" si="33"/>
        <v/>
      </c>
      <c r="Z194" s="266"/>
    </row>
    <row r="195" spans="1:26" ht="27" hidden="1" customHeight="1">
      <c r="A195" s="70" t="str">
        <f t="shared" si="29"/>
        <v/>
      </c>
      <c r="B195" s="70" t="str">
        <f t="shared" si="30"/>
        <v/>
      </c>
      <c r="C195" s="204" t="str" cm="1">
        <f t="array" ref="C195">IF(D195="","",
    IF(AND(ISNUMBER(D195), D195=INT(D195)),
        $V$6 &amp; " " &amp; (IFERROR(MAX($Y$12:$Y194), 0) + 1),
        IF(ISNUMBER(SEARCH(".", D195)), "", INDEX($C$12:$C195, MATCH(2, 1/($C$12:$C195 &lt;&gt; ""))))
    )
)</f>
        <v/>
      </c>
      <c r="D195" s="206"/>
      <c r="E195" s="206" t="str">
        <f>IF(AA195 = "", "",
    IF(ISNUMBER(SEARCH("Kiện", C195)),
       " GÓI " &amp; COUNTIF($C$13:C195, "*Kiện*") &amp; "/" &amp; COUNTIF($C$13:$C$1000, "*Kiện*") &amp; " " &amp; AA195,
       AA195)
)</f>
        <v/>
      </c>
      <c r="F195" s="206"/>
      <c r="G195" s="206"/>
      <c r="H195" s="206"/>
      <c r="I195" s="206"/>
      <c r="J195" s="206" t="str">
        <f t="shared" si="32"/>
        <v/>
      </c>
      <c r="K195" s="206" t="str">
        <f t="shared" si="34"/>
        <v/>
      </c>
      <c r="L195" s="206" t="str">
        <f t="shared" si="35"/>
        <v/>
      </c>
      <c r="M195" s="206" t="str">
        <f t="shared" si="36"/>
        <v/>
      </c>
      <c r="N195" s="206" t="str">
        <f t="shared" si="37"/>
        <v/>
      </c>
      <c r="O195" s="206" t="str">
        <f t="shared" si="38"/>
        <v/>
      </c>
      <c r="P195" s="84" t="str">
        <f t="shared" si="39"/>
        <v/>
      </c>
      <c r="Q195" s="205"/>
      <c r="R195" s="70" t="str">
        <f>IF(S195="IN",'BOM_Phan II'!$Y$3,"")</f>
        <v/>
      </c>
      <c r="S195" s="69" t="str">
        <f t="shared" si="31"/>
        <v/>
      </c>
      <c r="T195">
        <f t="shared" si="40"/>
        <v>3</v>
      </c>
      <c r="U195" t="str">
        <f t="shared" si="41"/>
        <v>KIỆN 14</v>
      </c>
      <c r="V195" t="str">
        <f t="shared" si="42"/>
        <v/>
      </c>
      <c r="W195" s="266"/>
      <c r="X195" s="266"/>
      <c r="Y195" s="266" t="str">
        <f t="shared" si="33"/>
        <v/>
      </c>
      <c r="Z195" s="266"/>
    </row>
    <row r="196" spans="1:26" ht="27" hidden="1" customHeight="1">
      <c r="A196" s="70" t="str">
        <f t="shared" si="29"/>
        <v/>
      </c>
      <c r="B196" s="70" t="str">
        <f t="shared" si="30"/>
        <v/>
      </c>
      <c r="C196" s="204" t="str" cm="1">
        <f t="array" ref="C196">IF(D196="","",
    IF(AND(ISNUMBER(D196), D196=INT(D196)),
        $V$6 &amp; " " &amp; (IFERROR(MAX($Y$12:$Y195), 0) + 1),
        IF(ISNUMBER(SEARCH(".", D196)), "", INDEX($C$12:$C196, MATCH(2, 1/($C$12:$C196 &lt;&gt; ""))))
    )
)</f>
        <v/>
      </c>
      <c r="D196" s="206"/>
      <c r="E196" s="206" t="str">
        <f>IF(AA196 = "", "",
    IF(ISNUMBER(SEARCH("Kiện", C196)),
       " GÓI " &amp; COUNTIF($C$13:C196, "*Kiện*") &amp; "/" &amp; COUNTIF($C$13:$C$1000, "*Kiện*") &amp; " " &amp; AA196,
       AA196)
)</f>
        <v/>
      </c>
      <c r="F196" s="206"/>
      <c r="G196" s="206"/>
      <c r="H196" s="206"/>
      <c r="I196" s="206"/>
      <c r="J196" s="206" t="str">
        <f t="shared" si="32"/>
        <v/>
      </c>
      <c r="K196" s="206" t="str">
        <f t="shared" si="34"/>
        <v/>
      </c>
      <c r="L196" s="206" t="str">
        <f t="shared" si="35"/>
        <v/>
      </c>
      <c r="M196" s="206" t="str">
        <f t="shared" si="36"/>
        <v/>
      </c>
      <c r="N196" s="206" t="str">
        <f t="shared" si="37"/>
        <v/>
      </c>
      <c r="O196" s="206" t="str">
        <f t="shared" si="38"/>
        <v/>
      </c>
      <c r="P196" s="84" t="str">
        <f t="shared" si="39"/>
        <v/>
      </c>
      <c r="Q196" s="205"/>
      <c r="R196" s="70" t="str">
        <f>IF(S196="IN",'BOM_Phan II'!$Y$3,"")</f>
        <v/>
      </c>
      <c r="S196" s="69" t="str">
        <f t="shared" si="31"/>
        <v/>
      </c>
      <c r="T196">
        <f t="shared" si="40"/>
        <v>3</v>
      </c>
      <c r="U196" t="str">
        <f t="shared" si="41"/>
        <v>KIỆN 14</v>
      </c>
      <c r="V196" t="str">
        <f t="shared" si="42"/>
        <v/>
      </c>
      <c r="W196" s="266"/>
      <c r="X196" s="266"/>
      <c r="Y196" s="266" t="str">
        <f t="shared" si="33"/>
        <v/>
      </c>
      <c r="Z196" s="266"/>
    </row>
    <row r="197" spans="1:26" ht="27" hidden="1" customHeight="1">
      <c r="A197" s="70" t="str">
        <f t="shared" si="29"/>
        <v/>
      </c>
      <c r="B197" s="70" t="str">
        <f t="shared" si="30"/>
        <v/>
      </c>
      <c r="C197" s="204" t="str" cm="1">
        <f t="array" ref="C197">IF(D197="","",
    IF(AND(ISNUMBER(D197), D197=INT(D197)),
        $V$6 &amp; " " &amp; (IFERROR(MAX($Y$12:$Y196), 0) + 1),
        IF(ISNUMBER(SEARCH(".", D197)), "", INDEX($C$12:$C197, MATCH(2, 1/($C$12:$C197 &lt;&gt; ""))))
    )
)</f>
        <v/>
      </c>
      <c r="D197" s="206"/>
      <c r="E197" s="206" t="str">
        <f>IF(AA197 = "", "",
    IF(ISNUMBER(SEARCH("Kiện", C197)),
       " GÓI " &amp; COUNTIF($C$13:C197, "*Kiện*") &amp; "/" &amp; COUNTIF($C$13:$C$1000, "*Kiện*") &amp; " " &amp; AA197,
       AA197)
)</f>
        <v/>
      </c>
      <c r="F197" s="206"/>
      <c r="G197" s="206"/>
      <c r="H197" s="206"/>
      <c r="I197" s="206"/>
      <c r="J197" s="206" t="str">
        <f t="shared" si="32"/>
        <v/>
      </c>
      <c r="K197" s="206" t="str">
        <f t="shared" si="34"/>
        <v/>
      </c>
      <c r="L197" s="206" t="str">
        <f t="shared" si="35"/>
        <v/>
      </c>
      <c r="M197" s="206" t="str">
        <f t="shared" si="36"/>
        <v/>
      </c>
      <c r="N197" s="206" t="str">
        <f t="shared" si="37"/>
        <v/>
      </c>
      <c r="O197" s="206" t="str">
        <f t="shared" si="38"/>
        <v/>
      </c>
      <c r="P197" s="84" t="str">
        <f t="shared" si="39"/>
        <v/>
      </c>
      <c r="Q197" s="205"/>
      <c r="R197" s="70" t="str">
        <f>IF(S197="IN",'BOM_Phan II'!$Y$3,"")</f>
        <v/>
      </c>
      <c r="S197" s="69" t="str">
        <f t="shared" si="31"/>
        <v/>
      </c>
      <c r="T197">
        <f t="shared" si="40"/>
        <v>3</v>
      </c>
      <c r="U197" t="str">
        <f t="shared" si="41"/>
        <v>KIỆN 14</v>
      </c>
      <c r="V197" t="str">
        <f t="shared" si="42"/>
        <v/>
      </c>
      <c r="W197" s="266"/>
      <c r="X197" s="266"/>
      <c r="Y197" s="266" t="str">
        <f t="shared" si="33"/>
        <v/>
      </c>
      <c r="Z197" s="266"/>
    </row>
    <row r="198" spans="1:26" ht="27" hidden="1" customHeight="1">
      <c r="A198" s="70" t="str">
        <f t="shared" si="29"/>
        <v/>
      </c>
      <c r="B198" s="70" t="str">
        <f t="shared" si="30"/>
        <v/>
      </c>
      <c r="C198" s="204" t="str" cm="1">
        <f t="array" ref="C198">IF(D198="","",
    IF(AND(ISNUMBER(D198), D198=INT(D198)),
        $V$6 &amp; " " &amp; (IFERROR(MAX($Y$12:$Y197), 0) + 1),
        IF(ISNUMBER(SEARCH(".", D198)), "", INDEX($C$12:$C198, MATCH(2, 1/($C$12:$C198 &lt;&gt; ""))))
    )
)</f>
        <v/>
      </c>
      <c r="D198" s="206"/>
      <c r="E198" s="206" t="str">
        <f>IF(AA198 = "", "",
    IF(ISNUMBER(SEARCH("Kiện", C198)),
       " GÓI " &amp; COUNTIF($C$13:C198, "*Kiện*") &amp; "/" &amp; COUNTIF($C$13:$C$1000, "*Kiện*") &amp; " " &amp; AA198,
       AA198)
)</f>
        <v/>
      </c>
      <c r="F198" s="206"/>
      <c r="G198" s="206"/>
      <c r="H198" s="206"/>
      <c r="I198" s="206"/>
      <c r="J198" s="206" t="str">
        <f t="shared" si="32"/>
        <v/>
      </c>
      <c r="K198" s="206" t="str">
        <f t="shared" si="34"/>
        <v/>
      </c>
      <c r="L198" s="206" t="str">
        <f t="shared" si="35"/>
        <v/>
      </c>
      <c r="M198" s="206" t="str">
        <f t="shared" si="36"/>
        <v/>
      </c>
      <c r="N198" s="206" t="str">
        <f t="shared" si="37"/>
        <v/>
      </c>
      <c r="O198" s="206" t="str">
        <f t="shared" si="38"/>
        <v/>
      </c>
      <c r="P198" s="84" t="str">
        <f t="shared" si="39"/>
        <v/>
      </c>
      <c r="Q198" s="205"/>
      <c r="R198" s="70" t="str">
        <f>IF(S198="IN",'BOM_Phan II'!$Y$3,"")</f>
        <v/>
      </c>
      <c r="S198" s="69" t="str">
        <f t="shared" si="31"/>
        <v/>
      </c>
      <c r="T198">
        <f t="shared" si="40"/>
        <v>3</v>
      </c>
      <c r="U198" t="str">
        <f t="shared" si="41"/>
        <v>KIỆN 14</v>
      </c>
      <c r="V198" t="str">
        <f t="shared" si="42"/>
        <v/>
      </c>
      <c r="W198" s="266"/>
      <c r="X198" s="266"/>
      <c r="Y198" s="266" t="str">
        <f t="shared" si="33"/>
        <v/>
      </c>
      <c r="Z198" s="266"/>
    </row>
    <row r="199" spans="1:26" ht="27" hidden="1" customHeight="1">
      <c r="A199" s="70" t="str">
        <f t="shared" si="29"/>
        <v/>
      </c>
      <c r="B199" s="70" t="str">
        <f t="shared" si="30"/>
        <v/>
      </c>
      <c r="C199" s="204" t="str" cm="1">
        <f t="array" ref="C199">IF(D199="","",
    IF(AND(ISNUMBER(D199), D199=INT(D199)),
        $V$6 &amp; " " &amp; (IFERROR(MAX($Y$12:$Y198), 0) + 1),
        IF(ISNUMBER(SEARCH(".", D199)), "", INDEX($C$12:$C199, MATCH(2, 1/($C$12:$C199 &lt;&gt; ""))))
    )
)</f>
        <v/>
      </c>
      <c r="D199" s="206"/>
      <c r="E199" s="206" t="str">
        <f>IF(AA199 = "", "",
    IF(ISNUMBER(SEARCH("Kiện", C199)),
       " GÓI " &amp; COUNTIF($C$13:C199, "*Kiện*") &amp; "/" &amp; COUNTIF($C$13:$C$1000, "*Kiện*") &amp; " " &amp; AA199,
       AA199)
)</f>
        <v/>
      </c>
      <c r="F199" s="206"/>
      <c r="G199" s="206"/>
      <c r="H199" s="206"/>
      <c r="I199" s="206"/>
      <c r="J199" s="206" t="str">
        <f t="shared" si="32"/>
        <v/>
      </c>
      <c r="K199" s="206" t="str">
        <f t="shared" si="34"/>
        <v/>
      </c>
      <c r="L199" s="206" t="str">
        <f t="shared" si="35"/>
        <v/>
      </c>
      <c r="M199" s="206" t="str">
        <f t="shared" si="36"/>
        <v/>
      </c>
      <c r="N199" s="206" t="str">
        <f t="shared" si="37"/>
        <v/>
      </c>
      <c r="O199" s="206" t="str">
        <f t="shared" si="38"/>
        <v/>
      </c>
      <c r="P199" s="84" t="str">
        <f t="shared" si="39"/>
        <v/>
      </c>
      <c r="Q199" s="205"/>
      <c r="R199" s="70" t="str">
        <f>IF(S199="IN",'BOM_Phan II'!$Y$3,"")</f>
        <v/>
      </c>
      <c r="S199" s="69" t="str">
        <f t="shared" si="31"/>
        <v/>
      </c>
      <c r="T199">
        <f t="shared" si="40"/>
        <v>3</v>
      </c>
      <c r="U199" t="str">
        <f t="shared" si="41"/>
        <v>KIỆN 14</v>
      </c>
      <c r="V199" t="str">
        <f t="shared" si="42"/>
        <v/>
      </c>
      <c r="W199" s="266"/>
      <c r="X199" s="266"/>
      <c r="Y199" s="266" t="str">
        <f t="shared" si="33"/>
        <v/>
      </c>
      <c r="Z199" s="266"/>
    </row>
    <row r="200" spans="1:26" ht="27" hidden="1" customHeight="1">
      <c r="A200" s="70" t="str">
        <f t="shared" si="29"/>
        <v/>
      </c>
      <c r="B200" s="70" t="str">
        <f t="shared" si="30"/>
        <v/>
      </c>
      <c r="C200" s="204" t="str" cm="1">
        <f t="array" ref="C200">IF(D200="","",
    IF(AND(ISNUMBER(D200), D200=INT(D200)),
        $V$6 &amp; " " &amp; (IFERROR(MAX($Y$12:$Y199), 0) + 1),
        IF(ISNUMBER(SEARCH(".", D200)), "", INDEX($C$12:$C200, MATCH(2, 1/($C$12:$C200 &lt;&gt; ""))))
    )
)</f>
        <v/>
      </c>
      <c r="D200" s="206"/>
      <c r="E200" s="206" t="str">
        <f>IF(AA200 = "", "",
    IF(ISNUMBER(SEARCH("Kiện", C200)),
       " GÓI " &amp; COUNTIF($C$13:C200, "*Kiện*") &amp; "/" &amp; COUNTIF($C$13:$C$1000, "*Kiện*") &amp; " " &amp; AA200,
       AA200)
)</f>
        <v/>
      </c>
      <c r="F200" s="206"/>
      <c r="G200" s="206"/>
      <c r="H200" s="206"/>
      <c r="I200" s="206"/>
      <c r="J200" s="206" t="str">
        <f t="shared" si="32"/>
        <v/>
      </c>
      <c r="K200" s="206" t="str">
        <f t="shared" si="34"/>
        <v/>
      </c>
      <c r="L200" s="206" t="str">
        <f t="shared" si="35"/>
        <v/>
      </c>
      <c r="M200" s="206" t="str">
        <f t="shared" si="36"/>
        <v/>
      </c>
      <c r="N200" s="206" t="str">
        <f t="shared" si="37"/>
        <v/>
      </c>
      <c r="O200" s="206" t="str">
        <f t="shared" si="38"/>
        <v/>
      </c>
      <c r="P200" s="84" t="str">
        <f t="shared" si="39"/>
        <v/>
      </c>
      <c r="Q200" s="205"/>
      <c r="R200" s="70" t="str">
        <f>IF(S200="IN",'BOM_Phan II'!$Y$3,"")</f>
        <v/>
      </c>
      <c r="S200" s="69" t="str">
        <f t="shared" si="31"/>
        <v/>
      </c>
      <c r="T200">
        <f t="shared" si="40"/>
        <v>3</v>
      </c>
      <c r="U200" t="str">
        <f t="shared" si="41"/>
        <v>KIỆN 14</v>
      </c>
      <c r="V200" t="str">
        <f t="shared" si="42"/>
        <v/>
      </c>
      <c r="W200" s="266"/>
      <c r="X200" s="266"/>
      <c r="Y200" s="266" t="str">
        <f t="shared" si="33"/>
        <v/>
      </c>
      <c r="Z200" s="266"/>
    </row>
    <row r="201" spans="1:26" ht="27" hidden="1" customHeight="1">
      <c r="A201" s="70" t="str">
        <f t="shared" si="29"/>
        <v/>
      </c>
      <c r="B201" s="70" t="str">
        <f t="shared" si="30"/>
        <v/>
      </c>
      <c r="C201" s="204" t="str" cm="1">
        <f t="array" ref="C201">IF(D201="","",
    IF(AND(ISNUMBER(D201), D201=INT(D201)),
        $V$6 &amp; " " &amp; (IFERROR(MAX($Y$12:$Y200), 0) + 1),
        IF(ISNUMBER(SEARCH(".", D201)), "", INDEX($C$12:$C201, MATCH(2, 1/($C$12:$C201 &lt;&gt; ""))))
    )
)</f>
        <v/>
      </c>
      <c r="D201" s="206"/>
      <c r="E201" s="206" t="str">
        <f>IF(AA201 = "", "",
    IF(ISNUMBER(SEARCH("Kiện", C201)),
       " GÓI " &amp; COUNTIF($C$13:C201, "*Kiện*") &amp; "/" &amp; COUNTIF($C$13:$C$1000, "*Kiện*") &amp; " " &amp; AA201,
       AA201)
)</f>
        <v/>
      </c>
      <c r="F201" s="206"/>
      <c r="G201" s="206"/>
      <c r="H201" s="206"/>
      <c r="I201" s="206"/>
      <c r="J201" s="206" t="str">
        <f t="shared" si="32"/>
        <v/>
      </c>
      <c r="K201" s="206" t="str">
        <f t="shared" si="34"/>
        <v/>
      </c>
      <c r="L201" s="206" t="str">
        <f t="shared" si="35"/>
        <v/>
      </c>
      <c r="M201" s="206" t="str">
        <f t="shared" si="36"/>
        <v/>
      </c>
      <c r="N201" s="206" t="str">
        <f t="shared" si="37"/>
        <v/>
      </c>
      <c r="O201" s="206" t="str">
        <f t="shared" si="38"/>
        <v/>
      </c>
      <c r="P201" s="84" t="str">
        <f t="shared" si="39"/>
        <v/>
      </c>
      <c r="Q201" s="205"/>
      <c r="R201" s="70" t="str">
        <f>IF(S201="IN",'BOM_Phan II'!$Y$3,"")</f>
        <v/>
      </c>
      <c r="S201" s="69" t="str">
        <f t="shared" si="31"/>
        <v/>
      </c>
      <c r="T201">
        <f t="shared" si="40"/>
        <v>3</v>
      </c>
      <c r="U201" t="str">
        <f t="shared" si="41"/>
        <v>KIỆN 14</v>
      </c>
      <c r="V201" t="str">
        <f t="shared" si="42"/>
        <v/>
      </c>
      <c r="W201" s="266"/>
      <c r="X201" s="266"/>
      <c r="Y201" s="266" t="str">
        <f t="shared" si="33"/>
        <v/>
      </c>
      <c r="Z201" s="266"/>
    </row>
    <row r="202" spans="1:26" ht="27" hidden="1" customHeight="1">
      <c r="A202" s="70" t="str">
        <f t="shared" si="29"/>
        <v/>
      </c>
      <c r="B202" s="70" t="str">
        <f t="shared" si="30"/>
        <v/>
      </c>
      <c r="C202" s="204" t="str" cm="1">
        <f t="array" ref="C202">IF(D202="","",
    IF(AND(ISNUMBER(D202), D202=INT(D202)),
        $V$6 &amp; " " &amp; (IFERROR(MAX($Y$12:$Y201), 0) + 1),
        IF(ISNUMBER(SEARCH(".", D202)), "", INDEX($C$12:$C202, MATCH(2, 1/($C$12:$C202 &lt;&gt; ""))))
    )
)</f>
        <v/>
      </c>
      <c r="D202" s="206"/>
      <c r="E202" s="206" t="str">
        <f>IF(AA202 = "", "",
    IF(ISNUMBER(SEARCH("Kiện", C202)),
       " GÓI " &amp; COUNTIF($C$13:C202, "*Kiện*") &amp; "/" &amp; COUNTIF($C$13:$C$1000, "*Kiện*") &amp; " " &amp; AA202,
       AA202)
)</f>
        <v/>
      </c>
      <c r="F202" s="206"/>
      <c r="G202" s="206"/>
      <c r="H202" s="206"/>
      <c r="I202" s="206"/>
      <c r="J202" s="206" t="str">
        <f t="shared" si="32"/>
        <v/>
      </c>
      <c r="K202" s="206" t="str">
        <f t="shared" si="34"/>
        <v/>
      </c>
      <c r="L202" s="206" t="str">
        <f t="shared" si="35"/>
        <v/>
      </c>
      <c r="M202" s="206" t="str">
        <f t="shared" si="36"/>
        <v/>
      </c>
      <c r="N202" s="206" t="str">
        <f t="shared" si="37"/>
        <v/>
      </c>
      <c r="O202" s="206" t="str">
        <f t="shared" si="38"/>
        <v/>
      </c>
      <c r="P202" s="84" t="str">
        <f t="shared" si="39"/>
        <v/>
      </c>
      <c r="Q202" s="205"/>
      <c r="R202" s="70" t="str">
        <f>IF(S202="IN",'BOM_Phan II'!$Y$3,"")</f>
        <v/>
      </c>
      <c r="S202" s="69" t="str">
        <f t="shared" si="31"/>
        <v/>
      </c>
      <c r="T202">
        <f t="shared" si="40"/>
        <v>3</v>
      </c>
      <c r="U202" t="str">
        <f t="shared" si="41"/>
        <v>KIỆN 14</v>
      </c>
      <c r="V202" t="str">
        <f t="shared" si="42"/>
        <v/>
      </c>
      <c r="W202" s="266"/>
      <c r="X202" s="266"/>
      <c r="Y202" s="266" t="str">
        <f t="shared" si="33"/>
        <v/>
      </c>
      <c r="Z202" s="266"/>
    </row>
    <row r="203" spans="1:26" ht="27" hidden="1" customHeight="1">
      <c r="A203" s="70" t="str">
        <f t="shared" si="29"/>
        <v/>
      </c>
      <c r="B203" s="70" t="str">
        <f t="shared" si="30"/>
        <v/>
      </c>
      <c r="C203" s="204" t="str" cm="1">
        <f t="array" ref="C203">IF(D203="","",
    IF(AND(ISNUMBER(D203), D203=INT(D203)),
        $V$6 &amp; " " &amp; (IFERROR(MAX($Y$12:$Y202), 0) + 1),
        IF(ISNUMBER(SEARCH(".", D203)), "", INDEX($C$12:$C203, MATCH(2, 1/($C$12:$C203 &lt;&gt; ""))))
    )
)</f>
        <v/>
      </c>
      <c r="D203" s="206"/>
      <c r="E203" s="206" t="str">
        <f>IF(AA203 = "", "",
    IF(ISNUMBER(SEARCH("Kiện", C203)),
       " GÓI " &amp; COUNTIF($C$13:C203, "*Kiện*") &amp; "/" &amp; COUNTIF($C$13:$C$1000, "*Kiện*") &amp; " " &amp; AA203,
       AA203)
)</f>
        <v/>
      </c>
      <c r="F203" s="206"/>
      <c r="G203" s="206"/>
      <c r="H203" s="206"/>
      <c r="I203" s="206"/>
      <c r="J203" s="206" t="str">
        <f t="shared" si="32"/>
        <v/>
      </c>
      <c r="K203" s="206" t="str">
        <f t="shared" si="34"/>
        <v/>
      </c>
      <c r="L203" s="206" t="str">
        <f t="shared" si="35"/>
        <v/>
      </c>
      <c r="M203" s="206" t="str">
        <f t="shared" si="36"/>
        <v/>
      </c>
      <c r="N203" s="206" t="str">
        <f t="shared" si="37"/>
        <v/>
      </c>
      <c r="O203" s="206" t="str">
        <f t="shared" si="38"/>
        <v/>
      </c>
      <c r="P203" s="84" t="str">
        <f t="shared" si="39"/>
        <v/>
      </c>
      <c r="Q203" s="205"/>
      <c r="R203" s="70" t="str">
        <f>IF(S203="IN",'BOM_Phan II'!$Y$3,"")</f>
        <v/>
      </c>
      <c r="S203" s="69" t="str">
        <f t="shared" si="31"/>
        <v/>
      </c>
      <c r="T203">
        <f t="shared" si="40"/>
        <v>3</v>
      </c>
      <c r="U203" t="str">
        <f t="shared" si="41"/>
        <v>KIỆN 14</v>
      </c>
      <c r="V203" t="str">
        <f t="shared" si="42"/>
        <v/>
      </c>
      <c r="W203" s="266"/>
      <c r="X203" s="266"/>
      <c r="Y203" s="266" t="str">
        <f t="shared" si="33"/>
        <v/>
      </c>
      <c r="Z203" s="266"/>
    </row>
    <row r="204" spans="1:26" ht="27" hidden="1" customHeight="1">
      <c r="A204" s="70" t="str">
        <f t="shared" ref="A204:A267" si="43">IF(S204="IN",$E$6,"")</f>
        <v/>
      </c>
      <c r="B204" s="70" t="str">
        <f t="shared" ref="B204:B267" si="44">IF(S204="IN","Muc "&amp;$E$7,"")</f>
        <v/>
      </c>
      <c r="C204" s="204" t="str" cm="1">
        <f t="array" ref="C204">IF(D204="","",
    IF(AND(ISNUMBER(D204), D204=INT(D204)),
        $V$6 &amp; " " &amp; (IFERROR(MAX($Y$12:$Y203), 0) + 1),
        IF(ISNUMBER(SEARCH(".", D204)), "", INDEX($C$12:$C204, MATCH(2, 1/($C$12:$C204 &lt;&gt; ""))))
    )
)</f>
        <v/>
      </c>
      <c r="D204" s="206"/>
      <c r="E204" s="206" t="str">
        <f>IF(AA204 = "", "",
    IF(ISNUMBER(SEARCH("Kiện", C204)),
       " GÓI " &amp; COUNTIF($C$13:C204, "*Kiện*") &amp; "/" &amp; COUNTIF($C$13:$C$1000, "*Kiện*") &amp; " " &amp; AA204,
       AA204)
)</f>
        <v/>
      </c>
      <c r="F204" s="206"/>
      <c r="G204" s="206"/>
      <c r="H204" s="206"/>
      <c r="I204" s="206"/>
      <c r="J204" s="206" t="str">
        <f t="shared" si="32"/>
        <v/>
      </c>
      <c r="K204" s="206" t="str">
        <f t="shared" si="34"/>
        <v/>
      </c>
      <c r="L204" s="206" t="str">
        <f t="shared" si="35"/>
        <v/>
      </c>
      <c r="M204" s="206" t="str">
        <f t="shared" si="36"/>
        <v/>
      </c>
      <c r="N204" s="206" t="str">
        <f t="shared" si="37"/>
        <v/>
      </c>
      <c r="O204" s="206" t="str">
        <f t="shared" si="38"/>
        <v/>
      </c>
      <c r="P204" s="84" t="str">
        <f t="shared" si="39"/>
        <v/>
      </c>
      <c r="Q204" s="205"/>
      <c r="R204" s="70" t="str">
        <f>IF(S204="IN",'BOM_Phan II'!$Y$3,"")</f>
        <v/>
      </c>
      <c r="S204" s="69" t="str">
        <f t="shared" ref="S204:S267" si="45">IF(OR(E204&lt;&gt;"",D204&lt;&gt;""),"IN","")</f>
        <v/>
      </c>
      <c r="T204">
        <f t="shared" si="40"/>
        <v>3</v>
      </c>
      <c r="U204" t="str">
        <f t="shared" si="41"/>
        <v>KIỆN 14</v>
      </c>
      <c r="V204" t="str">
        <f t="shared" si="42"/>
        <v/>
      </c>
      <c r="W204" s="266"/>
      <c r="X204" s="266"/>
      <c r="Y204" s="266" t="str">
        <f t="shared" si="33"/>
        <v/>
      </c>
      <c r="Z204" s="266"/>
    </row>
    <row r="205" spans="1:26" ht="27" hidden="1" customHeight="1">
      <c r="A205" s="70" t="str">
        <f t="shared" si="43"/>
        <v/>
      </c>
      <c r="B205" s="70" t="str">
        <f t="shared" si="44"/>
        <v/>
      </c>
      <c r="C205" s="204" t="str" cm="1">
        <f t="array" ref="C205">IF(D205="","",
    IF(AND(ISNUMBER(D205), D205=INT(D205)),
        $V$6 &amp; " " &amp; (IFERROR(MAX($Y$12:$Y204), 0) + 1),
        IF(ISNUMBER(SEARCH(".", D205)), "", INDEX($C$12:$C205, MATCH(2, 1/($C$12:$C205 &lt;&gt; ""))))
    )
)</f>
        <v/>
      </c>
      <c r="D205" s="206"/>
      <c r="E205" s="206" t="str">
        <f>IF(AA205 = "", "",
    IF(ISNUMBER(SEARCH("Kiện", C205)),
       " GÓI " &amp; COUNTIF($C$13:C205, "*Kiện*") &amp; "/" &amp; COUNTIF($C$13:$C$1000, "*Kiện*") &amp; " " &amp; AA205,
       AA205)
)</f>
        <v/>
      </c>
      <c r="F205" s="206"/>
      <c r="G205" s="206"/>
      <c r="H205" s="206"/>
      <c r="I205" s="206"/>
      <c r="J205" s="206" t="str">
        <f t="shared" ref="J205:J268" si="46">IF(C205&lt;&gt;"",C205&amp;"_"&amp;$E$6,"")</f>
        <v/>
      </c>
      <c r="K205" s="206" t="str">
        <f t="shared" si="34"/>
        <v/>
      </c>
      <c r="L205" s="206" t="str">
        <f t="shared" si="35"/>
        <v/>
      </c>
      <c r="M205" s="206" t="str">
        <f t="shared" si="36"/>
        <v/>
      </c>
      <c r="N205" s="206" t="str">
        <f t="shared" si="37"/>
        <v/>
      </c>
      <c r="O205" s="206" t="str">
        <f t="shared" si="38"/>
        <v/>
      </c>
      <c r="P205" s="84" t="str">
        <f t="shared" si="39"/>
        <v/>
      </c>
      <c r="Q205" s="205"/>
      <c r="R205" s="70" t="str">
        <f>IF(S205="IN",'BOM_Phan II'!$Y$3,"")</f>
        <v/>
      </c>
      <c r="S205" s="69" t="str">
        <f t="shared" si="45"/>
        <v/>
      </c>
      <c r="T205">
        <f t="shared" si="40"/>
        <v>3</v>
      </c>
      <c r="U205" t="str">
        <f t="shared" si="41"/>
        <v>KIỆN 14</v>
      </c>
      <c r="V205" t="str">
        <f t="shared" si="42"/>
        <v/>
      </c>
      <c r="W205" s="266"/>
      <c r="X205" s="266"/>
      <c r="Y205" s="266" t="str">
        <f t="shared" ref="Y205:Y268" si="47">IFERROR(VALUE(RIGHT(C205,LEN(C205)-5)),"")</f>
        <v/>
      </c>
      <c r="Z205" s="266"/>
    </row>
    <row r="206" spans="1:26" ht="27" hidden="1" customHeight="1">
      <c r="A206" s="70" t="str">
        <f t="shared" si="43"/>
        <v/>
      </c>
      <c r="B206" s="70" t="str">
        <f t="shared" si="44"/>
        <v/>
      </c>
      <c r="C206" s="204" t="str" cm="1">
        <f t="array" ref="C206">IF(D206="","",
    IF(AND(ISNUMBER(D206), D206=INT(D206)),
        $V$6 &amp; " " &amp; (IFERROR(MAX($Y$12:$Y205), 0) + 1),
        IF(ISNUMBER(SEARCH(".", D206)), "", INDEX($C$12:$C206, MATCH(2, 1/($C$12:$C206 &lt;&gt; ""))))
    )
)</f>
        <v/>
      </c>
      <c r="D206" s="206"/>
      <c r="E206" s="206" t="str">
        <f>IF(AA206 = "", "",
    IF(ISNUMBER(SEARCH("Kiện", C206)),
       " GÓI " &amp; COUNTIF($C$13:C206, "*Kiện*") &amp; "/" &amp; COUNTIF($C$13:$C$1000, "*Kiện*") &amp; " " &amp; AA206,
       AA206)
)</f>
        <v/>
      </c>
      <c r="F206" s="206"/>
      <c r="G206" s="206"/>
      <c r="H206" s="206"/>
      <c r="I206" s="206"/>
      <c r="J206" s="206" t="str">
        <f t="shared" si="46"/>
        <v/>
      </c>
      <c r="K206" s="206" t="str">
        <f t="shared" ref="K206:K269" si="48">IFERROR(IF($C206&lt;&gt;"",IF($T$13=1,F206+20,IF($T$13=2,F206+20,IF($T$13=3,F206+50,IF($T$13=4,F206+40,IF($T$13=5,F206+50,IF($T$13=51,F206+50,IF($T$13=6,F206+50,IF($T$13=7,F206+50,"")))))))),""),"")</f>
        <v/>
      </c>
      <c r="L206" s="206" t="str">
        <f t="shared" ref="L206:L269" si="49">IFERROR(IF($C206&lt;&gt;"",IF($T$13=1,G206+20,IF($T$13=2,G206+20,IF($T$13=3,G206+50,IF($T$13=4,G206+40,IF($T$13=5,G206+50,IF($T$13=51,G206+50,IF($T$13=6,G206+50,IF($T$13=7,G206+50,"")))))))),""),"")</f>
        <v/>
      </c>
      <c r="M206" s="206" t="str">
        <f t="shared" ref="M206:M269" si="50">IFERROR(IF($C206&lt;&gt;"",IF($T$13=1,H206+20,IF($T$13=2,H206+20,IF($T$13=3,H206+70,IF($T$13=4,H206+40,IF($T$13=5,H206+50,IF($T$13=51,H206+150,IF($T$13=6,H206+50,IF($T$13=7,H206+50,"")))))))),""),"")</f>
        <v/>
      </c>
      <c r="N206" s="206" t="str">
        <f t="shared" ref="N206:N269" si="51">IF(C206&lt;&gt;"",I206,"")</f>
        <v/>
      </c>
      <c r="O206" s="206" t="str">
        <f t="shared" ref="O206:O269" si="52">IF(C206&lt;&gt;"",$O$13,"")</f>
        <v/>
      </c>
      <c r="P206" s="84" t="str">
        <f t="shared" ref="P206:P269" si="53">IFERROR(IF(C206&lt;&gt;"",SUMIFS($V$13:$V$969,$U$13:$U$969,C206)*$S$6,V206*$S$6),"")</f>
        <v/>
      </c>
      <c r="Q206" s="205"/>
      <c r="R206" s="70" t="str">
        <f>IF(S206="IN",'BOM_Phan II'!$Y$3,"")</f>
        <v/>
      </c>
      <c r="S206" s="69" t="str">
        <f t="shared" si="45"/>
        <v/>
      </c>
      <c r="T206">
        <f t="shared" ref="T206:T269" si="54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3</v>
      </c>
      <c r="U206" t="str">
        <f t="shared" ref="U206:U269" si="55">IF(C206="",U205,C206)</f>
        <v>KIỆN 14</v>
      </c>
      <c r="V206" t="str">
        <f t="shared" ref="V206:V269" si="56">IFERROR(IF(AND(C206="", OR($W206="1", $W206="2")), IF(I206="", "", F206*G206*H206*I206/10^9), ""), "")</f>
        <v/>
      </c>
      <c r="W206" s="266"/>
      <c r="X206" s="266"/>
      <c r="Y206" s="266" t="str">
        <f t="shared" si="47"/>
        <v/>
      </c>
      <c r="Z206" s="266"/>
    </row>
    <row r="207" spans="1:26" ht="27" hidden="1" customHeight="1">
      <c r="A207" s="70" t="str">
        <f t="shared" si="43"/>
        <v/>
      </c>
      <c r="B207" s="70" t="str">
        <f t="shared" si="44"/>
        <v/>
      </c>
      <c r="C207" s="204" t="str" cm="1">
        <f t="array" ref="C207">IF(D207="","",
    IF(AND(ISNUMBER(D207), D207=INT(D207)),
        $V$6 &amp; " " &amp; (IFERROR(MAX($Y$12:$Y206), 0) + 1),
        IF(ISNUMBER(SEARCH(".", D207)), "", INDEX($C$12:$C207, MATCH(2, 1/($C$12:$C207 &lt;&gt; ""))))
    )
)</f>
        <v/>
      </c>
      <c r="D207" s="206"/>
      <c r="E207" s="206" t="str">
        <f>IF(AA207 = "", "",
    IF(ISNUMBER(SEARCH("Kiện", C207)),
       " GÓI " &amp; COUNTIF($C$13:C207, "*Kiện*") &amp; "/" &amp; COUNTIF($C$13:$C$1000, "*Kiện*") &amp; " " &amp; AA207,
       AA207)
)</f>
        <v/>
      </c>
      <c r="F207" s="206"/>
      <c r="G207" s="206"/>
      <c r="H207" s="206"/>
      <c r="I207" s="206"/>
      <c r="J207" s="206" t="str">
        <f t="shared" si="46"/>
        <v/>
      </c>
      <c r="K207" s="206" t="str">
        <f t="shared" si="48"/>
        <v/>
      </c>
      <c r="L207" s="206" t="str">
        <f t="shared" si="49"/>
        <v/>
      </c>
      <c r="M207" s="206" t="str">
        <f t="shared" si="50"/>
        <v/>
      </c>
      <c r="N207" s="206" t="str">
        <f t="shared" si="51"/>
        <v/>
      </c>
      <c r="O207" s="206" t="str">
        <f t="shared" si="52"/>
        <v/>
      </c>
      <c r="P207" s="84" t="str">
        <f t="shared" si="53"/>
        <v/>
      </c>
      <c r="Q207" s="205"/>
      <c r="R207" s="70" t="str">
        <f>IF(S207="IN",'BOM_Phan II'!$Y$3,"")</f>
        <v/>
      </c>
      <c r="S207" s="69" t="str">
        <f t="shared" si="45"/>
        <v/>
      </c>
      <c r="T207">
        <f t="shared" si="54"/>
        <v>3</v>
      </c>
      <c r="U207" t="str">
        <f t="shared" si="55"/>
        <v>KIỆN 14</v>
      </c>
      <c r="V207" t="str">
        <f t="shared" si="56"/>
        <v/>
      </c>
      <c r="W207" s="266"/>
      <c r="X207" s="266"/>
      <c r="Y207" s="266" t="str">
        <f t="shared" si="47"/>
        <v/>
      </c>
      <c r="Z207" s="266"/>
    </row>
    <row r="208" spans="1:26" ht="27" hidden="1" customHeight="1">
      <c r="A208" s="70" t="str">
        <f t="shared" si="43"/>
        <v/>
      </c>
      <c r="B208" s="70" t="str">
        <f t="shared" si="44"/>
        <v/>
      </c>
      <c r="C208" s="204" t="str" cm="1">
        <f t="array" ref="C208">IF(D208="","",
    IF(AND(ISNUMBER(D208), D208=INT(D208)),
        $V$6 &amp; " " &amp; (IFERROR(MAX($Y$12:$Y207), 0) + 1),
        IF(ISNUMBER(SEARCH(".", D208)), "", INDEX($C$12:$C208, MATCH(2, 1/($C$12:$C208 &lt;&gt; ""))))
    )
)</f>
        <v/>
      </c>
      <c r="D208" s="206"/>
      <c r="E208" s="206" t="str">
        <f>IF(AA208 = "", "",
    IF(ISNUMBER(SEARCH("Kiện", C208)),
       " GÓI " &amp; COUNTIF($C$13:C208, "*Kiện*") &amp; "/" &amp; COUNTIF($C$13:$C$1000, "*Kiện*") &amp; " " &amp; AA208,
       AA208)
)</f>
        <v/>
      </c>
      <c r="F208" s="206"/>
      <c r="G208" s="206"/>
      <c r="H208" s="206"/>
      <c r="I208" s="206"/>
      <c r="J208" s="206" t="str">
        <f t="shared" si="46"/>
        <v/>
      </c>
      <c r="K208" s="206" t="str">
        <f t="shared" si="48"/>
        <v/>
      </c>
      <c r="L208" s="206" t="str">
        <f t="shared" si="49"/>
        <v/>
      </c>
      <c r="M208" s="206" t="str">
        <f t="shared" si="50"/>
        <v/>
      </c>
      <c r="N208" s="206" t="str">
        <f t="shared" si="51"/>
        <v/>
      </c>
      <c r="O208" s="206" t="str">
        <f t="shared" si="52"/>
        <v/>
      </c>
      <c r="P208" s="84" t="str">
        <f t="shared" si="53"/>
        <v/>
      </c>
      <c r="Q208" s="205"/>
      <c r="R208" s="70" t="str">
        <f>IF(S208="IN",'BOM_Phan II'!$Y$3,"")</f>
        <v/>
      </c>
      <c r="S208" s="69" t="str">
        <f t="shared" si="45"/>
        <v/>
      </c>
      <c r="T208">
        <f t="shared" si="54"/>
        <v>3</v>
      </c>
      <c r="U208" t="str">
        <f t="shared" si="55"/>
        <v>KIỆN 14</v>
      </c>
      <c r="V208" t="str">
        <f t="shared" si="56"/>
        <v/>
      </c>
      <c r="W208" s="266"/>
      <c r="X208" s="266"/>
      <c r="Y208" s="266" t="str">
        <f t="shared" si="47"/>
        <v/>
      </c>
      <c r="Z208" s="266"/>
    </row>
    <row r="209" spans="1:26" ht="27" hidden="1" customHeight="1">
      <c r="A209" s="70" t="str">
        <f t="shared" si="43"/>
        <v/>
      </c>
      <c r="B209" s="70" t="str">
        <f t="shared" si="44"/>
        <v/>
      </c>
      <c r="C209" s="204" t="str" cm="1">
        <f t="array" ref="C209">IF(D209="","",
    IF(AND(ISNUMBER(D209), D209=INT(D209)),
        $V$6 &amp; " " &amp; (IFERROR(MAX($Y$12:$Y208), 0) + 1),
        IF(ISNUMBER(SEARCH(".", D209)), "", INDEX($C$12:$C209, MATCH(2, 1/($C$12:$C209 &lt;&gt; ""))))
    )
)</f>
        <v/>
      </c>
      <c r="D209" s="206"/>
      <c r="E209" s="206" t="str">
        <f>IF(AA209 = "", "",
    IF(ISNUMBER(SEARCH("Kiện", C209)),
       " GÓI " &amp; COUNTIF($C$13:C209, "*Kiện*") &amp; "/" &amp; COUNTIF($C$13:$C$1000, "*Kiện*") &amp; " " &amp; AA209,
       AA209)
)</f>
        <v/>
      </c>
      <c r="F209" s="206"/>
      <c r="G209" s="206"/>
      <c r="H209" s="206"/>
      <c r="I209" s="206"/>
      <c r="J209" s="206" t="str">
        <f t="shared" si="46"/>
        <v/>
      </c>
      <c r="K209" s="206" t="str">
        <f t="shared" si="48"/>
        <v/>
      </c>
      <c r="L209" s="206" t="str">
        <f t="shared" si="49"/>
        <v/>
      </c>
      <c r="M209" s="206" t="str">
        <f t="shared" si="50"/>
        <v/>
      </c>
      <c r="N209" s="206" t="str">
        <f t="shared" si="51"/>
        <v/>
      </c>
      <c r="O209" s="206" t="str">
        <f t="shared" si="52"/>
        <v/>
      </c>
      <c r="P209" s="84" t="str">
        <f t="shared" si="53"/>
        <v/>
      </c>
      <c r="Q209" s="205"/>
      <c r="R209" s="70" t="str">
        <f>IF(S209="IN",'BOM_Phan II'!$Y$3,"")</f>
        <v/>
      </c>
      <c r="S209" s="69" t="str">
        <f t="shared" si="45"/>
        <v/>
      </c>
      <c r="T209">
        <f t="shared" si="54"/>
        <v>3</v>
      </c>
      <c r="U209" t="str">
        <f t="shared" si="55"/>
        <v>KIỆN 14</v>
      </c>
      <c r="V209" t="str">
        <f t="shared" si="56"/>
        <v/>
      </c>
      <c r="W209" s="266"/>
      <c r="X209" s="266"/>
      <c r="Y209" s="266" t="str">
        <f t="shared" si="47"/>
        <v/>
      </c>
      <c r="Z209" s="266"/>
    </row>
    <row r="210" spans="1:26" ht="27" hidden="1" customHeight="1">
      <c r="A210" s="70" t="str">
        <f t="shared" si="43"/>
        <v/>
      </c>
      <c r="B210" s="70" t="str">
        <f t="shared" si="44"/>
        <v/>
      </c>
      <c r="C210" s="204" t="str" cm="1">
        <f t="array" ref="C210">IF(D210="","",
    IF(AND(ISNUMBER(D210), D210=INT(D210)),
        $V$6 &amp; " " &amp; (IFERROR(MAX($Y$12:$Y209), 0) + 1),
        IF(ISNUMBER(SEARCH(".", D210)), "", INDEX($C$12:$C210, MATCH(2, 1/($C$12:$C210 &lt;&gt; ""))))
    )
)</f>
        <v/>
      </c>
      <c r="D210" s="206"/>
      <c r="E210" s="206" t="str">
        <f>IF(AA210 = "", "",
    IF(ISNUMBER(SEARCH("Kiện", C210)),
       " GÓI " &amp; COUNTIF($C$13:C210, "*Kiện*") &amp; "/" &amp; COUNTIF($C$13:$C$1000, "*Kiện*") &amp; " " &amp; AA210,
       AA210)
)</f>
        <v/>
      </c>
      <c r="F210" s="206"/>
      <c r="G210" s="206"/>
      <c r="H210" s="206"/>
      <c r="I210" s="206"/>
      <c r="J210" s="206" t="str">
        <f t="shared" si="46"/>
        <v/>
      </c>
      <c r="K210" s="206" t="str">
        <f t="shared" si="48"/>
        <v/>
      </c>
      <c r="L210" s="206" t="str">
        <f t="shared" si="49"/>
        <v/>
      </c>
      <c r="M210" s="206" t="str">
        <f t="shared" si="50"/>
        <v/>
      </c>
      <c r="N210" s="206" t="str">
        <f t="shared" si="51"/>
        <v/>
      </c>
      <c r="O210" s="206" t="str">
        <f t="shared" si="52"/>
        <v/>
      </c>
      <c r="P210" s="84" t="str">
        <f t="shared" si="53"/>
        <v/>
      </c>
      <c r="Q210" s="205"/>
      <c r="R210" s="70" t="str">
        <f>IF(S210="IN",'BOM_Phan II'!$Y$3,"")</f>
        <v/>
      </c>
      <c r="S210" s="69" t="str">
        <f t="shared" si="45"/>
        <v/>
      </c>
      <c r="T210">
        <f t="shared" si="54"/>
        <v>3</v>
      </c>
      <c r="U210" t="str">
        <f t="shared" si="55"/>
        <v>KIỆN 14</v>
      </c>
      <c r="V210" t="str">
        <f t="shared" si="56"/>
        <v/>
      </c>
      <c r="W210" s="266"/>
      <c r="X210" s="266"/>
      <c r="Y210" s="266" t="str">
        <f t="shared" si="47"/>
        <v/>
      </c>
      <c r="Z210" s="266"/>
    </row>
    <row r="211" spans="1:26" ht="27" hidden="1" customHeight="1">
      <c r="A211" s="70" t="str">
        <f t="shared" si="43"/>
        <v/>
      </c>
      <c r="B211" s="70" t="str">
        <f t="shared" si="44"/>
        <v/>
      </c>
      <c r="C211" s="204" t="str" cm="1">
        <f t="array" ref="C211">IF(D211="","",
    IF(AND(ISNUMBER(D211), D211=INT(D211)),
        $V$6 &amp; " " &amp; (IFERROR(MAX($Y$12:$Y210), 0) + 1),
        IF(ISNUMBER(SEARCH(".", D211)), "", INDEX($C$12:$C211, MATCH(2, 1/($C$12:$C211 &lt;&gt; ""))))
    )
)</f>
        <v/>
      </c>
      <c r="D211" s="206"/>
      <c r="E211" s="206" t="str">
        <f>IF(AA211 = "", "",
    IF(ISNUMBER(SEARCH("Kiện", C211)),
       " GÓI " &amp; COUNTIF($C$13:C211, "*Kiện*") &amp; "/" &amp; COUNTIF($C$13:$C$1000, "*Kiện*") &amp; " " &amp; AA211,
       AA211)
)</f>
        <v/>
      </c>
      <c r="F211" s="206"/>
      <c r="G211" s="206"/>
      <c r="H211" s="206"/>
      <c r="I211" s="206"/>
      <c r="J211" s="206" t="str">
        <f t="shared" si="46"/>
        <v/>
      </c>
      <c r="K211" s="206" t="str">
        <f t="shared" si="48"/>
        <v/>
      </c>
      <c r="L211" s="206" t="str">
        <f t="shared" si="49"/>
        <v/>
      </c>
      <c r="M211" s="206" t="str">
        <f t="shared" si="50"/>
        <v/>
      </c>
      <c r="N211" s="206" t="str">
        <f t="shared" si="51"/>
        <v/>
      </c>
      <c r="O211" s="206" t="str">
        <f t="shared" si="52"/>
        <v/>
      </c>
      <c r="P211" s="84" t="str">
        <f t="shared" si="53"/>
        <v/>
      </c>
      <c r="Q211" s="205"/>
      <c r="R211" s="70" t="str">
        <f>IF(S211="IN",'BOM_Phan II'!$Y$3,"")</f>
        <v/>
      </c>
      <c r="S211" s="69" t="str">
        <f t="shared" si="45"/>
        <v/>
      </c>
      <c r="T211">
        <f t="shared" si="54"/>
        <v>3</v>
      </c>
      <c r="U211" t="str">
        <f t="shared" si="55"/>
        <v>KIỆN 14</v>
      </c>
      <c r="V211" t="str">
        <f t="shared" si="56"/>
        <v/>
      </c>
      <c r="W211" s="266"/>
      <c r="X211" s="266"/>
      <c r="Y211" s="266" t="str">
        <f t="shared" si="47"/>
        <v/>
      </c>
      <c r="Z211" s="266"/>
    </row>
    <row r="212" spans="1:26" ht="27" hidden="1" customHeight="1">
      <c r="A212" s="70" t="str">
        <f t="shared" si="43"/>
        <v/>
      </c>
      <c r="B212" s="70" t="str">
        <f t="shared" si="44"/>
        <v/>
      </c>
      <c r="C212" s="204" t="str" cm="1">
        <f t="array" ref="C212">IF(D212="","",
    IF(AND(ISNUMBER(D212), D212=INT(D212)),
        $V$6 &amp; " " &amp; (IFERROR(MAX($Y$12:$Y211), 0) + 1),
        IF(ISNUMBER(SEARCH(".", D212)), "", INDEX($C$12:$C212, MATCH(2, 1/($C$12:$C212 &lt;&gt; ""))))
    )
)</f>
        <v/>
      </c>
      <c r="D212" s="206"/>
      <c r="E212" s="206" t="str">
        <f>IF(AA212 = "", "",
    IF(ISNUMBER(SEARCH("Kiện", C212)),
       " GÓI " &amp; COUNTIF($C$13:C212, "*Kiện*") &amp; "/" &amp; COUNTIF($C$13:$C$1000, "*Kiện*") &amp; " " &amp; AA212,
       AA212)
)</f>
        <v/>
      </c>
      <c r="F212" s="206"/>
      <c r="G212" s="206"/>
      <c r="H212" s="206"/>
      <c r="I212" s="206"/>
      <c r="J212" s="206" t="str">
        <f t="shared" si="46"/>
        <v/>
      </c>
      <c r="K212" s="206" t="str">
        <f t="shared" si="48"/>
        <v/>
      </c>
      <c r="L212" s="206" t="str">
        <f t="shared" si="49"/>
        <v/>
      </c>
      <c r="M212" s="206" t="str">
        <f t="shared" si="50"/>
        <v/>
      </c>
      <c r="N212" s="206" t="str">
        <f t="shared" si="51"/>
        <v/>
      </c>
      <c r="O212" s="206" t="str">
        <f t="shared" si="52"/>
        <v/>
      </c>
      <c r="P212" s="84" t="str">
        <f t="shared" si="53"/>
        <v/>
      </c>
      <c r="Q212" s="205"/>
      <c r="R212" s="70" t="str">
        <f>IF(S212="IN",'BOM_Phan II'!$Y$3,"")</f>
        <v/>
      </c>
      <c r="S212" s="69" t="str">
        <f t="shared" si="45"/>
        <v/>
      </c>
      <c r="T212">
        <f t="shared" si="54"/>
        <v>3</v>
      </c>
      <c r="U212" t="str">
        <f t="shared" si="55"/>
        <v>KIỆN 14</v>
      </c>
      <c r="V212" t="str">
        <f t="shared" si="56"/>
        <v/>
      </c>
      <c r="W212" s="266"/>
      <c r="X212" s="266"/>
      <c r="Y212" s="266" t="str">
        <f t="shared" si="47"/>
        <v/>
      </c>
      <c r="Z212" s="266"/>
    </row>
    <row r="213" spans="1:26" ht="27" hidden="1" customHeight="1">
      <c r="A213" s="70" t="str">
        <f t="shared" si="43"/>
        <v/>
      </c>
      <c r="B213" s="70" t="str">
        <f t="shared" si="44"/>
        <v/>
      </c>
      <c r="C213" s="204" t="str" cm="1">
        <f t="array" ref="C213">IF(D213="","",
    IF(AND(ISNUMBER(D213), D213=INT(D213)),
        $V$6 &amp; " " &amp; (IFERROR(MAX($Y$12:$Y212), 0) + 1),
        IF(ISNUMBER(SEARCH(".", D213)), "", INDEX($C$12:$C213, MATCH(2, 1/($C$12:$C213 &lt;&gt; ""))))
    )
)</f>
        <v/>
      </c>
      <c r="D213" s="206"/>
      <c r="E213" s="206" t="str">
        <f>IF(AA213 = "", "",
    IF(ISNUMBER(SEARCH("Kiện", C213)),
       " GÓI " &amp; COUNTIF($C$13:C213, "*Kiện*") &amp; "/" &amp; COUNTIF($C$13:$C$1000, "*Kiện*") &amp; " " &amp; AA213,
       AA213)
)</f>
        <v/>
      </c>
      <c r="F213" s="206"/>
      <c r="G213" s="206"/>
      <c r="H213" s="206"/>
      <c r="I213" s="206"/>
      <c r="J213" s="206" t="str">
        <f t="shared" si="46"/>
        <v/>
      </c>
      <c r="K213" s="206" t="str">
        <f t="shared" si="48"/>
        <v/>
      </c>
      <c r="L213" s="206" t="str">
        <f t="shared" si="49"/>
        <v/>
      </c>
      <c r="M213" s="206" t="str">
        <f t="shared" si="50"/>
        <v/>
      </c>
      <c r="N213" s="206" t="str">
        <f t="shared" si="51"/>
        <v/>
      </c>
      <c r="O213" s="206" t="str">
        <f t="shared" si="52"/>
        <v/>
      </c>
      <c r="P213" s="84" t="str">
        <f t="shared" si="53"/>
        <v/>
      </c>
      <c r="Q213" s="205"/>
      <c r="R213" s="70" t="str">
        <f>IF(S213="IN",'BOM_Phan II'!$Y$3,"")</f>
        <v/>
      </c>
      <c r="S213" s="69" t="str">
        <f t="shared" si="45"/>
        <v/>
      </c>
      <c r="T213">
        <f t="shared" si="54"/>
        <v>3</v>
      </c>
      <c r="U213" t="str">
        <f t="shared" si="55"/>
        <v>KIỆN 14</v>
      </c>
      <c r="V213" t="str">
        <f t="shared" si="56"/>
        <v/>
      </c>
      <c r="W213" s="266"/>
      <c r="X213" s="266"/>
      <c r="Y213" s="266" t="str">
        <f t="shared" si="47"/>
        <v/>
      </c>
      <c r="Z213" s="266"/>
    </row>
    <row r="214" spans="1:26" ht="27" hidden="1" customHeight="1">
      <c r="A214" s="70" t="str">
        <f t="shared" si="43"/>
        <v/>
      </c>
      <c r="B214" s="70" t="str">
        <f t="shared" si="44"/>
        <v/>
      </c>
      <c r="C214" s="204" t="str" cm="1">
        <f t="array" ref="C214">IF(D214="","",
    IF(AND(ISNUMBER(D214), D214=INT(D214)),
        $V$6 &amp; " " &amp; (IFERROR(MAX($Y$12:$Y213), 0) + 1),
        IF(ISNUMBER(SEARCH(".", D214)), "", INDEX($C$12:$C214, MATCH(2, 1/($C$12:$C214 &lt;&gt; ""))))
    )
)</f>
        <v/>
      </c>
      <c r="D214" s="206"/>
      <c r="E214" s="206" t="str">
        <f>IF(AA214 = "", "",
    IF(ISNUMBER(SEARCH("Kiện", C214)),
       " GÓI " &amp; COUNTIF($C$13:C214, "*Kiện*") &amp; "/" &amp; COUNTIF($C$13:$C$1000, "*Kiện*") &amp; " " &amp; AA214,
       AA214)
)</f>
        <v/>
      </c>
      <c r="F214" s="206"/>
      <c r="G214" s="206"/>
      <c r="H214" s="206"/>
      <c r="I214" s="206"/>
      <c r="J214" s="206" t="str">
        <f t="shared" si="46"/>
        <v/>
      </c>
      <c r="K214" s="206" t="str">
        <f t="shared" si="48"/>
        <v/>
      </c>
      <c r="L214" s="206" t="str">
        <f t="shared" si="49"/>
        <v/>
      </c>
      <c r="M214" s="206" t="str">
        <f t="shared" si="50"/>
        <v/>
      </c>
      <c r="N214" s="206" t="str">
        <f t="shared" si="51"/>
        <v/>
      </c>
      <c r="O214" s="206" t="str">
        <f t="shared" si="52"/>
        <v/>
      </c>
      <c r="P214" s="84" t="str">
        <f t="shared" si="53"/>
        <v/>
      </c>
      <c r="Q214" s="205"/>
      <c r="R214" s="70" t="str">
        <f>IF(S214="IN",'BOM_Phan II'!$Y$3,"")</f>
        <v/>
      </c>
      <c r="S214" s="69" t="str">
        <f t="shared" si="45"/>
        <v/>
      </c>
      <c r="T214">
        <f t="shared" si="54"/>
        <v>3</v>
      </c>
      <c r="U214" t="str">
        <f t="shared" si="55"/>
        <v>KIỆN 14</v>
      </c>
      <c r="V214" t="str">
        <f t="shared" si="56"/>
        <v/>
      </c>
      <c r="W214" s="266"/>
      <c r="X214" s="266"/>
      <c r="Y214" s="266" t="str">
        <f t="shared" si="47"/>
        <v/>
      </c>
      <c r="Z214" s="266"/>
    </row>
    <row r="215" spans="1:26" ht="27" hidden="1" customHeight="1">
      <c r="A215" s="70" t="str">
        <f t="shared" si="43"/>
        <v/>
      </c>
      <c r="B215" s="70" t="str">
        <f t="shared" si="44"/>
        <v/>
      </c>
      <c r="C215" s="204" t="str" cm="1">
        <f t="array" ref="C215">IF(D215="","",
    IF(AND(ISNUMBER(D215), D215=INT(D215)),
        $V$6 &amp; " " &amp; (IFERROR(MAX($Y$12:$Y214), 0) + 1),
        IF(ISNUMBER(SEARCH(".", D215)), "", INDEX($C$12:$C215, MATCH(2, 1/($C$12:$C215 &lt;&gt; ""))))
    )
)</f>
        <v/>
      </c>
      <c r="D215" s="206"/>
      <c r="E215" s="206" t="str">
        <f>IF(AA215 = "", "",
    IF(ISNUMBER(SEARCH("Kiện", C215)),
       " GÓI " &amp; COUNTIF($C$13:C215, "*Kiện*") &amp; "/" &amp; COUNTIF($C$13:$C$1000, "*Kiện*") &amp; " " &amp; AA215,
       AA215)
)</f>
        <v/>
      </c>
      <c r="F215" s="206"/>
      <c r="G215" s="206"/>
      <c r="H215" s="206"/>
      <c r="I215" s="206"/>
      <c r="J215" s="206" t="str">
        <f t="shared" si="46"/>
        <v/>
      </c>
      <c r="K215" s="206" t="str">
        <f t="shared" si="48"/>
        <v/>
      </c>
      <c r="L215" s="206" t="str">
        <f t="shared" si="49"/>
        <v/>
      </c>
      <c r="M215" s="206" t="str">
        <f t="shared" si="50"/>
        <v/>
      </c>
      <c r="N215" s="206" t="str">
        <f t="shared" si="51"/>
        <v/>
      </c>
      <c r="O215" s="206" t="str">
        <f t="shared" si="52"/>
        <v/>
      </c>
      <c r="P215" s="84" t="str">
        <f t="shared" si="53"/>
        <v/>
      </c>
      <c r="Q215" s="205"/>
      <c r="R215" s="70" t="str">
        <f>IF(S215="IN",'BOM_Phan II'!$Y$3,"")</f>
        <v/>
      </c>
      <c r="S215" s="69" t="str">
        <f t="shared" si="45"/>
        <v/>
      </c>
      <c r="T215">
        <f t="shared" si="54"/>
        <v>3</v>
      </c>
      <c r="U215" t="str">
        <f t="shared" si="55"/>
        <v>KIỆN 14</v>
      </c>
      <c r="V215" t="str">
        <f t="shared" si="56"/>
        <v/>
      </c>
      <c r="W215" s="266"/>
      <c r="X215" s="266"/>
      <c r="Y215" s="266" t="str">
        <f t="shared" si="47"/>
        <v/>
      </c>
      <c r="Z215" s="266"/>
    </row>
    <row r="216" spans="1:26" ht="27" hidden="1" customHeight="1">
      <c r="A216" s="70" t="str">
        <f t="shared" si="43"/>
        <v/>
      </c>
      <c r="B216" s="70" t="str">
        <f t="shared" si="44"/>
        <v/>
      </c>
      <c r="C216" s="204" t="str" cm="1">
        <f t="array" ref="C216">IF(D216="","",
    IF(AND(ISNUMBER(D216), D216=INT(D216)),
        $V$6 &amp; " " &amp; (IFERROR(MAX($Y$12:$Y215), 0) + 1),
        IF(ISNUMBER(SEARCH(".", D216)), "", INDEX($C$12:$C216, MATCH(2, 1/($C$12:$C216 &lt;&gt; ""))))
    )
)</f>
        <v/>
      </c>
      <c r="D216" s="206"/>
      <c r="E216" s="206" t="str">
        <f>IF(AA216 = "", "",
    IF(ISNUMBER(SEARCH("Kiện", C216)),
       " GÓI " &amp; COUNTIF($C$13:C216, "*Kiện*") &amp; "/" &amp; COUNTIF($C$13:$C$1000, "*Kiện*") &amp; " " &amp; AA216,
       AA216)
)</f>
        <v/>
      </c>
      <c r="F216" s="206"/>
      <c r="G216" s="206"/>
      <c r="H216" s="206"/>
      <c r="I216" s="206"/>
      <c r="J216" s="206" t="str">
        <f t="shared" si="46"/>
        <v/>
      </c>
      <c r="K216" s="206" t="str">
        <f t="shared" si="48"/>
        <v/>
      </c>
      <c r="L216" s="206" t="str">
        <f t="shared" si="49"/>
        <v/>
      </c>
      <c r="M216" s="206" t="str">
        <f t="shared" si="50"/>
        <v/>
      </c>
      <c r="N216" s="206" t="str">
        <f t="shared" si="51"/>
        <v/>
      </c>
      <c r="O216" s="206" t="str">
        <f t="shared" si="52"/>
        <v/>
      </c>
      <c r="P216" s="84" t="str">
        <f t="shared" si="53"/>
        <v/>
      </c>
      <c r="Q216" s="205"/>
      <c r="R216" s="70" t="str">
        <f>IF(S216="IN",'BOM_Phan II'!$Y$3,"")</f>
        <v/>
      </c>
      <c r="S216" s="69" t="str">
        <f t="shared" si="45"/>
        <v/>
      </c>
      <c r="T216">
        <f t="shared" si="54"/>
        <v>3</v>
      </c>
      <c r="U216" t="str">
        <f t="shared" si="55"/>
        <v>KIỆN 14</v>
      </c>
      <c r="V216" t="str">
        <f t="shared" si="56"/>
        <v/>
      </c>
      <c r="W216" s="266"/>
      <c r="X216" s="266"/>
      <c r="Y216" s="266" t="str">
        <f t="shared" si="47"/>
        <v/>
      </c>
      <c r="Z216" s="266"/>
    </row>
    <row r="217" spans="1:26" ht="27" hidden="1" customHeight="1">
      <c r="A217" s="70" t="str">
        <f t="shared" si="43"/>
        <v/>
      </c>
      <c r="B217" s="70" t="str">
        <f t="shared" si="44"/>
        <v/>
      </c>
      <c r="C217" s="204" t="str" cm="1">
        <f t="array" ref="C217">IF(D217="","",
    IF(AND(ISNUMBER(D217), D217=INT(D217)),
        $V$6 &amp; " " &amp; (IFERROR(MAX($Y$12:$Y216), 0) + 1),
        IF(ISNUMBER(SEARCH(".", D217)), "", INDEX($C$12:$C217, MATCH(2, 1/($C$12:$C217 &lt;&gt; ""))))
    )
)</f>
        <v/>
      </c>
      <c r="D217" s="206"/>
      <c r="E217" s="206" t="str">
        <f>IF(AA217 = "", "",
    IF(ISNUMBER(SEARCH("Kiện", C217)),
       " GÓI " &amp; COUNTIF($C$13:C217, "*Kiện*") &amp; "/" &amp; COUNTIF($C$13:$C$1000, "*Kiện*") &amp; " " &amp; AA217,
       AA217)
)</f>
        <v/>
      </c>
      <c r="F217" s="206"/>
      <c r="G217" s="206"/>
      <c r="H217" s="206"/>
      <c r="I217" s="206"/>
      <c r="J217" s="206" t="str">
        <f t="shared" si="46"/>
        <v/>
      </c>
      <c r="K217" s="206" t="str">
        <f t="shared" si="48"/>
        <v/>
      </c>
      <c r="L217" s="206" t="str">
        <f t="shared" si="49"/>
        <v/>
      </c>
      <c r="M217" s="206" t="str">
        <f t="shared" si="50"/>
        <v/>
      </c>
      <c r="N217" s="206" t="str">
        <f t="shared" si="51"/>
        <v/>
      </c>
      <c r="O217" s="206" t="str">
        <f t="shared" si="52"/>
        <v/>
      </c>
      <c r="P217" s="84" t="str">
        <f t="shared" si="53"/>
        <v/>
      </c>
      <c r="Q217" s="205"/>
      <c r="R217" s="70" t="str">
        <f>IF(S217="IN",'BOM_Phan II'!$Y$3,"")</f>
        <v/>
      </c>
      <c r="S217" s="69" t="str">
        <f t="shared" si="45"/>
        <v/>
      </c>
      <c r="T217">
        <f t="shared" si="54"/>
        <v>3</v>
      </c>
      <c r="U217" t="str">
        <f t="shared" si="55"/>
        <v>KIỆN 14</v>
      </c>
      <c r="V217" t="str">
        <f t="shared" si="56"/>
        <v/>
      </c>
      <c r="W217" s="266"/>
      <c r="X217" s="266"/>
      <c r="Y217" s="266" t="str">
        <f t="shared" si="47"/>
        <v/>
      </c>
      <c r="Z217" s="266"/>
    </row>
    <row r="218" spans="1:26" ht="27" hidden="1" customHeight="1">
      <c r="A218" s="70" t="str">
        <f t="shared" si="43"/>
        <v/>
      </c>
      <c r="B218" s="70" t="str">
        <f t="shared" si="44"/>
        <v/>
      </c>
      <c r="C218" s="204" t="str" cm="1">
        <f t="array" ref="C218">IF(D218="","",
    IF(AND(ISNUMBER(D218), D218=INT(D218)),
        $V$6 &amp; " " &amp; (IFERROR(MAX($Y$12:$Y217), 0) + 1),
        IF(ISNUMBER(SEARCH(".", D218)), "", INDEX($C$12:$C218, MATCH(2, 1/($C$12:$C218 &lt;&gt; ""))))
    )
)</f>
        <v/>
      </c>
      <c r="D218" s="206"/>
      <c r="E218" s="206" t="str">
        <f>IF(AA218 = "", "",
    IF(ISNUMBER(SEARCH("Kiện", C218)),
       " GÓI " &amp; COUNTIF($C$13:C218, "*Kiện*") &amp; "/" &amp; COUNTIF($C$13:$C$1000, "*Kiện*") &amp; " " &amp; AA218,
       AA218)
)</f>
        <v/>
      </c>
      <c r="F218" s="206"/>
      <c r="G218" s="206"/>
      <c r="H218" s="206"/>
      <c r="I218" s="206"/>
      <c r="J218" s="206" t="str">
        <f t="shared" si="46"/>
        <v/>
      </c>
      <c r="K218" s="206" t="str">
        <f t="shared" si="48"/>
        <v/>
      </c>
      <c r="L218" s="206" t="str">
        <f t="shared" si="49"/>
        <v/>
      </c>
      <c r="M218" s="206" t="str">
        <f t="shared" si="50"/>
        <v/>
      </c>
      <c r="N218" s="206" t="str">
        <f t="shared" si="51"/>
        <v/>
      </c>
      <c r="O218" s="206" t="str">
        <f t="shared" si="52"/>
        <v/>
      </c>
      <c r="P218" s="84" t="str">
        <f t="shared" si="53"/>
        <v/>
      </c>
      <c r="Q218" s="205"/>
      <c r="R218" s="70" t="str">
        <f>IF(S218="IN",'BOM_Phan II'!$Y$3,"")</f>
        <v/>
      </c>
      <c r="S218" s="69" t="str">
        <f t="shared" si="45"/>
        <v/>
      </c>
      <c r="T218">
        <f t="shared" si="54"/>
        <v>3</v>
      </c>
      <c r="U218" t="str">
        <f t="shared" si="55"/>
        <v>KIỆN 14</v>
      </c>
      <c r="V218" t="str">
        <f t="shared" si="56"/>
        <v/>
      </c>
      <c r="W218" s="266"/>
      <c r="X218" s="266"/>
      <c r="Y218" s="266" t="str">
        <f t="shared" si="47"/>
        <v/>
      </c>
      <c r="Z218" s="266"/>
    </row>
    <row r="219" spans="1:26" ht="27" hidden="1" customHeight="1">
      <c r="A219" s="70" t="str">
        <f t="shared" si="43"/>
        <v/>
      </c>
      <c r="B219" s="70" t="str">
        <f t="shared" si="44"/>
        <v/>
      </c>
      <c r="C219" s="204" t="str" cm="1">
        <f t="array" ref="C219">IF(D219="","",
    IF(AND(ISNUMBER(D219), D219=INT(D219)),
        $V$6 &amp; " " &amp; (IFERROR(MAX($Y$12:$Y218), 0) + 1),
        IF(ISNUMBER(SEARCH(".", D219)), "", INDEX($C$12:$C219, MATCH(2, 1/($C$12:$C219 &lt;&gt; ""))))
    )
)</f>
        <v/>
      </c>
      <c r="D219" s="206"/>
      <c r="E219" s="206" t="str">
        <f>IF(AA219 = "", "",
    IF(ISNUMBER(SEARCH("Kiện", C219)),
       " GÓI " &amp; COUNTIF($C$13:C219, "*Kiện*") &amp; "/" &amp; COUNTIF($C$13:$C$1000, "*Kiện*") &amp; " " &amp; AA219,
       AA219)
)</f>
        <v/>
      </c>
      <c r="F219" s="206"/>
      <c r="G219" s="206"/>
      <c r="H219" s="206"/>
      <c r="I219" s="206"/>
      <c r="J219" s="206" t="str">
        <f t="shared" si="46"/>
        <v/>
      </c>
      <c r="K219" s="206" t="str">
        <f t="shared" si="48"/>
        <v/>
      </c>
      <c r="L219" s="206" t="str">
        <f t="shared" si="49"/>
        <v/>
      </c>
      <c r="M219" s="206" t="str">
        <f t="shared" si="50"/>
        <v/>
      </c>
      <c r="N219" s="206" t="str">
        <f t="shared" si="51"/>
        <v/>
      </c>
      <c r="O219" s="206" t="str">
        <f t="shared" si="52"/>
        <v/>
      </c>
      <c r="P219" s="84" t="str">
        <f t="shared" si="53"/>
        <v/>
      </c>
      <c r="Q219" s="205"/>
      <c r="R219" s="70" t="str">
        <f>IF(S219="IN",'BOM_Phan II'!$Y$3,"")</f>
        <v/>
      </c>
      <c r="S219" s="69" t="str">
        <f t="shared" si="45"/>
        <v/>
      </c>
      <c r="T219">
        <f t="shared" si="54"/>
        <v>3</v>
      </c>
      <c r="U219" t="str">
        <f t="shared" si="55"/>
        <v>KIỆN 14</v>
      </c>
      <c r="V219" t="str">
        <f t="shared" si="56"/>
        <v/>
      </c>
      <c r="W219" s="266"/>
      <c r="X219" s="266"/>
      <c r="Y219" s="266" t="str">
        <f t="shared" si="47"/>
        <v/>
      </c>
      <c r="Z219" s="266"/>
    </row>
    <row r="220" spans="1:26" ht="27" hidden="1" customHeight="1">
      <c r="A220" s="70" t="str">
        <f t="shared" si="43"/>
        <v/>
      </c>
      <c r="B220" s="70" t="str">
        <f t="shared" si="44"/>
        <v/>
      </c>
      <c r="C220" s="204" t="str" cm="1">
        <f t="array" ref="C220">IF(D220="","",
    IF(AND(ISNUMBER(D220), D220=INT(D220)),
        $V$6 &amp; " " &amp; (IFERROR(MAX($Y$12:$Y219), 0) + 1),
        IF(ISNUMBER(SEARCH(".", D220)), "", INDEX($C$12:$C220, MATCH(2, 1/($C$12:$C220 &lt;&gt; ""))))
    )
)</f>
        <v/>
      </c>
      <c r="D220" s="206"/>
      <c r="E220" s="206" t="str">
        <f>IF(AA220 = "", "",
    IF(ISNUMBER(SEARCH("Kiện", C220)),
       " GÓI " &amp; COUNTIF($C$13:C220, "*Kiện*") &amp; "/" &amp; COUNTIF($C$13:$C$1000, "*Kiện*") &amp; " " &amp; AA220,
       AA220)
)</f>
        <v/>
      </c>
      <c r="F220" s="206"/>
      <c r="G220" s="206"/>
      <c r="H220" s="206"/>
      <c r="I220" s="206"/>
      <c r="J220" s="206" t="str">
        <f t="shared" si="46"/>
        <v/>
      </c>
      <c r="K220" s="206" t="str">
        <f t="shared" si="48"/>
        <v/>
      </c>
      <c r="L220" s="206" t="str">
        <f t="shared" si="49"/>
        <v/>
      </c>
      <c r="M220" s="206" t="str">
        <f t="shared" si="50"/>
        <v/>
      </c>
      <c r="N220" s="206" t="str">
        <f t="shared" si="51"/>
        <v/>
      </c>
      <c r="O220" s="206" t="str">
        <f t="shared" si="52"/>
        <v/>
      </c>
      <c r="P220" s="84" t="str">
        <f t="shared" si="53"/>
        <v/>
      </c>
      <c r="Q220" s="205"/>
      <c r="R220" s="70" t="str">
        <f>IF(S220="IN",'BOM_Phan II'!$Y$3,"")</f>
        <v/>
      </c>
      <c r="S220" s="69" t="str">
        <f t="shared" si="45"/>
        <v/>
      </c>
      <c r="T220">
        <f t="shared" si="54"/>
        <v>3</v>
      </c>
      <c r="U220" t="str">
        <f t="shared" si="55"/>
        <v>KIỆN 14</v>
      </c>
      <c r="V220" t="str">
        <f t="shared" si="56"/>
        <v/>
      </c>
      <c r="W220" s="266"/>
      <c r="X220" s="266"/>
      <c r="Y220" s="266" t="str">
        <f t="shared" si="47"/>
        <v/>
      </c>
      <c r="Z220" s="266"/>
    </row>
    <row r="221" spans="1:26" ht="27" hidden="1" customHeight="1">
      <c r="A221" s="70" t="str">
        <f t="shared" si="43"/>
        <v/>
      </c>
      <c r="B221" s="70" t="str">
        <f t="shared" si="44"/>
        <v/>
      </c>
      <c r="C221" s="204" t="str" cm="1">
        <f t="array" ref="C221">IF(D221="","",
    IF(AND(ISNUMBER(D221), D221=INT(D221)),
        $V$6 &amp; " " &amp; (IFERROR(MAX($Y$12:$Y220), 0) + 1),
        IF(ISNUMBER(SEARCH(".", D221)), "", INDEX($C$12:$C221, MATCH(2, 1/($C$12:$C221 &lt;&gt; ""))))
    )
)</f>
        <v/>
      </c>
      <c r="D221" s="206"/>
      <c r="E221" s="206" t="str">
        <f>IF(AA221 = "", "",
    IF(ISNUMBER(SEARCH("Kiện", C221)),
       " GÓI " &amp; COUNTIF($C$13:C221, "*Kiện*") &amp; "/" &amp; COUNTIF($C$13:$C$1000, "*Kiện*") &amp; " " &amp; AA221,
       AA221)
)</f>
        <v/>
      </c>
      <c r="F221" s="206"/>
      <c r="G221" s="206"/>
      <c r="H221" s="206"/>
      <c r="I221" s="206"/>
      <c r="J221" s="206" t="str">
        <f t="shared" si="46"/>
        <v/>
      </c>
      <c r="K221" s="206" t="str">
        <f t="shared" si="48"/>
        <v/>
      </c>
      <c r="L221" s="206" t="str">
        <f t="shared" si="49"/>
        <v/>
      </c>
      <c r="M221" s="206" t="str">
        <f t="shared" si="50"/>
        <v/>
      </c>
      <c r="N221" s="206" t="str">
        <f t="shared" si="51"/>
        <v/>
      </c>
      <c r="O221" s="206" t="str">
        <f t="shared" si="52"/>
        <v/>
      </c>
      <c r="P221" s="84" t="str">
        <f t="shared" si="53"/>
        <v/>
      </c>
      <c r="Q221" s="205"/>
      <c r="R221" s="70" t="str">
        <f>IF(S221="IN",'BOM_Phan II'!$Y$3,"")</f>
        <v/>
      </c>
      <c r="S221" s="69" t="str">
        <f t="shared" si="45"/>
        <v/>
      </c>
      <c r="T221">
        <f t="shared" si="54"/>
        <v>3</v>
      </c>
      <c r="U221" t="str">
        <f t="shared" si="55"/>
        <v>KIỆN 14</v>
      </c>
      <c r="V221" t="str">
        <f t="shared" si="56"/>
        <v/>
      </c>
      <c r="W221" s="266"/>
      <c r="X221" s="266"/>
      <c r="Y221" s="266" t="str">
        <f t="shared" si="47"/>
        <v/>
      </c>
      <c r="Z221" s="266"/>
    </row>
    <row r="222" spans="1:26" ht="27" hidden="1" customHeight="1">
      <c r="A222" s="70" t="str">
        <f t="shared" si="43"/>
        <v/>
      </c>
      <c r="B222" s="70" t="str">
        <f t="shared" si="44"/>
        <v/>
      </c>
      <c r="C222" s="204" t="str" cm="1">
        <f t="array" ref="C222">IF(D222="","",
    IF(AND(ISNUMBER(D222), D222=INT(D222)),
        $V$6 &amp; " " &amp; (IFERROR(MAX($Y$12:$Y221), 0) + 1),
        IF(ISNUMBER(SEARCH(".", D222)), "", INDEX($C$12:$C222, MATCH(2, 1/($C$12:$C222 &lt;&gt; ""))))
    )
)</f>
        <v/>
      </c>
      <c r="D222" s="206"/>
      <c r="E222" s="206" t="str">
        <f>IF(AA222 = "", "",
    IF(ISNUMBER(SEARCH("Kiện", C222)),
       " GÓI " &amp; COUNTIF($C$13:C222, "*Kiện*") &amp; "/" &amp; COUNTIF($C$13:$C$1000, "*Kiện*") &amp; " " &amp; AA222,
       AA222)
)</f>
        <v/>
      </c>
      <c r="F222" s="206"/>
      <c r="G222" s="206"/>
      <c r="H222" s="206"/>
      <c r="I222" s="206"/>
      <c r="J222" s="206" t="str">
        <f t="shared" si="46"/>
        <v/>
      </c>
      <c r="K222" s="206" t="str">
        <f t="shared" si="48"/>
        <v/>
      </c>
      <c r="L222" s="206" t="str">
        <f t="shared" si="49"/>
        <v/>
      </c>
      <c r="M222" s="206" t="str">
        <f t="shared" si="50"/>
        <v/>
      </c>
      <c r="N222" s="206" t="str">
        <f t="shared" si="51"/>
        <v/>
      </c>
      <c r="O222" s="206" t="str">
        <f t="shared" si="52"/>
        <v/>
      </c>
      <c r="P222" s="84" t="str">
        <f t="shared" si="53"/>
        <v/>
      </c>
      <c r="Q222" s="205"/>
      <c r="R222" s="70" t="str">
        <f>IF(S222="IN",'BOM_Phan II'!$Y$3,"")</f>
        <v/>
      </c>
      <c r="S222" s="69" t="str">
        <f t="shared" si="45"/>
        <v/>
      </c>
      <c r="T222">
        <f t="shared" si="54"/>
        <v>3</v>
      </c>
      <c r="U222" t="str">
        <f t="shared" si="55"/>
        <v>KIỆN 14</v>
      </c>
      <c r="V222" t="str">
        <f t="shared" si="56"/>
        <v/>
      </c>
      <c r="W222" s="266"/>
      <c r="X222" s="266"/>
      <c r="Y222" s="266" t="str">
        <f t="shared" si="47"/>
        <v/>
      </c>
      <c r="Z222" s="266"/>
    </row>
    <row r="223" spans="1:26" ht="27" hidden="1" customHeight="1">
      <c r="A223" s="70" t="str">
        <f t="shared" si="43"/>
        <v/>
      </c>
      <c r="B223" s="70" t="str">
        <f t="shared" si="44"/>
        <v/>
      </c>
      <c r="C223" s="204" t="str" cm="1">
        <f t="array" ref="C223">IF(D223="","",
    IF(AND(ISNUMBER(D223), D223=INT(D223)),
        $V$6 &amp; " " &amp; (IFERROR(MAX($Y$12:$Y222), 0) + 1),
        IF(ISNUMBER(SEARCH(".", D223)), "", INDEX($C$12:$C223, MATCH(2, 1/($C$12:$C223 &lt;&gt; ""))))
    )
)</f>
        <v/>
      </c>
      <c r="D223" s="206"/>
      <c r="E223" s="206" t="str">
        <f>IF(AA223 = "", "",
    IF(ISNUMBER(SEARCH("Kiện", C223)),
       " GÓI " &amp; COUNTIF($C$13:C223, "*Kiện*") &amp; "/" &amp; COUNTIF($C$13:$C$1000, "*Kiện*") &amp; " " &amp; AA223,
       AA223)
)</f>
        <v/>
      </c>
      <c r="F223" s="206"/>
      <c r="G223" s="206"/>
      <c r="H223" s="206"/>
      <c r="I223" s="206"/>
      <c r="J223" s="206" t="str">
        <f t="shared" si="46"/>
        <v/>
      </c>
      <c r="K223" s="206" t="str">
        <f t="shared" si="48"/>
        <v/>
      </c>
      <c r="L223" s="206" t="str">
        <f t="shared" si="49"/>
        <v/>
      </c>
      <c r="M223" s="206" t="str">
        <f t="shared" si="50"/>
        <v/>
      </c>
      <c r="N223" s="206" t="str">
        <f t="shared" si="51"/>
        <v/>
      </c>
      <c r="O223" s="206" t="str">
        <f t="shared" si="52"/>
        <v/>
      </c>
      <c r="P223" s="84" t="str">
        <f t="shared" si="53"/>
        <v/>
      </c>
      <c r="Q223" s="205"/>
      <c r="R223" s="70" t="str">
        <f>IF(S223="IN",'BOM_Phan II'!$Y$3,"")</f>
        <v/>
      </c>
      <c r="S223" s="69" t="str">
        <f t="shared" si="45"/>
        <v/>
      </c>
      <c r="T223">
        <f t="shared" si="54"/>
        <v>3</v>
      </c>
      <c r="U223" t="str">
        <f t="shared" si="55"/>
        <v>KIỆN 14</v>
      </c>
      <c r="V223" t="str">
        <f t="shared" si="56"/>
        <v/>
      </c>
      <c r="W223" s="266"/>
      <c r="X223" s="266"/>
      <c r="Y223" s="266" t="str">
        <f t="shared" si="47"/>
        <v/>
      </c>
      <c r="Z223" s="266"/>
    </row>
    <row r="224" spans="1:26" ht="27" hidden="1" customHeight="1">
      <c r="A224" s="70" t="str">
        <f t="shared" si="43"/>
        <v/>
      </c>
      <c r="B224" s="70" t="str">
        <f t="shared" si="44"/>
        <v/>
      </c>
      <c r="C224" s="204" t="str" cm="1">
        <f t="array" ref="C224">IF(D224="","",
    IF(AND(ISNUMBER(D224), D224=INT(D224)),
        $V$6 &amp; " " &amp; (IFERROR(MAX($Y$12:$Y223), 0) + 1),
        IF(ISNUMBER(SEARCH(".", D224)), "", INDEX($C$12:$C224, MATCH(2, 1/($C$12:$C224 &lt;&gt; ""))))
    )
)</f>
        <v/>
      </c>
      <c r="D224" s="206"/>
      <c r="E224" s="206" t="str">
        <f>IF(AA224 = "", "",
    IF(ISNUMBER(SEARCH("Kiện", C224)),
       " GÓI " &amp; COUNTIF($C$13:C224, "*Kiện*") &amp; "/" &amp; COUNTIF($C$13:$C$1000, "*Kiện*") &amp; " " &amp; AA224,
       AA224)
)</f>
        <v/>
      </c>
      <c r="F224" s="206"/>
      <c r="G224" s="206"/>
      <c r="H224" s="206"/>
      <c r="I224" s="206"/>
      <c r="J224" s="206" t="str">
        <f t="shared" si="46"/>
        <v/>
      </c>
      <c r="K224" s="206" t="str">
        <f t="shared" si="48"/>
        <v/>
      </c>
      <c r="L224" s="206" t="str">
        <f t="shared" si="49"/>
        <v/>
      </c>
      <c r="M224" s="206" t="str">
        <f t="shared" si="50"/>
        <v/>
      </c>
      <c r="N224" s="206" t="str">
        <f t="shared" si="51"/>
        <v/>
      </c>
      <c r="O224" s="206" t="str">
        <f t="shared" si="52"/>
        <v/>
      </c>
      <c r="P224" s="84" t="str">
        <f t="shared" si="53"/>
        <v/>
      </c>
      <c r="Q224" s="205"/>
      <c r="R224" s="70" t="str">
        <f>IF(S224="IN",'BOM_Phan II'!$Y$3,"")</f>
        <v/>
      </c>
      <c r="S224" s="69" t="str">
        <f t="shared" si="45"/>
        <v/>
      </c>
      <c r="T224">
        <f t="shared" si="54"/>
        <v>3</v>
      </c>
      <c r="U224" t="str">
        <f t="shared" si="55"/>
        <v>KIỆN 14</v>
      </c>
      <c r="V224" t="str">
        <f t="shared" si="56"/>
        <v/>
      </c>
      <c r="W224" s="266"/>
      <c r="X224" s="266"/>
      <c r="Y224" s="266" t="str">
        <f t="shared" si="47"/>
        <v/>
      </c>
      <c r="Z224" s="266"/>
    </row>
    <row r="225" spans="1:26" ht="27" hidden="1" customHeight="1">
      <c r="A225" s="70" t="str">
        <f t="shared" si="43"/>
        <v/>
      </c>
      <c r="B225" s="70" t="str">
        <f t="shared" si="44"/>
        <v/>
      </c>
      <c r="C225" s="204" t="str" cm="1">
        <f t="array" ref="C225">IF(D225="","",
    IF(AND(ISNUMBER(D225), D225=INT(D225)),
        $V$6 &amp; " " &amp; (IFERROR(MAX($Y$12:$Y224), 0) + 1),
        IF(ISNUMBER(SEARCH(".", D225)), "", INDEX($C$12:$C225, MATCH(2, 1/($C$12:$C225 &lt;&gt; ""))))
    )
)</f>
        <v/>
      </c>
      <c r="D225" s="206"/>
      <c r="E225" s="206" t="str">
        <f>IF(AA225 = "", "",
    IF(ISNUMBER(SEARCH("Kiện", C225)),
       " GÓI " &amp; COUNTIF($C$13:C225, "*Kiện*") &amp; "/" &amp; COUNTIF($C$13:$C$1000, "*Kiện*") &amp; " " &amp; AA225,
       AA225)
)</f>
        <v/>
      </c>
      <c r="F225" s="206"/>
      <c r="G225" s="206"/>
      <c r="H225" s="206"/>
      <c r="I225" s="206"/>
      <c r="J225" s="206" t="str">
        <f t="shared" si="46"/>
        <v/>
      </c>
      <c r="K225" s="206" t="str">
        <f t="shared" si="48"/>
        <v/>
      </c>
      <c r="L225" s="206" t="str">
        <f t="shared" si="49"/>
        <v/>
      </c>
      <c r="M225" s="206" t="str">
        <f t="shared" si="50"/>
        <v/>
      </c>
      <c r="N225" s="206" t="str">
        <f t="shared" si="51"/>
        <v/>
      </c>
      <c r="O225" s="206" t="str">
        <f t="shared" si="52"/>
        <v/>
      </c>
      <c r="P225" s="84" t="str">
        <f t="shared" si="53"/>
        <v/>
      </c>
      <c r="Q225" s="205"/>
      <c r="R225" s="70" t="str">
        <f>IF(S225="IN",'BOM_Phan II'!$Y$3,"")</f>
        <v/>
      </c>
      <c r="S225" s="69" t="str">
        <f t="shared" si="45"/>
        <v/>
      </c>
      <c r="T225">
        <f t="shared" si="54"/>
        <v>3</v>
      </c>
      <c r="U225" t="str">
        <f t="shared" si="55"/>
        <v>KIỆN 14</v>
      </c>
      <c r="V225" t="str">
        <f t="shared" si="56"/>
        <v/>
      </c>
      <c r="W225" s="266"/>
      <c r="X225" s="266"/>
      <c r="Y225" s="266" t="str">
        <f t="shared" si="47"/>
        <v/>
      </c>
      <c r="Z225" s="266"/>
    </row>
    <row r="226" spans="1:26" ht="27" hidden="1" customHeight="1">
      <c r="A226" s="70" t="str">
        <f t="shared" si="43"/>
        <v/>
      </c>
      <c r="B226" s="70" t="str">
        <f t="shared" si="44"/>
        <v/>
      </c>
      <c r="C226" s="204" t="str" cm="1">
        <f t="array" ref="C226">IF(D226="","",
    IF(AND(ISNUMBER(D226), D226=INT(D226)),
        $V$6 &amp; " " &amp; (IFERROR(MAX($Y$12:$Y225), 0) + 1),
        IF(ISNUMBER(SEARCH(".", D226)), "", INDEX($C$12:$C226, MATCH(2, 1/($C$12:$C226 &lt;&gt; ""))))
    )
)</f>
        <v/>
      </c>
      <c r="D226" s="206"/>
      <c r="E226" s="206" t="str">
        <f>IF(AA226 = "", "",
    IF(ISNUMBER(SEARCH("Kiện", C226)),
       " GÓI " &amp; COUNTIF($C$13:C226, "*Kiện*") &amp; "/" &amp; COUNTIF($C$13:$C$1000, "*Kiện*") &amp; " " &amp; AA226,
       AA226)
)</f>
        <v/>
      </c>
      <c r="F226" s="206"/>
      <c r="G226" s="206"/>
      <c r="H226" s="206"/>
      <c r="I226" s="206"/>
      <c r="J226" s="206" t="str">
        <f t="shared" si="46"/>
        <v/>
      </c>
      <c r="K226" s="206" t="str">
        <f t="shared" si="48"/>
        <v/>
      </c>
      <c r="L226" s="206" t="str">
        <f t="shared" si="49"/>
        <v/>
      </c>
      <c r="M226" s="206" t="str">
        <f t="shared" si="50"/>
        <v/>
      </c>
      <c r="N226" s="206" t="str">
        <f t="shared" si="51"/>
        <v/>
      </c>
      <c r="O226" s="206" t="str">
        <f t="shared" si="52"/>
        <v/>
      </c>
      <c r="P226" s="84" t="str">
        <f t="shared" si="53"/>
        <v/>
      </c>
      <c r="Q226" s="205"/>
      <c r="R226" s="70" t="str">
        <f>IF(S226="IN",'BOM_Phan II'!$Y$3,"")</f>
        <v/>
      </c>
      <c r="S226" s="69" t="str">
        <f t="shared" si="45"/>
        <v/>
      </c>
      <c r="T226">
        <f t="shared" si="54"/>
        <v>3</v>
      </c>
      <c r="U226" t="str">
        <f t="shared" si="55"/>
        <v>KIỆN 14</v>
      </c>
      <c r="V226" t="str">
        <f t="shared" si="56"/>
        <v/>
      </c>
      <c r="W226" s="266"/>
      <c r="X226" s="266"/>
      <c r="Y226" s="266" t="str">
        <f t="shared" si="47"/>
        <v/>
      </c>
      <c r="Z226" s="266"/>
    </row>
    <row r="227" spans="1:26" ht="27" hidden="1" customHeight="1">
      <c r="A227" s="70" t="str">
        <f t="shared" si="43"/>
        <v/>
      </c>
      <c r="B227" s="70" t="str">
        <f t="shared" si="44"/>
        <v/>
      </c>
      <c r="C227" s="204" t="str" cm="1">
        <f t="array" ref="C227">IF(D227="","",
    IF(AND(ISNUMBER(D227), D227=INT(D227)),
        $V$6 &amp; " " &amp; (IFERROR(MAX($Y$12:$Y226), 0) + 1),
        IF(ISNUMBER(SEARCH(".", D227)), "", INDEX($C$12:$C227, MATCH(2, 1/($C$12:$C227 &lt;&gt; ""))))
    )
)</f>
        <v/>
      </c>
      <c r="D227" s="206"/>
      <c r="E227" s="206" t="str">
        <f>IF(AA227 = "", "",
    IF(ISNUMBER(SEARCH("Kiện", C227)),
       " GÓI " &amp; COUNTIF($C$13:C227, "*Kiện*") &amp; "/" &amp; COUNTIF($C$13:$C$1000, "*Kiện*") &amp; " " &amp; AA227,
       AA227)
)</f>
        <v/>
      </c>
      <c r="F227" s="206"/>
      <c r="G227" s="206"/>
      <c r="H227" s="206"/>
      <c r="I227" s="206"/>
      <c r="J227" s="206" t="str">
        <f t="shared" si="46"/>
        <v/>
      </c>
      <c r="K227" s="206" t="str">
        <f t="shared" si="48"/>
        <v/>
      </c>
      <c r="L227" s="206" t="str">
        <f t="shared" si="49"/>
        <v/>
      </c>
      <c r="M227" s="206" t="str">
        <f t="shared" si="50"/>
        <v/>
      </c>
      <c r="N227" s="206" t="str">
        <f t="shared" si="51"/>
        <v/>
      </c>
      <c r="O227" s="206" t="str">
        <f t="shared" si="52"/>
        <v/>
      </c>
      <c r="P227" s="84" t="str">
        <f t="shared" si="53"/>
        <v/>
      </c>
      <c r="Q227" s="205"/>
      <c r="R227" s="70" t="str">
        <f>IF(S227="IN",'BOM_Phan II'!$Y$3,"")</f>
        <v/>
      </c>
      <c r="S227" s="69" t="str">
        <f t="shared" si="45"/>
        <v/>
      </c>
      <c r="T227">
        <f t="shared" si="54"/>
        <v>3</v>
      </c>
      <c r="U227" t="str">
        <f t="shared" si="55"/>
        <v>KIỆN 14</v>
      </c>
      <c r="V227" t="str">
        <f t="shared" si="56"/>
        <v/>
      </c>
      <c r="W227" s="266"/>
      <c r="X227" s="266"/>
      <c r="Y227" s="266" t="str">
        <f t="shared" si="47"/>
        <v/>
      </c>
      <c r="Z227" s="266"/>
    </row>
    <row r="228" spans="1:26" ht="27" hidden="1" customHeight="1">
      <c r="A228" s="70" t="str">
        <f t="shared" si="43"/>
        <v/>
      </c>
      <c r="B228" s="70" t="str">
        <f t="shared" si="44"/>
        <v/>
      </c>
      <c r="C228" s="204" t="str" cm="1">
        <f t="array" ref="C228">IF(D228="","",
    IF(AND(ISNUMBER(D228), D228=INT(D228)),
        $V$6 &amp; " " &amp; (IFERROR(MAX($Y$12:$Y227), 0) + 1),
        IF(ISNUMBER(SEARCH(".", D228)), "", INDEX($C$12:$C228, MATCH(2, 1/($C$12:$C228 &lt;&gt; ""))))
    )
)</f>
        <v/>
      </c>
      <c r="D228" s="206"/>
      <c r="E228" s="206" t="str">
        <f>IF(AA228 = "", "",
    IF(ISNUMBER(SEARCH("Kiện", C228)),
       " GÓI " &amp; COUNTIF($C$13:C228, "*Kiện*") &amp; "/" &amp; COUNTIF($C$13:$C$1000, "*Kiện*") &amp; " " &amp; AA228,
       AA228)
)</f>
        <v/>
      </c>
      <c r="F228" s="206"/>
      <c r="G228" s="206"/>
      <c r="H228" s="206"/>
      <c r="I228" s="206"/>
      <c r="J228" s="206" t="str">
        <f t="shared" si="46"/>
        <v/>
      </c>
      <c r="K228" s="206" t="str">
        <f t="shared" si="48"/>
        <v/>
      </c>
      <c r="L228" s="206" t="str">
        <f t="shared" si="49"/>
        <v/>
      </c>
      <c r="M228" s="206" t="str">
        <f t="shared" si="50"/>
        <v/>
      </c>
      <c r="N228" s="206" t="str">
        <f t="shared" si="51"/>
        <v/>
      </c>
      <c r="O228" s="206" t="str">
        <f t="shared" si="52"/>
        <v/>
      </c>
      <c r="P228" s="84" t="str">
        <f t="shared" si="53"/>
        <v/>
      </c>
      <c r="Q228" s="205"/>
      <c r="R228" s="70" t="str">
        <f>IF(S228="IN",'BOM_Phan II'!$Y$3,"")</f>
        <v/>
      </c>
      <c r="S228" s="69" t="str">
        <f t="shared" si="45"/>
        <v/>
      </c>
      <c r="T228">
        <f t="shared" si="54"/>
        <v>3</v>
      </c>
      <c r="U228" t="str">
        <f t="shared" si="55"/>
        <v>KIỆN 14</v>
      </c>
      <c r="V228" t="str">
        <f t="shared" si="56"/>
        <v/>
      </c>
      <c r="W228" s="266"/>
      <c r="X228" s="266"/>
      <c r="Y228" s="266" t="str">
        <f t="shared" si="47"/>
        <v/>
      </c>
      <c r="Z228" s="266"/>
    </row>
    <row r="229" spans="1:26" ht="27" hidden="1" customHeight="1">
      <c r="A229" s="70" t="str">
        <f t="shared" si="43"/>
        <v/>
      </c>
      <c r="B229" s="70" t="str">
        <f t="shared" si="44"/>
        <v/>
      </c>
      <c r="C229" s="204" t="str" cm="1">
        <f t="array" ref="C229">IF(D229="","",
    IF(AND(ISNUMBER(D229), D229=INT(D229)),
        $V$6 &amp; " " &amp; (IFERROR(MAX($Y$12:$Y228), 0) + 1),
        IF(ISNUMBER(SEARCH(".", D229)), "", INDEX($C$12:$C229, MATCH(2, 1/($C$12:$C229 &lt;&gt; ""))))
    )
)</f>
        <v/>
      </c>
      <c r="D229" s="206"/>
      <c r="E229" s="206" t="str">
        <f>IF(AA229 = "", "",
    IF(ISNUMBER(SEARCH("Kiện", C229)),
       " GÓI " &amp; COUNTIF($C$13:C229, "*Kiện*") &amp; "/" &amp; COUNTIF($C$13:$C$1000, "*Kiện*") &amp; " " &amp; AA229,
       AA229)
)</f>
        <v/>
      </c>
      <c r="F229" s="206"/>
      <c r="G229" s="206"/>
      <c r="H229" s="206"/>
      <c r="I229" s="206"/>
      <c r="J229" s="206" t="str">
        <f t="shared" si="46"/>
        <v/>
      </c>
      <c r="K229" s="206" t="str">
        <f t="shared" si="48"/>
        <v/>
      </c>
      <c r="L229" s="206" t="str">
        <f t="shared" si="49"/>
        <v/>
      </c>
      <c r="M229" s="206" t="str">
        <f t="shared" si="50"/>
        <v/>
      </c>
      <c r="N229" s="206" t="str">
        <f t="shared" si="51"/>
        <v/>
      </c>
      <c r="O229" s="206" t="str">
        <f t="shared" si="52"/>
        <v/>
      </c>
      <c r="P229" s="84" t="str">
        <f t="shared" si="53"/>
        <v/>
      </c>
      <c r="Q229" s="205"/>
      <c r="R229" s="70" t="str">
        <f>IF(S229="IN",'BOM_Phan II'!$Y$3,"")</f>
        <v/>
      </c>
      <c r="S229" s="69" t="str">
        <f t="shared" si="45"/>
        <v/>
      </c>
      <c r="T229">
        <f t="shared" si="54"/>
        <v>3</v>
      </c>
      <c r="U229" t="str">
        <f t="shared" si="55"/>
        <v>KIỆN 14</v>
      </c>
      <c r="V229" t="str">
        <f t="shared" si="56"/>
        <v/>
      </c>
      <c r="W229" s="266"/>
      <c r="X229" s="266"/>
      <c r="Y229" s="266" t="str">
        <f t="shared" si="47"/>
        <v/>
      </c>
      <c r="Z229" s="266"/>
    </row>
    <row r="230" spans="1:26" ht="27" hidden="1" customHeight="1">
      <c r="A230" s="70" t="str">
        <f t="shared" si="43"/>
        <v/>
      </c>
      <c r="B230" s="70" t="str">
        <f t="shared" si="44"/>
        <v/>
      </c>
      <c r="C230" s="204" t="str" cm="1">
        <f t="array" ref="C230">IF(D230="","",
    IF(AND(ISNUMBER(D230), D230=INT(D230)),
        $V$6 &amp; " " &amp; (IFERROR(MAX($Y$12:$Y229), 0) + 1),
        IF(ISNUMBER(SEARCH(".", D230)), "", INDEX($C$12:$C230, MATCH(2, 1/($C$12:$C230 &lt;&gt; ""))))
    )
)</f>
        <v/>
      </c>
      <c r="D230" s="206"/>
      <c r="E230" s="206" t="str">
        <f>IF(AA230 = "", "",
    IF(ISNUMBER(SEARCH("Kiện", C230)),
       " GÓI " &amp; COUNTIF($C$13:C230, "*Kiện*") &amp; "/" &amp; COUNTIF($C$13:$C$1000, "*Kiện*") &amp; " " &amp; AA230,
       AA230)
)</f>
        <v/>
      </c>
      <c r="F230" s="206"/>
      <c r="G230" s="206"/>
      <c r="H230" s="206"/>
      <c r="I230" s="206"/>
      <c r="J230" s="206" t="str">
        <f t="shared" si="46"/>
        <v/>
      </c>
      <c r="K230" s="206" t="str">
        <f t="shared" si="48"/>
        <v/>
      </c>
      <c r="L230" s="206" t="str">
        <f t="shared" si="49"/>
        <v/>
      </c>
      <c r="M230" s="206" t="str">
        <f t="shared" si="50"/>
        <v/>
      </c>
      <c r="N230" s="206" t="str">
        <f t="shared" si="51"/>
        <v/>
      </c>
      <c r="O230" s="206" t="str">
        <f t="shared" si="52"/>
        <v/>
      </c>
      <c r="P230" s="84" t="str">
        <f t="shared" si="53"/>
        <v/>
      </c>
      <c r="Q230" s="205"/>
      <c r="R230" s="70" t="str">
        <f>IF(S230="IN",'BOM_Phan II'!$Y$3,"")</f>
        <v/>
      </c>
      <c r="S230" s="69" t="str">
        <f t="shared" si="45"/>
        <v/>
      </c>
      <c r="T230">
        <f t="shared" si="54"/>
        <v>3</v>
      </c>
      <c r="U230" t="str">
        <f t="shared" si="55"/>
        <v>KIỆN 14</v>
      </c>
      <c r="V230" t="str">
        <f t="shared" si="56"/>
        <v/>
      </c>
      <c r="W230" s="266"/>
      <c r="X230" s="266"/>
      <c r="Y230" s="266" t="str">
        <f t="shared" si="47"/>
        <v/>
      </c>
      <c r="Z230" s="266"/>
    </row>
    <row r="231" spans="1:26" ht="27" hidden="1" customHeight="1">
      <c r="A231" s="70" t="str">
        <f t="shared" si="43"/>
        <v/>
      </c>
      <c r="B231" s="70" t="str">
        <f t="shared" si="44"/>
        <v/>
      </c>
      <c r="C231" s="204" t="str" cm="1">
        <f t="array" ref="C231">IF(D231="","",
    IF(AND(ISNUMBER(D231), D231=INT(D231)),
        $V$6 &amp; " " &amp; (IFERROR(MAX($Y$12:$Y230), 0) + 1),
        IF(ISNUMBER(SEARCH(".", D231)), "", INDEX($C$12:$C231, MATCH(2, 1/($C$12:$C231 &lt;&gt; ""))))
    )
)</f>
        <v/>
      </c>
      <c r="D231" s="206"/>
      <c r="E231" s="206" t="str">
        <f>IF(AA231 = "", "",
    IF(ISNUMBER(SEARCH("Kiện", C231)),
       " GÓI " &amp; COUNTIF($C$13:C231, "*Kiện*") &amp; "/" &amp; COUNTIF($C$13:$C$1000, "*Kiện*") &amp; " " &amp; AA231,
       AA231)
)</f>
        <v/>
      </c>
      <c r="F231" s="206"/>
      <c r="G231" s="206"/>
      <c r="H231" s="206"/>
      <c r="I231" s="206"/>
      <c r="J231" s="206" t="str">
        <f t="shared" si="46"/>
        <v/>
      </c>
      <c r="K231" s="206" t="str">
        <f t="shared" si="48"/>
        <v/>
      </c>
      <c r="L231" s="206" t="str">
        <f t="shared" si="49"/>
        <v/>
      </c>
      <c r="M231" s="206" t="str">
        <f t="shared" si="50"/>
        <v/>
      </c>
      <c r="N231" s="206" t="str">
        <f t="shared" si="51"/>
        <v/>
      </c>
      <c r="O231" s="206" t="str">
        <f t="shared" si="52"/>
        <v/>
      </c>
      <c r="P231" s="84" t="str">
        <f t="shared" si="53"/>
        <v/>
      </c>
      <c r="Q231" s="205"/>
      <c r="R231" s="70" t="str">
        <f>IF(S231="IN",'BOM_Phan II'!$Y$3,"")</f>
        <v/>
      </c>
      <c r="S231" s="69" t="str">
        <f t="shared" si="45"/>
        <v/>
      </c>
      <c r="T231">
        <f t="shared" si="54"/>
        <v>3</v>
      </c>
      <c r="U231" t="str">
        <f t="shared" si="55"/>
        <v>KIỆN 14</v>
      </c>
      <c r="V231" t="str">
        <f t="shared" si="56"/>
        <v/>
      </c>
      <c r="W231" s="266"/>
      <c r="X231" s="266"/>
      <c r="Y231" s="266" t="str">
        <f t="shared" si="47"/>
        <v/>
      </c>
      <c r="Z231" s="266"/>
    </row>
    <row r="232" spans="1:26" ht="27" hidden="1" customHeight="1">
      <c r="A232" s="70" t="str">
        <f t="shared" si="43"/>
        <v/>
      </c>
      <c r="B232" s="70" t="str">
        <f t="shared" si="44"/>
        <v/>
      </c>
      <c r="C232" s="204" t="str" cm="1">
        <f t="array" ref="C232">IF(D232="","",
    IF(AND(ISNUMBER(D232), D232=INT(D232)),
        $V$6 &amp; " " &amp; (IFERROR(MAX($Y$12:$Y231), 0) + 1),
        IF(ISNUMBER(SEARCH(".", D232)), "", INDEX($C$12:$C232, MATCH(2, 1/($C$12:$C232 &lt;&gt; ""))))
    )
)</f>
        <v/>
      </c>
      <c r="D232" s="206"/>
      <c r="E232" s="206" t="str">
        <f>IF(AA232 = "", "",
    IF(ISNUMBER(SEARCH("Kiện", C232)),
       " GÓI " &amp; COUNTIF($C$13:C232, "*Kiện*") &amp; "/" &amp; COUNTIF($C$13:$C$1000, "*Kiện*") &amp; " " &amp; AA232,
       AA232)
)</f>
        <v/>
      </c>
      <c r="F232" s="206"/>
      <c r="G232" s="206"/>
      <c r="H232" s="206"/>
      <c r="I232" s="206"/>
      <c r="J232" s="206" t="str">
        <f t="shared" si="46"/>
        <v/>
      </c>
      <c r="K232" s="206" t="str">
        <f t="shared" si="48"/>
        <v/>
      </c>
      <c r="L232" s="206" t="str">
        <f t="shared" si="49"/>
        <v/>
      </c>
      <c r="M232" s="206" t="str">
        <f t="shared" si="50"/>
        <v/>
      </c>
      <c r="N232" s="206" t="str">
        <f t="shared" si="51"/>
        <v/>
      </c>
      <c r="O232" s="206" t="str">
        <f t="shared" si="52"/>
        <v/>
      </c>
      <c r="P232" s="84" t="str">
        <f t="shared" si="53"/>
        <v/>
      </c>
      <c r="Q232" s="205"/>
      <c r="R232" s="70" t="str">
        <f>IF(S232="IN",'BOM_Phan II'!$Y$3,"")</f>
        <v/>
      </c>
      <c r="S232" s="69" t="str">
        <f t="shared" si="45"/>
        <v/>
      </c>
      <c r="T232">
        <f t="shared" si="54"/>
        <v>3</v>
      </c>
      <c r="U232" t="str">
        <f t="shared" si="55"/>
        <v>KIỆN 14</v>
      </c>
      <c r="V232" t="str">
        <f t="shared" si="56"/>
        <v/>
      </c>
      <c r="W232" s="266"/>
      <c r="X232" s="266"/>
      <c r="Y232" s="266" t="str">
        <f t="shared" si="47"/>
        <v/>
      </c>
      <c r="Z232" s="266"/>
    </row>
    <row r="233" spans="1:26" ht="27" hidden="1" customHeight="1">
      <c r="A233" s="70" t="str">
        <f t="shared" si="43"/>
        <v/>
      </c>
      <c r="B233" s="70" t="str">
        <f t="shared" si="44"/>
        <v/>
      </c>
      <c r="C233" s="204" t="str" cm="1">
        <f t="array" ref="C233">IF(D233="","",
    IF(AND(ISNUMBER(D233), D233=INT(D233)),
        $V$6 &amp; " " &amp; (IFERROR(MAX($Y$12:$Y232), 0) + 1),
        IF(ISNUMBER(SEARCH(".", D233)), "", INDEX($C$12:$C233, MATCH(2, 1/($C$12:$C233 &lt;&gt; ""))))
    )
)</f>
        <v/>
      </c>
      <c r="D233" s="206"/>
      <c r="E233" s="206" t="str">
        <f>IF(AA233 = "", "",
    IF(ISNUMBER(SEARCH("Kiện", C233)),
       " GÓI " &amp; COUNTIF($C$13:C233, "*Kiện*") &amp; "/" &amp; COUNTIF($C$13:$C$1000, "*Kiện*") &amp; " " &amp; AA233,
       AA233)
)</f>
        <v/>
      </c>
      <c r="F233" s="206"/>
      <c r="G233" s="206"/>
      <c r="H233" s="206"/>
      <c r="I233" s="206"/>
      <c r="J233" s="206" t="str">
        <f t="shared" si="46"/>
        <v/>
      </c>
      <c r="K233" s="206" t="str">
        <f t="shared" si="48"/>
        <v/>
      </c>
      <c r="L233" s="206" t="str">
        <f t="shared" si="49"/>
        <v/>
      </c>
      <c r="M233" s="206" t="str">
        <f t="shared" si="50"/>
        <v/>
      </c>
      <c r="N233" s="206" t="str">
        <f t="shared" si="51"/>
        <v/>
      </c>
      <c r="O233" s="206" t="str">
        <f t="shared" si="52"/>
        <v/>
      </c>
      <c r="P233" s="84" t="str">
        <f t="shared" si="53"/>
        <v/>
      </c>
      <c r="Q233" s="205"/>
      <c r="R233" s="70" t="str">
        <f>IF(S233="IN",'BOM_Phan II'!$Y$3,"")</f>
        <v/>
      </c>
      <c r="S233" s="69" t="str">
        <f t="shared" si="45"/>
        <v/>
      </c>
      <c r="T233">
        <f t="shared" si="54"/>
        <v>3</v>
      </c>
      <c r="U233" t="str">
        <f t="shared" si="55"/>
        <v>KIỆN 14</v>
      </c>
      <c r="V233" t="str">
        <f t="shared" si="56"/>
        <v/>
      </c>
      <c r="W233" s="266"/>
      <c r="X233" s="266"/>
      <c r="Y233" s="266" t="str">
        <f t="shared" si="47"/>
        <v/>
      </c>
      <c r="Z233" s="266"/>
    </row>
    <row r="234" spans="1:26" ht="27" hidden="1" customHeight="1">
      <c r="A234" s="70" t="str">
        <f t="shared" si="43"/>
        <v/>
      </c>
      <c r="B234" s="70" t="str">
        <f t="shared" si="44"/>
        <v/>
      </c>
      <c r="C234" s="204" t="str" cm="1">
        <f t="array" ref="C234">IF(D234="","",
    IF(AND(ISNUMBER(D234), D234=INT(D234)),
        $V$6 &amp; " " &amp; (IFERROR(MAX($Y$12:$Y233), 0) + 1),
        IF(ISNUMBER(SEARCH(".", D234)), "", INDEX($C$12:$C234, MATCH(2, 1/($C$12:$C234 &lt;&gt; ""))))
    )
)</f>
        <v/>
      </c>
      <c r="D234" s="206"/>
      <c r="E234" s="206" t="str">
        <f>IF(AA234 = "", "",
    IF(ISNUMBER(SEARCH("Kiện", C234)),
       " GÓI " &amp; COUNTIF($C$13:C234, "*Kiện*") &amp; "/" &amp; COUNTIF($C$13:$C$1000, "*Kiện*") &amp; " " &amp; AA234,
       AA234)
)</f>
        <v/>
      </c>
      <c r="F234" s="206"/>
      <c r="G234" s="206"/>
      <c r="H234" s="206"/>
      <c r="I234" s="206"/>
      <c r="J234" s="206" t="str">
        <f t="shared" si="46"/>
        <v/>
      </c>
      <c r="K234" s="206" t="str">
        <f t="shared" si="48"/>
        <v/>
      </c>
      <c r="L234" s="206" t="str">
        <f t="shared" si="49"/>
        <v/>
      </c>
      <c r="M234" s="206" t="str">
        <f t="shared" si="50"/>
        <v/>
      </c>
      <c r="N234" s="206" t="str">
        <f t="shared" si="51"/>
        <v/>
      </c>
      <c r="O234" s="206" t="str">
        <f t="shared" si="52"/>
        <v/>
      </c>
      <c r="P234" s="84" t="str">
        <f t="shared" si="53"/>
        <v/>
      </c>
      <c r="Q234" s="205"/>
      <c r="R234" s="70" t="str">
        <f>IF(S234="IN",'BOM_Phan II'!$Y$3,"")</f>
        <v/>
      </c>
      <c r="S234" s="69" t="str">
        <f t="shared" si="45"/>
        <v/>
      </c>
      <c r="T234">
        <f t="shared" si="54"/>
        <v>3</v>
      </c>
      <c r="U234" t="str">
        <f t="shared" si="55"/>
        <v>KIỆN 14</v>
      </c>
      <c r="V234" t="str">
        <f t="shared" si="56"/>
        <v/>
      </c>
      <c r="W234" s="266"/>
      <c r="X234" s="266"/>
      <c r="Y234" s="266" t="str">
        <f t="shared" si="47"/>
        <v/>
      </c>
      <c r="Z234" s="266"/>
    </row>
    <row r="235" spans="1:26" ht="27" hidden="1" customHeight="1">
      <c r="A235" s="70" t="str">
        <f t="shared" si="43"/>
        <v/>
      </c>
      <c r="B235" s="70" t="str">
        <f t="shared" si="44"/>
        <v/>
      </c>
      <c r="C235" s="204" t="str" cm="1">
        <f t="array" ref="C235">IF(D235="","",
    IF(AND(ISNUMBER(D235), D235=INT(D235)),
        $V$6 &amp; " " &amp; (IFERROR(MAX($Y$12:$Y234), 0) + 1),
        IF(ISNUMBER(SEARCH(".", D235)), "", INDEX($C$12:$C235, MATCH(2, 1/($C$12:$C235 &lt;&gt; ""))))
    )
)</f>
        <v/>
      </c>
      <c r="D235" s="206"/>
      <c r="E235" s="206" t="str">
        <f>IF(AA235 = "", "",
    IF(ISNUMBER(SEARCH("Kiện", C235)),
       " GÓI " &amp; COUNTIF($C$13:C235, "*Kiện*") &amp; "/" &amp; COUNTIF($C$13:$C$1000, "*Kiện*") &amp; " " &amp; AA235,
       AA235)
)</f>
        <v/>
      </c>
      <c r="F235" s="206"/>
      <c r="G235" s="206"/>
      <c r="H235" s="206"/>
      <c r="I235" s="206"/>
      <c r="J235" s="206" t="str">
        <f t="shared" si="46"/>
        <v/>
      </c>
      <c r="K235" s="206" t="str">
        <f t="shared" si="48"/>
        <v/>
      </c>
      <c r="L235" s="206" t="str">
        <f t="shared" si="49"/>
        <v/>
      </c>
      <c r="M235" s="206" t="str">
        <f t="shared" si="50"/>
        <v/>
      </c>
      <c r="N235" s="206" t="str">
        <f t="shared" si="51"/>
        <v/>
      </c>
      <c r="O235" s="206" t="str">
        <f t="shared" si="52"/>
        <v/>
      </c>
      <c r="P235" s="84" t="str">
        <f t="shared" si="53"/>
        <v/>
      </c>
      <c r="Q235" s="205"/>
      <c r="R235" s="70" t="str">
        <f>IF(S235="IN",'BOM_Phan II'!$Y$3,"")</f>
        <v/>
      </c>
      <c r="S235" s="69" t="str">
        <f t="shared" si="45"/>
        <v/>
      </c>
      <c r="T235">
        <f t="shared" si="54"/>
        <v>3</v>
      </c>
      <c r="U235" t="str">
        <f t="shared" si="55"/>
        <v>KIỆN 14</v>
      </c>
      <c r="V235" t="str">
        <f t="shared" si="56"/>
        <v/>
      </c>
      <c r="W235" s="266"/>
      <c r="X235" s="266"/>
      <c r="Y235" s="266" t="str">
        <f t="shared" si="47"/>
        <v/>
      </c>
      <c r="Z235" s="266"/>
    </row>
    <row r="236" spans="1:26" ht="27" hidden="1" customHeight="1">
      <c r="A236" s="70" t="str">
        <f t="shared" si="43"/>
        <v/>
      </c>
      <c r="B236" s="70" t="str">
        <f t="shared" si="44"/>
        <v/>
      </c>
      <c r="C236" s="204" t="str" cm="1">
        <f t="array" ref="C236">IF(D236="","",
    IF(AND(ISNUMBER(D236), D236=INT(D236)),
        $V$6 &amp; " " &amp; (IFERROR(MAX($Y$12:$Y235), 0) + 1),
        IF(ISNUMBER(SEARCH(".", D236)), "", INDEX($C$12:$C236, MATCH(2, 1/($C$12:$C236 &lt;&gt; ""))))
    )
)</f>
        <v/>
      </c>
      <c r="D236" s="206"/>
      <c r="E236" s="206" t="str">
        <f>IF(AA236 = "", "",
    IF(ISNUMBER(SEARCH("Kiện", C236)),
       " GÓI " &amp; COUNTIF($C$13:C236, "*Kiện*") &amp; "/" &amp; COUNTIF($C$13:$C$1000, "*Kiện*") &amp; " " &amp; AA236,
       AA236)
)</f>
        <v/>
      </c>
      <c r="F236" s="206"/>
      <c r="G236" s="206"/>
      <c r="H236" s="206"/>
      <c r="I236" s="206"/>
      <c r="J236" s="206" t="str">
        <f t="shared" si="46"/>
        <v/>
      </c>
      <c r="K236" s="206" t="str">
        <f t="shared" si="48"/>
        <v/>
      </c>
      <c r="L236" s="206" t="str">
        <f t="shared" si="49"/>
        <v/>
      </c>
      <c r="M236" s="206" t="str">
        <f t="shared" si="50"/>
        <v/>
      </c>
      <c r="N236" s="206" t="str">
        <f t="shared" si="51"/>
        <v/>
      </c>
      <c r="O236" s="206" t="str">
        <f t="shared" si="52"/>
        <v/>
      </c>
      <c r="P236" s="84" t="str">
        <f t="shared" si="53"/>
        <v/>
      </c>
      <c r="Q236" s="205"/>
      <c r="R236" s="70" t="str">
        <f>IF(S236="IN",'BOM_Phan II'!$Y$3,"")</f>
        <v/>
      </c>
      <c r="S236" s="69" t="str">
        <f t="shared" si="45"/>
        <v/>
      </c>
      <c r="T236">
        <f t="shared" si="54"/>
        <v>3</v>
      </c>
      <c r="U236" t="str">
        <f t="shared" si="55"/>
        <v>KIỆN 14</v>
      </c>
      <c r="V236" t="str">
        <f t="shared" si="56"/>
        <v/>
      </c>
      <c r="W236" s="266"/>
      <c r="X236" s="266"/>
      <c r="Y236" s="266" t="str">
        <f t="shared" si="47"/>
        <v/>
      </c>
      <c r="Z236" s="266"/>
    </row>
    <row r="237" spans="1:26" ht="27" hidden="1" customHeight="1">
      <c r="A237" s="70" t="str">
        <f t="shared" si="43"/>
        <v/>
      </c>
      <c r="B237" s="70" t="str">
        <f t="shared" si="44"/>
        <v/>
      </c>
      <c r="C237" s="204" t="str" cm="1">
        <f t="array" ref="C237">IF(D237="","",
    IF(AND(ISNUMBER(D237), D237=INT(D237)),
        $V$6 &amp; " " &amp; (IFERROR(MAX($Y$12:$Y236), 0) + 1),
        IF(ISNUMBER(SEARCH(".", D237)), "", INDEX($C$12:$C237, MATCH(2, 1/($C$12:$C237 &lt;&gt; ""))))
    )
)</f>
        <v/>
      </c>
      <c r="D237" s="206"/>
      <c r="E237" s="206" t="str">
        <f>IF(AA237 = "", "",
    IF(ISNUMBER(SEARCH("Kiện", C237)),
       " GÓI " &amp; COUNTIF($C$13:C237, "*Kiện*") &amp; "/" &amp; COUNTIF($C$13:$C$1000, "*Kiện*") &amp; " " &amp; AA237,
       AA237)
)</f>
        <v/>
      </c>
      <c r="F237" s="206"/>
      <c r="G237" s="206"/>
      <c r="H237" s="206"/>
      <c r="I237" s="206"/>
      <c r="J237" s="206" t="str">
        <f t="shared" si="46"/>
        <v/>
      </c>
      <c r="K237" s="206" t="str">
        <f t="shared" si="48"/>
        <v/>
      </c>
      <c r="L237" s="206" t="str">
        <f t="shared" si="49"/>
        <v/>
      </c>
      <c r="M237" s="206" t="str">
        <f t="shared" si="50"/>
        <v/>
      </c>
      <c r="N237" s="206" t="str">
        <f t="shared" si="51"/>
        <v/>
      </c>
      <c r="O237" s="206" t="str">
        <f t="shared" si="52"/>
        <v/>
      </c>
      <c r="P237" s="84" t="str">
        <f t="shared" si="53"/>
        <v/>
      </c>
      <c r="Q237" s="205"/>
      <c r="R237" s="70" t="str">
        <f>IF(S237="IN",'BOM_Phan II'!$Y$3,"")</f>
        <v/>
      </c>
      <c r="S237" s="69" t="str">
        <f t="shared" si="45"/>
        <v/>
      </c>
      <c r="T237">
        <f t="shared" si="54"/>
        <v>3</v>
      </c>
      <c r="U237" t="str">
        <f t="shared" si="55"/>
        <v>KIỆN 14</v>
      </c>
      <c r="V237" t="str">
        <f t="shared" si="56"/>
        <v/>
      </c>
      <c r="W237" s="266"/>
      <c r="X237" s="266"/>
      <c r="Y237" s="266" t="str">
        <f t="shared" si="47"/>
        <v/>
      </c>
      <c r="Z237" s="266"/>
    </row>
    <row r="238" spans="1:26" ht="27" hidden="1" customHeight="1">
      <c r="A238" s="70" t="str">
        <f t="shared" si="43"/>
        <v/>
      </c>
      <c r="B238" s="70" t="str">
        <f t="shared" si="44"/>
        <v/>
      </c>
      <c r="C238" s="204" t="str" cm="1">
        <f t="array" ref="C238">IF(D238="","",
    IF(AND(ISNUMBER(D238), D238=INT(D238)),
        $V$6 &amp; " " &amp; (IFERROR(MAX($Y$12:$Y237), 0) + 1),
        IF(ISNUMBER(SEARCH(".", D238)), "", INDEX($C$12:$C238, MATCH(2, 1/($C$12:$C238 &lt;&gt; ""))))
    )
)</f>
        <v/>
      </c>
      <c r="D238" s="206"/>
      <c r="E238" s="206" t="str">
        <f>IF(AA238 = "", "",
    IF(ISNUMBER(SEARCH("Kiện", C238)),
       " GÓI " &amp; COUNTIF($C$13:C238, "*Kiện*") &amp; "/" &amp; COUNTIF($C$13:$C$1000, "*Kiện*") &amp; " " &amp; AA238,
       AA238)
)</f>
        <v/>
      </c>
      <c r="F238" s="206"/>
      <c r="G238" s="206"/>
      <c r="H238" s="206"/>
      <c r="I238" s="206"/>
      <c r="J238" s="206" t="str">
        <f t="shared" si="46"/>
        <v/>
      </c>
      <c r="K238" s="206" t="str">
        <f t="shared" si="48"/>
        <v/>
      </c>
      <c r="L238" s="206" t="str">
        <f t="shared" si="49"/>
        <v/>
      </c>
      <c r="M238" s="206" t="str">
        <f t="shared" si="50"/>
        <v/>
      </c>
      <c r="N238" s="206" t="str">
        <f t="shared" si="51"/>
        <v/>
      </c>
      <c r="O238" s="206" t="str">
        <f t="shared" si="52"/>
        <v/>
      </c>
      <c r="P238" s="84" t="str">
        <f t="shared" si="53"/>
        <v/>
      </c>
      <c r="Q238" s="205"/>
      <c r="R238" s="70" t="str">
        <f>IF(S238="IN",'BOM_Phan II'!$Y$3,"")</f>
        <v/>
      </c>
      <c r="S238" s="69" t="str">
        <f t="shared" si="45"/>
        <v/>
      </c>
      <c r="T238">
        <f t="shared" si="54"/>
        <v>3</v>
      </c>
      <c r="U238" t="str">
        <f t="shared" si="55"/>
        <v>KIỆN 14</v>
      </c>
      <c r="V238" t="str">
        <f t="shared" si="56"/>
        <v/>
      </c>
      <c r="W238" s="266"/>
      <c r="X238" s="266"/>
      <c r="Y238" s="266" t="str">
        <f t="shared" si="47"/>
        <v/>
      </c>
      <c r="Z238" s="266"/>
    </row>
    <row r="239" spans="1:26" ht="27" hidden="1" customHeight="1">
      <c r="A239" s="70" t="str">
        <f t="shared" si="43"/>
        <v/>
      </c>
      <c r="B239" s="70" t="str">
        <f t="shared" si="44"/>
        <v/>
      </c>
      <c r="C239" s="204" t="str" cm="1">
        <f t="array" ref="C239">IF(D239="","",
    IF(AND(ISNUMBER(D239), D239=INT(D239)),
        $V$6 &amp; " " &amp; (IFERROR(MAX($Y$12:$Y238), 0) + 1),
        IF(ISNUMBER(SEARCH(".", D239)), "", INDEX($C$12:$C239, MATCH(2, 1/($C$12:$C239 &lt;&gt; ""))))
    )
)</f>
        <v/>
      </c>
      <c r="D239" s="206"/>
      <c r="E239" s="206" t="str">
        <f>IF(AA239 = "", "",
    IF(ISNUMBER(SEARCH("Kiện", C239)),
       " GÓI " &amp; COUNTIF($C$13:C239, "*Kiện*") &amp; "/" &amp; COUNTIF($C$13:$C$1000, "*Kiện*") &amp; " " &amp; AA239,
       AA239)
)</f>
        <v/>
      </c>
      <c r="F239" s="206"/>
      <c r="G239" s="206"/>
      <c r="H239" s="206"/>
      <c r="I239" s="206"/>
      <c r="J239" s="206" t="str">
        <f t="shared" si="46"/>
        <v/>
      </c>
      <c r="K239" s="206" t="str">
        <f t="shared" si="48"/>
        <v/>
      </c>
      <c r="L239" s="206" t="str">
        <f t="shared" si="49"/>
        <v/>
      </c>
      <c r="M239" s="206" t="str">
        <f t="shared" si="50"/>
        <v/>
      </c>
      <c r="N239" s="206" t="str">
        <f t="shared" si="51"/>
        <v/>
      </c>
      <c r="O239" s="206" t="str">
        <f t="shared" si="52"/>
        <v/>
      </c>
      <c r="P239" s="84" t="str">
        <f t="shared" si="53"/>
        <v/>
      </c>
      <c r="Q239" s="205"/>
      <c r="R239" s="70" t="str">
        <f>IF(S239="IN",'BOM_Phan II'!$Y$3,"")</f>
        <v/>
      </c>
      <c r="S239" s="69" t="str">
        <f t="shared" si="45"/>
        <v/>
      </c>
      <c r="T239">
        <f t="shared" si="54"/>
        <v>3</v>
      </c>
      <c r="U239" t="str">
        <f t="shared" si="55"/>
        <v>KIỆN 14</v>
      </c>
      <c r="V239" t="str">
        <f t="shared" si="56"/>
        <v/>
      </c>
      <c r="W239" s="266"/>
      <c r="X239" s="266"/>
      <c r="Y239" s="266" t="str">
        <f t="shared" si="47"/>
        <v/>
      </c>
      <c r="Z239" s="266"/>
    </row>
    <row r="240" spans="1:26" ht="27" hidden="1" customHeight="1">
      <c r="A240" s="70" t="str">
        <f t="shared" si="43"/>
        <v/>
      </c>
      <c r="B240" s="70" t="str">
        <f t="shared" si="44"/>
        <v/>
      </c>
      <c r="C240" s="204" t="str" cm="1">
        <f t="array" ref="C240">IF(D240="","",
    IF(AND(ISNUMBER(D240), D240=INT(D240)),
        $V$6 &amp; " " &amp; (IFERROR(MAX($Y$12:$Y239), 0) + 1),
        IF(ISNUMBER(SEARCH(".", D240)), "", INDEX($C$12:$C240, MATCH(2, 1/($C$12:$C240 &lt;&gt; ""))))
    )
)</f>
        <v/>
      </c>
      <c r="D240" s="206"/>
      <c r="E240" s="206" t="str">
        <f>IF(AA240 = "", "",
    IF(ISNUMBER(SEARCH("Kiện", C240)),
       " GÓI " &amp; COUNTIF($C$13:C240, "*Kiện*") &amp; "/" &amp; COUNTIF($C$13:$C$1000, "*Kiện*") &amp; " " &amp; AA240,
       AA240)
)</f>
        <v/>
      </c>
      <c r="F240" s="206"/>
      <c r="G240" s="206"/>
      <c r="H240" s="206"/>
      <c r="I240" s="206"/>
      <c r="J240" s="206" t="str">
        <f t="shared" si="46"/>
        <v/>
      </c>
      <c r="K240" s="206" t="str">
        <f t="shared" si="48"/>
        <v/>
      </c>
      <c r="L240" s="206" t="str">
        <f t="shared" si="49"/>
        <v/>
      </c>
      <c r="M240" s="206" t="str">
        <f t="shared" si="50"/>
        <v/>
      </c>
      <c r="N240" s="206" t="str">
        <f t="shared" si="51"/>
        <v/>
      </c>
      <c r="O240" s="206" t="str">
        <f t="shared" si="52"/>
        <v/>
      </c>
      <c r="P240" s="84" t="str">
        <f t="shared" si="53"/>
        <v/>
      </c>
      <c r="Q240" s="205"/>
      <c r="R240" s="70" t="str">
        <f>IF(S240="IN",'BOM_Phan II'!$Y$3,"")</f>
        <v/>
      </c>
      <c r="S240" s="69" t="str">
        <f t="shared" si="45"/>
        <v/>
      </c>
      <c r="T240">
        <f t="shared" si="54"/>
        <v>3</v>
      </c>
      <c r="U240" t="str">
        <f t="shared" si="55"/>
        <v>KIỆN 14</v>
      </c>
      <c r="V240" t="str">
        <f t="shared" si="56"/>
        <v/>
      </c>
      <c r="W240" s="266"/>
      <c r="X240" s="266"/>
      <c r="Y240" s="266" t="str">
        <f t="shared" si="47"/>
        <v/>
      </c>
      <c r="Z240" s="266"/>
    </row>
    <row r="241" spans="1:26" ht="27" hidden="1" customHeight="1">
      <c r="A241" s="70" t="str">
        <f t="shared" si="43"/>
        <v/>
      </c>
      <c r="B241" s="70" t="str">
        <f t="shared" si="44"/>
        <v/>
      </c>
      <c r="C241" s="204" t="str" cm="1">
        <f t="array" ref="C241">IF(D241="","",
    IF(AND(ISNUMBER(D241), D241=INT(D241)),
        $V$6 &amp; " " &amp; (IFERROR(MAX($Y$12:$Y240), 0) + 1),
        IF(ISNUMBER(SEARCH(".", D241)), "", INDEX($C$12:$C241, MATCH(2, 1/($C$12:$C241 &lt;&gt; ""))))
    )
)</f>
        <v/>
      </c>
      <c r="D241" s="206"/>
      <c r="E241" s="206" t="str">
        <f>IF(AA241 = "", "",
    IF(ISNUMBER(SEARCH("Kiện", C241)),
       " GÓI " &amp; COUNTIF($C$13:C241, "*Kiện*") &amp; "/" &amp; COUNTIF($C$13:$C$1000, "*Kiện*") &amp; " " &amp; AA241,
       AA241)
)</f>
        <v/>
      </c>
      <c r="F241" s="206"/>
      <c r="G241" s="206"/>
      <c r="H241" s="206"/>
      <c r="I241" s="206"/>
      <c r="J241" s="206" t="str">
        <f t="shared" si="46"/>
        <v/>
      </c>
      <c r="K241" s="206" t="str">
        <f t="shared" si="48"/>
        <v/>
      </c>
      <c r="L241" s="206" t="str">
        <f t="shared" si="49"/>
        <v/>
      </c>
      <c r="M241" s="206" t="str">
        <f t="shared" si="50"/>
        <v/>
      </c>
      <c r="N241" s="206" t="str">
        <f t="shared" si="51"/>
        <v/>
      </c>
      <c r="O241" s="206" t="str">
        <f t="shared" si="52"/>
        <v/>
      </c>
      <c r="P241" s="84" t="str">
        <f t="shared" si="53"/>
        <v/>
      </c>
      <c r="Q241" s="205"/>
      <c r="R241" s="70" t="str">
        <f>IF(S241="IN",'BOM_Phan II'!$Y$3,"")</f>
        <v/>
      </c>
      <c r="S241" s="69" t="str">
        <f t="shared" si="45"/>
        <v/>
      </c>
      <c r="T241">
        <f t="shared" si="54"/>
        <v>3</v>
      </c>
      <c r="U241" t="str">
        <f t="shared" si="55"/>
        <v>KIỆN 14</v>
      </c>
      <c r="V241" t="str">
        <f t="shared" si="56"/>
        <v/>
      </c>
      <c r="W241" s="266"/>
      <c r="X241" s="266"/>
      <c r="Y241" s="266" t="str">
        <f t="shared" si="47"/>
        <v/>
      </c>
      <c r="Z241" s="266"/>
    </row>
    <row r="242" spans="1:26" ht="27" hidden="1" customHeight="1">
      <c r="A242" s="70" t="str">
        <f t="shared" si="43"/>
        <v/>
      </c>
      <c r="B242" s="70" t="str">
        <f t="shared" si="44"/>
        <v/>
      </c>
      <c r="C242" s="204" t="str" cm="1">
        <f t="array" ref="C242">IF(D242="","",
    IF(AND(ISNUMBER(D242), D242=INT(D242)),
        $V$6 &amp; " " &amp; (IFERROR(MAX($Y$12:$Y241), 0) + 1),
        IF(ISNUMBER(SEARCH(".", D242)), "", INDEX($C$12:$C242, MATCH(2, 1/($C$12:$C242 &lt;&gt; ""))))
    )
)</f>
        <v/>
      </c>
      <c r="D242" s="206"/>
      <c r="E242" s="206" t="str">
        <f>IF(AA242 = "", "",
    IF(ISNUMBER(SEARCH("Kiện", C242)),
       " GÓI " &amp; COUNTIF($C$13:C242, "*Kiện*") &amp; "/" &amp; COUNTIF($C$13:$C$1000, "*Kiện*") &amp; " " &amp; AA242,
       AA242)
)</f>
        <v/>
      </c>
      <c r="F242" s="206"/>
      <c r="G242" s="206"/>
      <c r="H242" s="206"/>
      <c r="I242" s="206"/>
      <c r="J242" s="206" t="str">
        <f t="shared" si="46"/>
        <v/>
      </c>
      <c r="K242" s="206" t="str">
        <f t="shared" si="48"/>
        <v/>
      </c>
      <c r="L242" s="206" t="str">
        <f t="shared" si="49"/>
        <v/>
      </c>
      <c r="M242" s="206" t="str">
        <f t="shared" si="50"/>
        <v/>
      </c>
      <c r="N242" s="206" t="str">
        <f t="shared" si="51"/>
        <v/>
      </c>
      <c r="O242" s="206" t="str">
        <f t="shared" si="52"/>
        <v/>
      </c>
      <c r="P242" s="84" t="str">
        <f t="shared" si="53"/>
        <v/>
      </c>
      <c r="Q242" s="205"/>
      <c r="R242" s="70" t="str">
        <f>IF(S242="IN",'BOM_Phan II'!$Y$3,"")</f>
        <v/>
      </c>
      <c r="S242" s="69" t="str">
        <f t="shared" si="45"/>
        <v/>
      </c>
      <c r="T242">
        <f t="shared" si="54"/>
        <v>3</v>
      </c>
      <c r="U242" t="str">
        <f t="shared" si="55"/>
        <v>KIỆN 14</v>
      </c>
      <c r="V242" t="str">
        <f t="shared" si="56"/>
        <v/>
      </c>
      <c r="W242" s="266"/>
      <c r="X242" s="266"/>
      <c r="Y242" s="266" t="str">
        <f t="shared" si="47"/>
        <v/>
      </c>
      <c r="Z242" s="266"/>
    </row>
    <row r="243" spans="1:26" ht="27" hidden="1" customHeight="1">
      <c r="A243" s="70" t="str">
        <f t="shared" si="43"/>
        <v/>
      </c>
      <c r="B243" s="70" t="str">
        <f t="shared" si="44"/>
        <v/>
      </c>
      <c r="C243" s="204" t="str" cm="1">
        <f t="array" ref="C243">IF(D243="","",
    IF(AND(ISNUMBER(D243), D243=INT(D243)),
        $V$6 &amp; " " &amp; (IFERROR(MAX($Y$12:$Y242), 0) + 1),
        IF(ISNUMBER(SEARCH(".", D243)), "", INDEX($C$12:$C243, MATCH(2, 1/($C$12:$C243 &lt;&gt; ""))))
    )
)</f>
        <v/>
      </c>
      <c r="D243" s="206"/>
      <c r="E243" s="206" t="str">
        <f>IF(AA243 = "", "",
    IF(ISNUMBER(SEARCH("Kiện", C243)),
       " GÓI " &amp; COUNTIF($C$13:C243, "*Kiện*") &amp; "/" &amp; COUNTIF($C$13:$C$1000, "*Kiện*") &amp; " " &amp; AA243,
       AA243)
)</f>
        <v/>
      </c>
      <c r="F243" s="206"/>
      <c r="G243" s="206"/>
      <c r="H243" s="206"/>
      <c r="I243" s="206"/>
      <c r="J243" s="206" t="str">
        <f t="shared" si="46"/>
        <v/>
      </c>
      <c r="K243" s="206" t="str">
        <f t="shared" si="48"/>
        <v/>
      </c>
      <c r="L243" s="206" t="str">
        <f t="shared" si="49"/>
        <v/>
      </c>
      <c r="M243" s="206" t="str">
        <f t="shared" si="50"/>
        <v/>
      </c>
      <c r="N243" s="206" t="str">
        <f t="shared" si="51"/>
        <v/>
      </c>
      <c r="O243" s="206" t="str">
        <f t="shared" si="52"/>
        <v/>
      </c>
      <c r="P243" s="84" t="str">
        <f t="shared" si="53"/>
        <v/>
      </c>
      <c r="Q243" s="205"/>
      <c r="R243" s="70" t="str">
        <f>IF(S243="IN",'BOM_Phan II'!$Y$3,"")</f>
        <v/>
      </c>
      <c r="S243" s="69" t="str">
        <f t="shared" si="45"/>
        <v/>
      </c>
      <c r="T243">
        <f t="shared" si="54"/>
        <v>3</v>
      </c>
      <c r="U243" t="str">
        <f t="shared" si="55"/>
        <v>KIỆN 14</v>
      </c>
      <c r="V243" t="str">
        <f t="shared" si="56"/>
        <v/>
      </c>
      <c r="W243" s="266"/>
      <c r="X243" s="266"/>
      <c r="Y243" s="266" t="str">
        <f t="shared" si="47"/>
        <v/>
      </c>
      <c r="Z243" s="266"/>
    </row>
    <row r="244" spans="1:26" ht="27" hidden="1" customHeight="1">
      <c r="A244" s="70" t="str">
        <f t="shared" si="43"/>
        <v/>
      </c>
      <c r="B244" s="70" t="str">
        <f t="shared" si="44"/>
        <v/>
      </c>
      <c r="C244" s="204" t="str" cm="1">
        <f t="array" ref="C244">IF(D244="","",
    IF(AND(ISNUMBER(D244), D244=INT(D244)),
        $V$6 &amp; " " &amp; (IFERROR(MAX($Y$12:$Y243), 0) + 1),
        IF(ISNUMBER(SEARCH(".", D244)), "", INDEX($C$12:$C244, MATCH(2, 1/($C$12:$C244 &lt;&gt; ""))))
    )
)</f>
        <v/>
      </c>
      <c r="D244" s="206"/>
      <c r="E244" s="206" t="str">
        <f>IF(AA244 = "", "",
    IF(ISNUMBER(SEARCH("Kiện", C244)),
       " GÓI " &amp; COUNTIF($C$13:C244, "*Kiện*") &amp; "/" &amp; COUNTIF($C$13:$C$1000, "*Kiện*") &amp; " " &amp; AA244,
       AA244)
)</f>
        <v/>
      </c>
      <c r="F244" s="206"/>
      <c r="G244" s="206"/>
      <c r="H244" s="206"/>
      <c r="I244" s="206"/>
      <c r="J244" s="206" t="str">
        <f t="shared" si="46"/>
        <v/>
      </c>
      <c r="K244" s="206" t="str">
        <f t="shared" si="48"/>
        <v/>
      </c>
      <c r="L244" s="206" t="str">
        <f t="shared" si="49"/>
        <v/>
      </c>
      <c r="M244" s="206" t="str">
        <f t="shared" si="50"/>
        <v/>
      </c>
      <c r="N244" s="206" t="str">
        <f t="shared" si="51"/>
        <v/>
      </c>
      <c r="O244" s="206" t="str">
        <f t="shared" si="52"/>
        <v/>
      </c>
      <c r="P244" s="84" t="str">
        <f t="shared" si="53"/>
        <v/>
      </c>
      <c r="Q244" s="205"/>
      <c r="R244" s="70" t="str">
        <f>IF(S244="IN",'BOM_Phan II'!$Y$3,"")</f>
        <v/>
      </c>
      <c r="S244" s="69" t="str">
        <f t="shared" si="45"/>
        <v/>
      </c>
      <c r="T244">
        <f t="shared" si="54"/>
        <v>3</v>
      </c>
      <c r="U244" t="str">
        <f t="shared" si="55"/>
        <v>KIỆN 14</v>
      </c>
      <c r="V244" t="str">
        <f t="shared" si="56"/>
        <v/>
      </c>
      <c r="W244" s="266"/>
      <c r="X244" s="266"/>
      <c r="Y244" s="266" t="str">
        <f t="shared" si="47"/>
        <v/>
      </c>
      <c r="Z244" s="266"/>
    </row>
    <row r="245" spans="1:26" ht="27" hidden="1" customHeight="1">
      <c r="A245" s="70" t="str">
        <f t="shared" si="43"/>
        <v/>
      </c>
      <c r="B245" s="70" t="str">
        <f t="shared" si="44"/>
        <v/>
      </c>
      <c r="C245" s="204" t="str" cm="1">
        <f t="array" ref="C245">IF(D245="","",
    IF(AND(ISNUMBER(D245), D245=INT(D245)),
        $V$6 &amp; " " &amp; (IFERROR(MAX($Y$12:$Y244), 0) + 1),
        IF(ISNUMBER(SEARCH(".", D245)), "", INDEX($C$12:$C245, MATCH(2, 1/($C$12:$C245 &lt;&gt; ""))))
    )
)</f>
        <v/>
      </c>
      <c r="D245" s="206"/>
      <c r="E245" s="206" t="str">
        <f>IF(AA245 = "", "",
    IF(ISNUMBER(SEARCH("Kiện", C245)),
       " GÓI " &amp; COUNTIF($C$13:C245, "*Kiện*") &amp; "/" &amp; COUNTIF($C$13:$C$1000, "*Kiện*") &amp; " " &amp; AA245,
       AA245)
)</f>
        <v/>
      </c>
      <c r="F245" s="206"/>
      <c r="G245" s="206"/>
      <c r="H245" s="206"/>
      <c r="I245" s="206"/>
      <c r="J245" s="206" t="str">
        <f t="shared" si="46"/>
        <v/>
      </c>
      <c r="K245" s="206" t="str">
        <f t="shared" si="48"/>
        <v/>
      </c>
      <c r="L245" s="206" t="str">
        <f t="shared" si="49"/>
        <v/>
      </c>
      <c r="M245" s="206" t="str">
        <f t="shared" si="50"/>
        <v/>
      </c>
      <c r="N245" s="206" t="str">
        <f t="shared" si="51"/>
        <v/>
      </c>
      <c r="O245" s="206" t="str">
        <f t="shared" si="52"/>
        <v/>
      </c>
      <c r="P245" s="84" t="str">
        <f t="shared" si="53"/>
        <v/>
      </c>
      <c r="Q245" s="205"/>
      <c r="R245" s="70" t="str">
        <f>IF(S245="IN",'BOM_Phan II'!$Y$3,"")</f>
        <v/>
      </c>
      <c r="S245" s="69" t="str">
        <f t="shared" si="45"/>
        <v/>
      </c>
      <c r="T245">
        <f t="shared" si="54"/>
        <v>3</v>
      </c>
      <c r="U245" t="str">
        <f t="shared" si="55"/>
        <v>KIỆN 14</v>
      </c>
      <c r="V245" t="str">
        <f t="shared" si="56"/>
        <v/>
      </c>
      <c r="W245" s="266"/>
      <c r="X245" s="266"/>
      <c r="Y245" s="266" t="str">
        <f t="shared" si="47"/>
        <v/>
      </c>
      <c r="Z245" s="266"/>
    </row>
    <row r="246" spans="1:26" ht="27" hidden="1" customHeight="1">
      <c r="A246" s="70" t="str">
        <f t="shared" si="43"/>
        <v/>
      </c>
      <c r="B246" s="70" t="str">
        <f t="shared" si="44"/>
        <v/>
      </c>
      <c r="C246" s="204" t="str" cm="1">
        <f t="array" ref="C246">IF(D246="","",
    IF(AND(ISNUMBER(D246), D246=INT(D246)),
        $V$6 &amp; " " &amp; (IFERROR(MAX($Y$12:$Y245), 0) + 1),
        IF(ISNUMBER(SEARCH(".", D246)), "", INDEX($C$12:$C246, MATCH(2, 1/($C$12:$C246 &lt;&gt; ""))))
    )
)</f>
        <v/>
      </c>
      <c r="D246" s="206"/>
      <c r="E246" s="206" t="str">
        <f>IF(AA246 = "", "",
    IF(ISNUMBER(SEARCH("Kiện", C246)),
       " GÓI " &amp; COUNTIF($C$13:C246, "*Kiện*") &amp; "/" &amp; COUNTIF($C$13:$C$1000, "*Kiện*") &amp; " " &amp; AA246,
       AA246)
)</f>
        <v/>
      </c>
      <c r="F246" s="206"/>
      <c r="G246" s="206"/>
      <c r="H246" s="206"/>
      <c r="I246" s="206"/>
      <c r="J246" s="206" t="str">
        <f t="shared" si="46"/>
        <v/>
      </c>
      <c r="K246" s="206" t="str">
        <f t="shared" si="48"/>
        <v/>
      </c>
      <c r="L246" s="206" t="str">
        <f t="shared" si="49"/>
        <v/>
      </c>
      <c r="M246" s="206" t="str">
        <f t="shared" si="50"/>
        <v/>
      </c>
      <c r="N246" s="206" t="str">
        <f t="shared" si="51"/>
        <v/>
      </c>
      <c r="O246" s="206" t="str">
        <f t="shared" si="52"/>
        <v/>
      </c>
      <c r="P246" s="84" t="str">
        <f t="shared" si="53"/>
        <v/>
      </c>
      <c r="Q246" s="205"/>
      <c r="R246" s="70" t="str">
        <f>IF(S246="IN",'BOM_Phan II'!$Y$3,"")</f>
        <v/>
      </c>
      <c r="S246" s="69" t="str">
        <f t="shared" si="45"/>
        <v/>
      </c>
      <c r="T246">
        <f t="shared" si="54"/>
        <v>3</v>
      </c>
      <c r="U246" t="str">
        <f t="shared" si="55"/>
        <v>KIỆN 14</v>
      </c>
      <c r="V246" t="str">
        <f t="shared" si="56"/>
        <v/>
      </c>
      <c r="W246" s="266"/>
      <c r="X246" s="266"/>
      <c r="Y246" s="266" t="str">
        <f t="shared" si="47"/>
        <v/>
      </c>
      <c r="Z246" s="266"/>
    </row>
    <row r="247" spans="1:26" ht="27" hidden="1" customHeight="1">
      <c r="A247" s="70" t="str">
        <f t="shared" si="43"/>
        <v/>
      </c>
      <c r="B247" s="70" t="str">
        <f t="shared" si="44"/>
        <v/>
      </c>
      <c r="C247" s="204" t="str" cm="1">
        <f t="array" ref="C247">IF(D247="","",
    IF(AND(ISNUMBER(D247), D247=INT(D247)),
        $V$6 &amp; " " &amp; (IFERROR(MAX($Y$12:$Y246), 0) + 1),
        IF(ISNUMBER(SEARCH(".", D247)), "", INDEX($C$12:$C247, MATCH(2, 1/($C$12:$C247 &lt;&gt; ""))))
    )
)</f>
        <v/>
      </c>
      <c r="D247" s="206"/>
      <c r="E247" s="206" t="str">
        <f>IF(AA247 = "", "",
    IF(ISNUMBER(SEARCH("Kiện", C247)),
       " GÓI " &amp; COUNTIF($C$13:C247, "*Kiện*") &amp; "/" &amp; COUNTIF($C$13:$C$1000, "*Kiện*") &amp; " " &amp; AA247,
       AA247)
)</f>
        <v/>
      </c>
      <c r="F247" s="206"/>
      <c r="G247" s="206"/>
      <c r="H247" s="206"/>
      <c r="I247" s="206"/>
      <c r="J247" s="206" t="str">
        <f t="shared" si="46"/>
        <v/>
      </c>
      <c r="K247" s="206" t="str">
        <f t="shared" si="48"/>
        <v/>
      </c>
      <c r="L247" s="206" t="str">
        <f t="shared" si="49"/>
        <v/>
      </c>
      <c r="M247" s="206" t="str">
        <f t="shared" si="50"/>
        <v/>
      </c>
      <c r="N247" s="206" t="str">
        <f t="shared" si="51"/>
        <v/>
      </c>
      <c r="O247" s="206" t="str">
        <f t="shared" si="52"/>
        <v/>
      </c>
      <c r="P247" s="84" t="str">
        <f t="shared" si="53"/>
        <v/>
      </c>
      <c r="Q247" s="205"/>
      <c r="R247" s="70" t="str">
        <f>IF(S247="IN",'BOM_Phan II'!$Y$3,"")</f>
        <v/>
      </c>
      <c r="S247" s="69" t="str">
        <f t="shared" si="45"/>
        <v/>
      </c>
      <c r="T247">
        <f t="shared" si="54"/>
        <v>3</v>
      </c>
      <c r="U247" t="str">
        <f t="shared" si="55"/>
        <v>KIỆN 14</v>
      </c>
      <c r="V247" t="str">
        <f t="shared" si="56"/>
        <v/>
      </c>
      <c r="W247" s="266"/>
      <c r="X247" s="266"/>
      <c r="Y247" s="266" t="str">
        <f t="shared" si="47"/>
        <v/>
      </c>
      <c r="Z247" s="266"/>
    </row>
    <row r="248" spans="1:26" ht="27" hidden="1" customHeight="1">
      <c r="A248" s="70" t="str">
        <f t="shared" si="43"/>
        <v/>
      </c>
      <c r="B248" s="70" t="str">
        <f t="shared" si="44"/>
        <v/>
      </c>
      <c r="C248" s="204" t="str" cm="1">
        <f t="array" ref="C248">IF(D248="","",
    IF(AND(ISNUMBER(D248), D248=INT(D248)),
        $V$6 &amp; " " &amp; (IFERROR(MAX($Y$12:$Y247), 0) + 1),
        IF(ISNUMBER(SEARCH(".", D248)), "", INDEX($C$12:$C248, MATCH(2, 1/($C$12:$C248 &lt;&gt; ""))))
    )
)</f>
        <v/>
      </c>
      <c r="D248" s="206"/>
      <c r="E248" s="206" t="str">
        <f>IF(AA248 = "", "",
    IF(ISNUMBER(SEARCH("Kiện", C248)),
       " GÓI " &amp; COUNTIF($C$13:C248, "*Kiện*") &amp; "/" &amp; COUNTIF($C$13:$C$1000, "*Kiện*") &amp; " " &amp; AA248,
       AA248)
)</f>
        <v/>
      </c>
      <c r="F248" s="206"/>
      <c r="G248" s="206"/>
      <c r="H248" s="206"/>
      <c r="I248" s="206"/>
      <c r="J248" s="206" t="str">
        <f t="shared" si="46"/>
        <v/>
      </c>
      <c r="K248" s="206" t="str">
        <f t="shared" si="48"/>
        <v/>
      </c>
      <c r="L248" s="206" t="str">
        <f t="shared" si="49"/>
        <v/>
      </c>
      <c r="M248" s="206" t="str">
        <f t="shared" si="50"/>
        <v/>
      </c>
      <c r="N248" s="206" t="str">
        <f t="shared" si="51"/>
        <v/>
      </c>
      <c r="O248" s="206" t="str">
        <f t="shared" si="52"/>
        <v/>
      </c>
      <c r="P248" s="84" t="str">
        <f t="shared" si="53"/>
        <v/>
      </c>
      <c r="Q248" s="205"/>
      <c r="R248" s="70" t="str">
        <f>IF(S248="IN",'BOM_Phan II'!$Y$3,"")</f>
        <v/>
      </c>
      <c r="S248" s="69" t="str">
        <f t="shared" si="45"/>
        <v/>
      </c>
      <c r="T248">
        <f t="shared" si="54"/>
        <v>3</v>
      </c>
      <c r="U248" t="str">
        <f t="shared" si="55"/>
        <v>KIỆN 14</v>
      </c>
      <c r="V248" t="str">
        <f t="shared" si="56"/>
        <v/>
      </c>
      <c r="W248" s="266"/>
      <c r="X248" s="266"/>
      <c r="Y248" s="266" t="str">
        <f t="shared" si="47"/>
        <v/>
      </c>
      <c r="Z248" s="266"/>
    </row>
    <row r="249" spans="1:26" ht="27" hidden="1" customHeight="1">
      <c r="A249" s="70" t="str">
        <f t="shared" si="43"/>
        <v/>
      </c>
      <c r="B249" s="70" t="str">
        <f t="shared" si="44"/>
        <v/>
      </c>
      <c r="C249" s="204" t="str" cm="1">
        <f t="array" ref="C249">IF(D249="","",
    IF(AND(ISNUMBER(D249), D249=INT(D249)),
        $V$6 &amp; " " &amp; (IFERROR(MAX($Y$12:$Y248), 0) + 1),
        IF(ISNUMBER(SEARCH(".", D249)), "", INDEX($C$12:$C249, MATCH(2, 1/($C$12:$C249 &lt;&gt; ""))))
    )
)</f>
        <v/>
      </c>
      <c r="D249" s="206"/>
      <c r="E249" s="206" t="str">
        <f>IF(AA249 = "", "",
    IF(ISNUMBER(SEARCH("Kiện", C249)),
       " GÓI " &amp; COUNTIF($C$13:C249, "*Kiện*") &amp; "/" &amp; COUNTIF($C$13:$C$1000, "*Kiện*") &amp; " " &amp; AA249,
       AA249)
)</f>
        <v/>
      </c>
      <c r="F249" s="206"/>
      <c r="G249" s="206"/>
      <c r="H249" s="206"/>
      <c r="I249" s="206"/>
      <c r="J249" s="206" t="str">
        <f t="shared" si="46"/>
        <v/>
      </c>
      <c r="K249" s="206" t="str">
        <f t="shared" si="48"/>
        <v/>
      </c>
      <c r="L249" s="206" t="str">
        <f t="shared" si="49"/>
        <v/>
      </c>
      <c r="M249" s="206" t="str">
        <f t="shared" si="50"/>
        <v/>
      </c>
      <c r="N249" s="206" t="str">
        <f t="shared" si="51"/>
        <v/>
      </c>
      <c r="O249" s="206" t="str">
        <f t="shared" si="52"/>
        <v/>
      </c>
      <c r="P249" s="84" t="str">
        <f t="shared" si="53"/>
        <v/>
      </c>
      <c r="Q249" s="205"/>
      <c r="R249" s="70" t="str">
        <f>IF(S249="IN",'BOM_Phan II'!$Y$3,"")</f>
        <v/>
      </c>
      <c r="S249" s="69" t="str">
        <f t="shared" si="45"/>
        <v/>
      </c>
      <c r="T249">
        <f t="shared" si="54"/>
        <v>3</v>
      </c>
      <c r="U249" t="str">
        <f t="shared" si="55"/>
        <v>KIỆN 14</v>
      </c>
      <c r="V249" t="str">
        <f t="shared" si="56"/>
        <v/>
      </c>
      <c r="W249" s="266"/>
      <c r="X249" s="266"/>
      <c r="Y249" s="266" t="str">
        <f t="shared" si="47"/>
        <v/>
      </c>
      <c r="Z249" s="266"/>
    </row>
    <row r="250" spans="1:26" ht="27" hidden="1" customHeight="1">
      <c r="A250" s="70" t="str">
        <f t="shared" si="43"/>
        <v/>
      </c>
      <c r="B250" s="70" t="str">
        <f t="shared" si="44"/>
        <v/>
      </c>
      <c r="C250" s="204" t="str" cm="1">
        <f t="array" ref="C250">IF(D250="","",
    IF(AND(ISNUMBER(D250), D250=INT(D250)),
        $V$6 &amp; " " &amp; (IFERROR(MAX($Y$12:$Y249), 0) + 1),
        IF(ISNUMBER(SEARCH(".", D250)), "", INDEX($C$12:$C250, MATCH(2, 1/($C$12:$C250 &lt;&gt; ""))))
    )
)</f>
        <v/>
      </c>
      <c r="D250" s="206"/>
      <c r="E250" s="206" t="str">
        <f>IF(AA250 = "", "",
    IF(ISNUMBER(SEARCH("Kiện", C250)),
       " GÓI " &amp; COUNTIF($C$13:C250, "*Kiện*") &amp; "/" &amp; COUNTIF($C$13:$C$1000, "*Kiện*") &amp; " " &amp; AA250,
       AA250)
)</f>
        <v/>
      </c>
      <c r="F250" s="206"/>
      <c r="G250" s="206"/>
      <c r="H250" s="206"/>
      <c r="I250" s="206"/>
      <c r="J250" s="206" t="str">
        <f t="shared" si="46"/>
        <v/>
      </c>
      <c r="K250" s="206" t="str">
        <f t="shared" si="48"/>
        <v/>
      </c>
      <c r="L250" s="206" t="str">
        <f t="shared" si="49"/>
        <v/>
      </c>
      <c r="M250" s="206" t="str">
        <f t="shared" si="50"/>
        <v/>
      </c>
      <c r="N250" s="206" t="str">
        <f t="shared" si="51"/>
        <v/>
      </c>
      <c r="O250" s="206" t="str">
        <f t="shared" si="52"/>
        <v/>
      </c>
      <c r="P250" s="84" t="str">
        <f t="shared" si="53"/>
        <v/>
      </c>
      <c r="Q250" s="205"/>
      <c r="R250" s="70" t="str">
        <f>IF(S250="IN",'BOM_Phan II'!$Y$3,"")</f>
        <v/>
      </c>
      <c r="S250" s="69" t="str">
        <f t="shared" si="45"/>
        <v/>
      </c>
      <c r="T250">
        <f t="shared" si="54"/>
        <v>3</v>
      </c>
      <c r="U250" t="str">
        <f t="shared" si="55"/>
        <v>KIỆN 14</v>
      </c>
      <c r="V250" t="str">
        <f t="shared" si="56"/>
        <v/>
      </c>
      <c r="W250" s="266"/>
      <c r="X250" s="266"/>
      <c r="Y250" s="266" t="str">
        <f t="shared" si="47"/>
        <v/>
      </c>
      <c r="Z250" s="266"/>
    </row>
    <row r="251" spans="1:26" ht="27" hidden="1" customHeight="1">
      <c r="A251" s="70" t="str">
        <f t="shared" si="43"/>
        <v/>
      </c>
      <c r="B251" s="70" t="str">
        <f t="shared" si="44"/>
        <v/>
      </c>
      <c r="C251" s="204" t="str" cm="1">
        <f t="array" ref="C251">IF(D251="","",
    IF(AND(ISNUMBER(D251), D251=INT(D251)),
        $V$6 &amp; " " &amp; (IFERROR(MAX($Y$12:$Y250), 0) + 1),
        IF(ISNUMBER(SEARCH(".", D251)), "", INDEX($C$12:$C251, MATCH(2, 1/($C$12:$C251 &lt;&gt; ""))))
    )
)</f>
        <v/>
      </c>
      <c r="D251" s="206"/>
      <c r="E251" s="206" t="str">
        <f>IF(AA251 = "", "",
    IF(ISNUMBER(SEARCH("Kiện", C251)),
       " GÓI " &amp; COUNTIF($C$13:C251, "*Kiện*") &amp; "/" &amp; COUNTIF($C$13:$C$1000, "*Kiện*") &amp; " " &amp; AA251,
       AA251)
)</f>
        <v/>
      </c>
      <c r="F251" s="206"/>
      <c r="G251" s="206"/>
      <c r="H251" s="206"/>
      <c r="I251" s="206"/>
      <c r="J251" s="206" t="str">
        <f t="shared" si="46"/>
        <v/>
      </c>
      <c r="K251" s="206" t="str">
        <f t="shared" si="48"/>
        <v/>
      </c>
      <c r="L251" s="206" t="str">
        <f t="shared" si="49"/>
        <v/>
      </c>
      <c r="M251" s="206" t="str">
        <f t="shared" si="50"/>
        <v/>
      </c>
      <c r="N251" s="206" t="str">
        <f t="shared" si="51"/>
        <v/>
      </c>
      <c r="O251" s="206" t="str">
        <f t="shared" si="52"/>
        <v/>
      </c>
      <c r="P251" s="84" t="str">
        <f t="shared" si="53"/>
        <v/>
      </c>
      <c r="Q251" s="205"/>
      <c r="R251" s="70" t="str">
        <f>IF(S251="IN",'BOM_Phan II'!$Y$3,"")</f>
        <v/>
      </c>
      <c r="S251" s="69" t="str">
        <f t="shared" si="45"/>
        <v/>
      </c>
      <c r="T251">
        <f t="shared" si="54"/>
        <v>3</v>
      </c>
      <c r="U251" t="str">
        <f t="shared" si="55"/>
        <v>KIỆN 14</v>
      </c>
      <c r="V251" t="str">
        <f t="shared" si="56"/>
        <v/>
      </c>
      <c r="W251" s="266"/>
      <c r="X251" s="266"/>
      <c r="Y251" s="266" t="str">
        <f t="shared" si="47"/>
        <v/>
      </c>
      <c r="Z251" s="266"/>
    </row>
    <row r="252" spans="1:26" ht="27" hidden="1" customHeight="1">
      <c r="A252" s="70" t="str">
        <f t="shared" si="43"/>
        <v/>
      </c>
      <c r="B252" s="70" t="str">
        <f t="shared" si="44"/>
        <v/>
      </c>
      <c r="C252" s="204" t="str" cm="1">
        <f t="array" ref="C252">IF(D252="","",
    IF(AND(ISNUMBER(D252), D252=INT(D252)),
        $V$6 &amp; " " &amp; (IFERROR(MAX($Y$12:$Y251), 0) + 1),
        IF(ISNUMBER(SEARCH(".", D252)), "", INDEX($C$12:$C252, MATCH(2, 1/($C$12:$C252 &lt;&gt; ""))))
    )
)</f>
        <v/>
      </c>
      <c r="D252" s="206"/>
      <c r="E252" s="206" t="str">
        <f>IF(AA252 = "", "",
    IF(ISNUMBER(SEARCH("Kiện", C252)),
       " GÓI " &amp; COUNTIF($C$13:C252, "*Kiện*") &amp; "/" &amp; COUNTIF($C$13:$C$1000, "*Kiện*") &amp; " " &amp; AA252,
       AA252)
)</f>
        <v/>
      </c>
      <c r="F252" s="206"/>
      <c r="G252" s="206"/>
      <c r="H252" s="206"/>
      <c r="I252" s="206"/>
      <c r="J252" s="206" t="str">
        <f t="shared" si="46"/>
        <v/>
      </c>
      <c r="K252" s="206" t="str">
        <f t="shared" si="48"/>
        <v/>
      </c>
      <c r="L252" s="206" t="str">
        <f t="shared" si="49"/>
        <v/>
      </c>
      <c r="M252" s="206" t="str">
        <f t="shared" si="50"/>
        <v/>
      </c>
      <c r="N252" s="206" t="str">
        <f t="shared" si="51"/>
        <v/>
      </c>
      <c r="O252" s="206" t="str">
        <f t="shared" si="52"/>
        <v/>
      </c>
      <c r="P252" s="84" t="str">
        <f t="shared" si="53"/>
        <v/>
      </c>
      <c r="Q252" s="205"/>
      <c r="R252" s="70" t="str">
        <f>IF(S252="IN",'BOM_Phan II'!$Y$3,"")</f>
        <v/>
      </c>
      <c r="S252" s="69" t="str">
        <f t="shared" si="45"/>
        <v/>
      </c>
      <c r="T252">
        <f t="shared" si="54"/>
        <v>3</v>
      </c>
      <c r="U252" t="str">
        <f t="shared" si="55"/>
        <v>KIỆN 14</v>
      </c>
      <c r="V252" t="str">
        <f t="shared" si="56"/>
        <v/>
      </c>
      <c r="W252" s="266"/>
      <c r="X252" s="266"/>
      <c r="Y252" s="266" t="str">
        <f t="shared" si="47"/>
        <v/>
      </c>
      <c r="Z252" s="266"/>
    </row>
    <row r="253" spans="1:26" ht="27" hidden="1" customHeight="1">
      <c r="A253" s="70" t="str">
        <f t="shared" si="43"/>
        <v/>
      </c>
      <c r="B253" s="70" t="str">
        <f t="shared" si="44"/>
        <v/>
      </c>
      <c r="C253" s="204" t="str" cm="1">
        <f t="array" ref="C253">IF(D253="","",
    IF(AND(ISNUMBER(D253), D253=INT(D253)),
        $V$6 &amp; " " &amp; (IFERROR(MAX($Y$12:$Y252), 0) + 1),
        IF(ISNUMBER(SEARCH(".", D253)), "", INDEX($C$12:$C253, MATCH(2, 1/($C$12:$C253 &lt;&gt; ""))))
    )
)</f>
        <v/>
      </c>
      <c r="D253" s="206"/>
      <c r="E253" s="206" t="str">
        <f>IF(AA253 = "", "",
    IF(ISNUMBER(SEARCH("Kiện", C253)),
       " GÓI " &amp; COUNTIF($C$13:C253, "*Kiện*") &amp; "/" &amp; COUNTIF($C$13:$C$1000, "*Kiện*") &amp; " " &amp; AA253,
       AA253)
)</f>
        <v/>
      </c>
      <c r="F253" s="206"/>
      <c r="G253" s="206"/>
      <c r="H253" s="206"/>
      <c r="I253" s="206"/>
      <c r="J253" s="206" t="str">
        <f t="shared" si="46"/>
        <v/>
      </c>
      <c r="K253" s="206" t="str">
        <f t="shared" si="48"/>
        <v/>
      </c>
      <c r="L253" s="206" t="str">
        <f t="shared" si="49"/>
        <v/>
      </c>
      <c r="M253" s="206" t="str">
        <f t="shared" si="50"/>
        <v/>
      </c>
      <c r="N253" s="206" t="str">
        <f t="shared" si="51"/>
        <v/>
      </c>
      <c r="O253" s="206" t="str">
        <f t="shared" si="52"/>
        <v/>
      </c>
      <c r="P253" s="84" t="str">
        <f t="shared" si="53"/>
        <v/>
      </c>
      <c r="Q253" s="205"/>
      <c r="R253" s="70" t="str">
        <f>IF(S253="IN",'BOM_Phan II'!$Y$3,"")</f>
        <v/>
      </c>
      <c r="S253" s="69" t="str">
        <f t="shared" si="45"/>
        <v/>
      </c>
      <c r="T253">
        <f t="shared" si="54"/>
        <v>3</v>
      </c>
      <c r="U253" t="str">
        <f t="shared" si="55"/>
        <v>KIỆN 14</v>
      </c>
      <c r="V253" t="str">
        <f t="shared" si="56"/>
        <v/>
      </c>
      <c r="W253" s="266"/>
      <c r="X253" s="266"/>
      <c r="Y253" s="266" t="str">
        <f t="shared" si="47"/>
        <v/>
      </c>
      <c r="Z253" s="266"/>
    </row>
    <row r="254" spans="1:26" ht="27" hidden="1" customHeight="1">
      <c r="A254" s="70" t="str">
        <f t="shared" si="43"/>
        <v/>
      </c>
      <c r="B254" s="70" t="str">
        <f t="shared" si="44"/>
        <v/>
      </c>
      <c r="C254" s="204" t="str" cm="1">
        <f t="array" ref="C254">IF(D254="","",
    IF(AND(ISNUMBER(D254), D254=INT(D254)),
        $V$6 &amp; " " &amp; (IFERROR(MAX($Y$12:$Y253), 0) + 1),
        IF(ISNUMBER(SEARCH(".", D254)), "", INDEX($C$12:$C254, MATCH(2, 1/($C$12:$C254 &lt;&gt; ""))))
    )
)</f>
        <v/>
      </c>
      <c r="D254" s="206"/>
      <c r="E254" s="206" t="str">
        <f>IF(AA254 = "", "",
    IF(ISNUMBER(SEARCH("Kiện", C254)),
       " GÓI " &amp; COUNTIF($C$13:C254, "*Kiện*") &amp; "/" &amp; COUNTIF($C$13:$C$1000, "*Kiện*") &amp; " " &amp; AA254,
       AA254)
)</f>
        <v/>
      </c>
      <c r="F254" s="206"/>
      <c r="G254" s="206"/>
      <c r="H254" s="206"/>
      <c r="I254" s="206"/>
      <c r="J254" s="206" t="str">
        <f t="shared" si="46"/>
        <v/>
      </c>
      <c r="K254" s="206" t="str">
        <f t="shared" si="48"/>
        <v/>
      </c>
      <c r="L254" s="206" t="str">
        <f t="shared" si="49"/>
        <v/>
      </c>
      <c r="M254" s="206" t="str">
        <f t="shared" si="50"/>
        <v/>
      </c>
      <c r="N254" s="206" t="str">
        <f t="shared" si="51"/>
        <v/>
      </c>
      <c r="O254" s="206" t="str">
        <f t="shared" si="52"/>
        <v/>
      </c>
      <c r="P254" s="84" t="str">
        <f t="shared" si="53"/>
        <v/>
      </c>
      <c r="Q254" s="205"/>
      <c r="R254" s="70" t="str">
        <f>IF(S254="IN",'BOM_Phan II'!$Y$3,"")</f>
        <v/>
      </c>
      <c r="S254" s="69" t="str">
        <f t="shared" si="45"/>
        <v/>
      </c>
      <c r="T254">
        <f t="shared" si="54"/>
        <v>3</v>
      </c>
      <c r="U254" t="str">
        <f t="shared" si="55"/>
        <v>KIỆN 14</v>
      </c>
      <c r="V254" t="str">
        <f t="shared" si="56"/>
        <v/>
      </c>
      <c r="W254" s="266"/>
      <c r="X254" s="266"/>
      <c r="Y254" s="266" t="str">
        <f t="shared" si="47"/>
        <v/>
      </c>
      <c r="Z254" s="266"/>
    </row>
    <row r="255" spans="1:26" ht="27" hidden="1" customHeight="1">
      <c r="A255" s="70" t="str">
        <f t="shared" si="43"/>
        <v/>
      </c>
      <c r="B255" s="70" t="str">
        <f t="shared" si="44"/>
        <v/>
      </c>
      <c r="C255" s="204" t="str" cm="1">
        <f t="array" ref="C255">IF(D255="","",
    IF(AND(ISNUMBER(D255), D255=INT(D255)),
        $V$6 &amp; " " &amp; (IFERROR(MAX($Y$12:$Y254), 0) + 1),
        IF(ISNUMBER(SEARCH(".", D255)), "", INDEX($C$12:$C255, MATCH(2, 1/($C$12:$C255 &lt;&gt; ""))))
    )
)</f>
        <v/>
      </c>
      <c r="D255" s="206"/>
      <c r="E255" s="206" t="str">
        <f>IF(AA255 = "", "",
    IF(ISNUMBER(SEARCH("Kiện", C255)),
       " GÓI " &amp; COUNTIF($C$13:C255, "*Kiện*") &amp; "/" &amp; COUNTIF($C$13:$C$1000, "*Kiện*") &amp; " " &amp; AA255,
       AA255)
)</f>
        <v/>
      </c>
      <c r="F255" s="206"/>
      <c r="G255" s="206"/>
      <c r="H255" s="206"/>
      <c r="I255" s="206"/>
      <c r="J255" s="206" t="str">
        <f t="shared" si="46"/>
        <v/>
      </c>
      <c r="K255" s="206" t="str">
        <f t="shared" si="48"/>
        <v/>
      </c>
      <c r="L255" s="206" t="str">
        <f t="shared" si="49"/>
        <v/>
      </c>
      <c r="M255" s="206" t="str">
        <f t="shared" si="50"/>
        <v/>
      </c>
      <c r="N255" s="206" t="str">
        <f t="shared" si="51"/>
        <v/>
      </c>
      <c r="O255" s="206" t="str">
        <f t="shared" si="52"/>
        <v/>
      </c>
      <c r="P255" s="84" t="str">
        <f t="shared" si="53"/>
        <v/>
      </c>
      <c r="Q255" s="205"/>
      <c r="R255" s="70" t="str">
        <f>IF(S255="IN",'BOM_Phan II'!$Y$3,"")</f>
        <v/>
      </c>
      <c r="S255" s="69" t="str">
        <f t="shared" si="45"/>
        <v/>
      </c>
      <c r="T255">
        <f t="shared" si="54"/>
        <v>3</v>
      </c>
      <c r="U255" t="str">
        <f t="shared" si="55"/>
        <v>KIỆN 14</v>
      </c>
      <c r="V255" t="str">
        <f t="shared" si="56"/>
        <v/>
      </c>
      <c r="W255" s="266"/>
      <c r="X255" s="266"/>
      <c r="Y255" s="266" t="str">
        <f t="shared" si="47"/>
        <v/>
      </c>
      <c r="Z255" s="266"/>
    </row>
    <row r="256" spans="1:26" ht="27" hidden="1" customHeight="1">
      <c r="A256" s="70" t="str">
        <f t="shared" si="43"/>
        <v/>
      </c>
      <c r="B256" s="70" t="str">
        <f t="shared" si="44"/>
        <v/>
      </c>
      <c r="C256" s="204" t="str" cm="1">
        <f t="array" ref="C256">IF(D256="","",
    IF(AND(ISNUMBER(D256), D256=INT(D256)),
        $V$6 &amp; " " &amp; (IFERROR(MAX($Y$12:$Y255), 0) + 1),
        IF(ISNUMBER(SEARCH(".", D256)), "", INDEX($C$12:$C256, MATCH(2, 1/($C$12:$C256 &lt;&gt; ""))))
    )
)</f>
        <v/>
      </c>
      <c r="D256" s="206"/>
      <c r="E256" s="206" t="str">
        <f>IF(AA256 = "", "",
    IF(ISNUMBER(SEARCH("Kiện", C256)),
       " GÓI " &amp; COUNTIF($C$13:C256, "*Kiện*") &amp; "/" &amp; COUNTIF($C$13:$C$1000, "*Kiện*") &amp; " " &amp; AA256,
       AA256)
)</f>
        <v/>
      </c>
      <c r="F256" s="206"/>
      <c r="G256" s="206"/>
      <c r="H256" s="206"/>
      <c r="I256" s="206"/>
      <c r="J256" s="206" t="str">
        <f t="shared" si="46"/>
        <v/>
      </c>
      <c r="K256" s="206" t="str">
        <f t="shared" si="48"/>
        <v/>
      </c>
      <c r="L256" s="206" t="str">
        <f t="shared" si="49"/>
        <v/>
      </c>
      <c r="M256" s="206" t="str">
        <f t="shared" si="50"/>
        <v/>
      </c>
      <c r="N256" s="206" t="str">
        <f t="shared" si="51"/>
        <v/>
      </c>
      <c r="O256" s="206" t="str">
        <f t="shared" si="52"/>
        <v/>
      </c>
      <c r="P256" s="84" t="str">
        <f t="shared" si="53"/>
        <v/>
      </c>
      <c r="Q256" s="205"/>
      <c r="R256" s="70" t="str">
        <f>IF(S256="IN",'BOM_Phan II'!$Y$3,"")</f>
        <v/>
      </c>
      <c r="S256" s="69" t="str">
        <f t="shared" si="45"/>
        <v/>
      </c>
      <c r="T256">
        <f t="shared" si="54"/>
        <v>3</v>
      </c>
      <c r="U256" t="str">
        <f t="shared" si="55"/>
        <v>KIỆN 14</v>
      </c>
      <c r="V256" t="str">
        <f t="shared" si="56"/>
        <v/>
      </c>
      <c r="W256" s="266"/>
      <c r="X256" s="266"/>
      <c r="Y256" s="266" t="str">
        <f t="shared" si="47"/>
        <v/>
      </c>
      <c r="Z256" s="266"/>
    </row>
    <row r="257" spans="1:26" ht="27" hidden="1" customHeight="1">
      <c r="A257" s="70" t="str">
        <f t="shared" si="43"/>
        <v/>
      </c>
      <c r="B257" s="70" t="str">
        <f t="shared" si="44"/>
        <v/>
      </c>
      <c r="C257" s="204" t="str" cm="1">
        <f t="array" ref="C257">IF(D257="","",
    IF(AND(ISNUMBER(D257), D257=INT(D257)),
        $V$6 &amp; " " &amp; (IFERROR(MAX($Y$12:$Y256), 0) + 1),
        IF(ISNUMBER(SEARCH(".", D257)), "", INDEX($C$12:$C257, MATCH(2, 1/($C$12:$C257 &lt;&gt; ""))))
    )
)</f>
        <v/>
      </c>
      <c r="D257" s="206"/>
      <c r="E257" s="206" t="str">
        <f>IF(AA257 = "", "",
    IF(ISNUMBER(SEARCH("Kiện", C257)),
       " GÓI " &amp; COUNTIF($C$13:C257, "*Kiện*") &amp; "/" &amp; COUNTIF($C$13:$C$1000, "*Kiện*") &amp; " " &amp; AA257,
       AA257)
)</f>
        <v/>
      </c>
      <c r="F257" s="206"/>
      <c r="G257" s="206"/>
      <c r="H257" s="206"/>
      <c r="I257" s="206"/>
      <c r="J257" s="206" t="str">
        <f t="shared" si="46"/>
        <v/>
      </c>
      <c r="K257" s="206" t="str">
        <f t="shared" si="48"/>
        <v/>
      </c>
      <c r="L257" s="206" t="str">
        <f t="shared" si="49"/>
        <v/>
      </c>
      <c r="M257" s="206" t="str">
        <f t="shared" si="50"/>
        <v/>
      </c>
      <c r="N257" s="206" t="str">
        <f t="shared" si="51"/>
        <v/>
      </c>
      <c r="O257" s="206" t="str">
        <f t="shared" si="52"/>
        <v/>
      </c>
      <c r="P257" s="84" t="str">
        <f t="shared" si="53"/>
        <v/>
      </c>
      <c r="Q257" s="205"/>
      <c r="R257" s="70" t="str">
        <f>IF(S257="IN",'BOM_Phan II'!$Y$3,"")</f>
        <v/>
      </c>
      <c r="S257" s="69" t="str">
        <f t="shared" si="45"/>
        <v/>
      </c>
      <c r="T257">
        <f t="shared" si="54"/>
        <v>3</v>
      </c>
      <c r="U257" t="str">
        <f t="shared" si="55"/>
        <v>KIỆN 14</v>
      </c>
      <c r="V257" t="str">
        <f t="shared" si="56"/>
        <v/>
      </c>
      <c r="W257" s="266"/>
      <c r="X257" s="266"/>
      <c r="Y257" s="266" t="str">
        <f t="shared" si="47"/>
        <v/>
      </c>
      <c r="Z257" s="266"/>
    </row>
    <row r="258" spans="1:26" ht="27" hidden="1" customHeight="1">
      <c r="A258" s="70" t="str">
        <f t="shared" si="43"/>
        <v/>
      </c>
      <c r="B258" s="70" t="str">
        <f t="shared" si="44"/>
        <v/>
      </c>
      <c r="C258" s="204" t="str" cm="1">
        <f t="array" ref="C258">IF(D258="","",
    IF(AND(ISNUMBER(D258), D258=INT(D258)),
        $V$6 &amp; " " &amp; (IFERROR(MAX($Y$12:$Y257), 0) + 1),
        IF(ISNUMBER(SEARCH(".", D258)), "", INDEX($C$12:$C258, MATCH(2, 1/($C$12:$C258 &lt;&gt; ""))))
    )
)</f>
        <v/>
      </c>
      <c r="D258" s="206"/>
      <c r="E258" s="206" t="str">
        <f>IF(AA258 = "", "",
    IF(ISNUMBER(SEARCH("Kiện", C258)),
       " GÓI " &amp; COUNTIF($C$13:C258, "*Kiện*") &amp; "/" &amp; COUNTIF($C$13:$C$1000, "*Kiện*") &amp; " " &amp; AA258,
       AA258)
)</f>
        <v/>
      </c>
      <c r="F258" s="206"/>
      <c r="G258" s="206"/>
      <c r="H258" s="206"/>
      <c r="I258" s="206"/>
      <c r="J258" s="206" t="str">
        <f t="shared" si="46"/>
        <v/>
      </c>
      <c r="K258" s="206" t="str">
        <f t="shared" si="48"/>
        <v/>
      </c>
      <c r="L258" s="206" t="str">
        <f t="shared" si="49"/>
        <v/>
      </c>
      <c r="M258" s="206" t="str">
        <f t="shared" si="50"/>
        <v/>
      </c>
      <c r="N258" s="206" t="str">
        <f t="shared" si="51"/>
        <v/>
      </c>
      <c r="O258" s="206" t="str">
        <f t="shared" si="52"/>
        <v/>
      </c>
      <c r="P258" s="84" t="str">
        <f t="shared" si="53"/>
        <v/>
      </c>
      <c r="Q258" s="205"/>
      <c r="R258" s="70" t="str">
        <f>IF(S258="IN",'BOM_Phan II'!$Y$3,"")</f>
        <v/>
      </c>
      <c r="S258" s="69" t="str">
        <f t="shared" si="45"/>
        <v/>
      </c>
      <c r="T258">
        <f t="shared" si="54"/>
        <v>3</v>
      </c>
      <c r="U258" t="str">
        <f t="shared" si="55"/>
        <v>KIỆN 14</v>
      </c>
      <c r="V258" t="str">
        <f t="shared" si="56"/>
        <v/>
      </c>
      <c r="W258" s="266"/>
      <c r="X258" s="266"/>
      <c r="Y258" s="266" t="str">
        <f t="shared" si="47"/>
        <v/>
      </c>
      <c r="Z258" s="266"/>
    </row>
    <row r="259" spans="1:26" ht="27" hidden="1" customHeight="1">
      <c r="A259" s="70" t="str">
        <f t="shared" si="43"/>
        <v/>
      </c>
      <c r="B259" s="70" t="str">
        <f t="shared" si="44"/>
        <v/>
      </c>
      <c r="C259" s="204" t="str" cm="1">
        <f t="array" ref="C259">IF(D259="","",
    IF(AND(ISNUMBER(D259), D259=INT(D259)),
        $V$6 &amp; " " &amp; (IFERROR(MAX($Y$12:$Y258), 0) + 1),
        IF(ISNUMBER(SEARCH(".", D259)), "", INDEX($C$12:$C259, MATCH(2, 1/($C$12:$C259 &lt;&gt; ""))))
    )
)</f>
        <v/>
      </c>
      <c r="D259" s="206"/>
      <c r="E259" s="206" t="str">
        <f>IF(AA259 = "", "",
    IF(ISNUMBER(SEARCH("Kiện", C259)),
       " GÓI " &amp; COUNTIF($C$13:C259, "*Kiện*") &amp; "/" &amp; COUNTIF($C$13:$C$1000, "*Kiện*") &amp; " " &amp; AA259,
       AA259)
)</f>
        <v/>
      </c>
      <c r="F259" s="206"/>
      <c r="G259" s="206"/>
      <c r="H259" s="206"/>
      <c r="I259" s="206"/>
      <c r="J259" s="206" t="str">
        <f t="shared" si="46"/>
        <v/>
      </c>
      <c r="K259" s="206" t="str">
        <f t="shared" si="48"/>
        <v/>
      </c>
      <c r="L259" s="206" t="str">
        <f t="shared" si="49"/>
        <v/>
      </c>
      <c r="M259" s="206" t="str">
        <f t="shared" si="50"/>
        <v/>
      </c>
      <c r="N259" s="206" t="str">
        <f t="shared" si="51"/>
        <v/>
      </c>
      <c r="O259" s="206" t="str">
        <f t="shared" si="52"/>
        <v/>
      </c>
      <c r="P259" s="84" t="str">
        <f t="shared" si="53"/>
        <v/>
      </c>
      <c r="Q259" s="205"/>
      <c r="R259" s="70" t="str">
        <f>IF(S259="IN",'BOM_Phan II'!$Y$3,"")</f>
        <v/>
      </c>
      <c r="S259" s="69" t="str">
        <f t="shared" si="45"/>
        <v/>
      </c>
      <c r="T259">
        <f t="shared" si="54"/>
        <v>3</v>
      </c>
      <c r="U259" t="str">
        <f t="shared" si="55"/>
        <v>KIỆN 14</v>
      </c>
      <c r="V259" t="str">
        <f t="shared" si="56"/>
        <v/>
      </c>
      <c r="W259" s="266"/>
      <c r="X259" s="266"/>
      <c r="Y259" s="266" t="str">
        <f t="shared" si="47"/>
        <v/>
      </c>
      <c r="Z259" s="266"/>
    </row>
    <row r="260" spans="1:26" ht="27" hidden="1" customHeight="1">
      <c r="A260" s="70" t="str">
        <f t="shared" si="43"/>
        <v/>
      </c>
      <c r="B260" s="70" t="str">
        <f t="shared" si="44"/>
        <v/>
      </c>
      <c r="C260" s="204" t="str" cm="1">
        <f t="array" ref="C260">IF(D260="","",
    IF(AND(ISNUMBER(D260), D260=INT(D260)),
        $V$6 &amp; " " &amp; (IFERROR(MAX($Y$12:$Y259), 0) + 1),
        IF(ISNUMBER(SEARCH(".", D260)), "", INDEX($C$12:$C260, MATCH(2, 1/($C$12:$C260 &lt;&gt; ""))))
    )
)</f>
        <v/>
      </c>
      <c r="D260" s="206"/>
      <c r="E260" s="206" t="str">
        <f>IF(AA260 = "", "",
    IF(ISNUMBER(SEARCH("Kiện", C260)),
       " GÓI " &amp; COUNTIF($C$13:C260, "*Kiện*") &amp; "/" &amp; COUNTIF($C$13:$C$1000, "*Kiện*") &amp; " " &amp; AA260,
       AA260)
)</f>
        <v/>
      </c>
      <c r="F260" s="206"/>
      <c r="G260" s="206"/>
      <c r="H260" s="206"/>
      <c r="I260" s="206"/>
      <c r="J260" s="206" t="str">
        <f t="shared" si="46"/>
        <v/>
      </c>
      <c r="K260" s="206" t="str">
        <f t="shared" si="48"/>
        <v/>
      </c>
      <c r="L260" s="206" t="str">
        <f t="shared" si="49"/>
        <v/>
      </c>
      <c r="M260" s="206" t="str">
        <f t="shared" si="50"/>
        <v/>
      </c>
      <c r="N260" s="206" t="str">
        <f t="shared" si="51"/>
        <v/>
      </c>
      <c r="O260" s="206" t="str">
        <f t="shared" si="52"/>
        <v/>
      </c>
      <c r="P260" s="84" t="str">
        <f t="shared" si="53"/>
        <v/>
      </c>
      <c r="Q260" s="205"/>
      <c r="R260" s="70" t="str">
        <f>IF(S260="IN",'BOM_Phan II'!$Y$3,"")</f>
        <v/>
      </c>
      <c r="S260" s="69" t="str">
        <f t="shared" si="45"/>
        <v/>
      </c>
      <c r="T260">
        <f t="shared" si="54"/>
        <v>3</v>
      </c>
      <c r="U260" t="str">
        <f t="shared" si="55"/>
        <v>KIỆN 14</v>
      </c>
      <c r="V260" t="str">
        <f t="shared" si="56"/>
        <v/>
      </c>
      <c r="W260" s="266"/>
      <c r="X260" s="266"/>
      <c r="Y260" s="266" t="str">
        <f t="shared" si="47"/>
        <v/>
      </c>
      <c r="Z260" s="266"/>
    </row>
    <row r="261" spans="1:26" ht="27" hidden="1" customHeight="1">
      <c r="A261" s="70" t="str">
        <f t="shared" si="43"/>
        <v/>
      </c>
      <c r="B261" s="70" t="str">
        <f t="shared" si="44"/>
        <v/>
      </c>
      <c r="C261" s="204" t="str" cm="1">
        <f t="array" ref="C261">IF(D261="","",
    IF(AND(ISNUMBER(D261), D261=INT(D261)),
        $V$6 &amp; " " &amp; (IFERROR(MAX($Y$12:$Y260), 0) + 1),
        IF(ISNUMBER(SEARCH(".", D261)), "", INDEX($C$12:$C261, MATCH(2, 1/($C$12:$C261 &lt;&gt; ""))))
    )
)</f>
        <v/>
      </c>
      <c r="D261" s="206"/>
      <c r="E261" s="206" t="str">
        <f>IF(AA261 = "", "",
    IF(ISNUMBER(SEARCH("Kiện", C261)),
       " GÓI " &amp; COUNTIF($C$13:C261, "*Kiện*") &amp; "/" &amp; COUNTIF($C$13:$C$1000, "*Kiện*") &amp; " " &amp; AA261,
       AA261)
)</f>
        <v/>
      </c>
      <c r="F261" s="206"/>
      <c r="G261" s="206"/>
      <c r="H261" s="206"/>
      <c r="I261" s="206"/>
      <c r="J261" s="206" t="str">
        <f t="shared" si="46"/>
        <v/>
      </c>
      <c r="K261" s="206" t="str">
        <f t="shared" si="48"/>
        <v/>
      </c>
      <c r="L261" s="206" t="str">
        <f t="shared" si="49"/>
        <v/>
      </c>
      <c r="M261" s="206" t="str">
        <f t="shared" si="50"/>
        <v/>
      </c>
      <c r="N261" s="206" t="str">
        <f t="shared" si="51"/>
        <v/>
      </c>
      <c r="O261" s="206" t="str">
        <f t="shared" si="52"/>
        <v/>
      </c>
      <c r="P261" s="84" t="str">
        <f t="shared" si="53"/>
        <v/>
      </c>
      <c r="Q261" s="205"/>
      <c r="R261" s="70" t="str">
        <f>IF(S261="IN",'BOM_Phan II'!$Y$3,"")</f>
        <v/>
      </c>
      <c r="S261" s="69" t="str">
        <f t="shared" si="45"/>
        <v/>
      </c>
      <c r="T261">
        <f t="shared" si="54"/>
        <v>3</v>
      </c>
      <c r="U261" t="str">
        <f t="shared" si="55"/>
        <v>KIỆN 14</v>
      </c>
      <c r="V261" t="str">
        <f t="shared" si="56"/>
        <v/>
      </c>
      <c r="W261" s="266"/>
      <c r="X261" s="266"/>
      <c r="Y261" s="266" t="str">
        <f t="shared" si="47"/>
        <v/>
      </c>
      <c r="Z261" s="266"/>
    </row>
    <row r="262" spans="1:26" ht="27" hidden="1" customHeight="1">
      <c r="A262" s="70" t="str">
        <f t="shared" si="43"/>
        <v/>
      </c>
      <c r="B262" s="70" t="str">
        <f t="shared" si="44"/>
        <v/>
      </c>
      <c r="C262" s="204" t="str" cm="1">
        <f t="array" ref="C262">IF(D262="","",
    IF(AND(ISNUMBER(D262), D262=INT(D262)),
        $V$6 &amp; " " &amp; (IFERROR(MAX($Y$12:$Y261), 0) + 1),
        IF(ISNUMBER(SEARCH(".", D262)), "", INDEX($C$12:$C262, MATCH(2, 1/($C$12:$C262 &lt;&gt; ""))))
    )
)</f>
        <v/>
      </c>
      <c r="D262" s="206"/>
      <c r="E262" s="206" t="str">
        <f>IF(AA262 = "", "",
    IF(ISNUMBER(SEARCH("Kiện", C262)),
       " GÓI " &amp; COUNTIF($C$13:C262, "*Kiện*") &amp; "/" &amp; COUNTIF($C$13:$C$1000, "*Kiện*") &amp; " " &amp; AA262,
       AA262)
)</f>
        <v/>
      </c>
      <c r="F262" s="206"/>
      <c r="G262" s="206"/>
      <c r="H262" s="206"/>
      <c r="I262" s="206"/>
      <c r="J262" s="206" t="str">
        <f t="shared" si="46"/>
        <v/>
      </c>
      <c r="K262" s="206" t="str">
        <f t="shared" si="48"/>
        <v/>
      </c>
      <c r="L262" s="206" t="str">
        <f t="shared" si="49"/>
        <v/>
      </c>
      <c r="M262" s="206" t="str">
        <f t="shared" si="50"/>
        <v/>
      </c>
      <c r="N262" s="206" t="str">
        <f t="shared" si="51"/>
        <v/>
      </c>
      <c r="O262" s="206" t="str">
        <f t="shared" si="52"/>
        <v/>
      </c>
      <c r="P262" s="84" t="str">
        <f t="shared" si="53"/>
        <v/>
      </c>
      <c r="Q262" s="205"/>
      <c r="R262" s="70" t="str">
        <f>IF(S262="IN",'BOM_Phan II'!$Y$3,"")</f>
        <v/>
      </c>
      <c r="S262" s="69" t="str">
        <f t="shared" si="45"/>
        <v/>
      </c>
      <c r="T262">
        <f t="shared" si="54"/>
        <v>3</v>
      </c>
      <c r="U262" t="str">
        <f t="shared" si="55"/>
        <v>KIỆN 14</v>
      </c>
      <c r="V262" t="str">
        <f t="shared" si="56"/>
        <v/>
      </c>
      <c r="W262" s="266"/>
      <c r="X262" s="266"/>
      <c r="Y262" s="266" t="str">
        <f t="shared" si="47"/>
        <v/>
      </c>
      <c r="Z262" s="266"/>
    </row>
    <row r="263" spans="1:26" ht="27" hidden="1" customHeight="1">
      <c r="A263" s="70" t="str">
        <f t="shared" si="43"/>
        <v/>
      </c>
      <c r="B263" s="70" t="str">
        <f t="shared" si="44"/>
        <v/>
      </c>
      <c r="C263" s="204" t="str" cm="1">
        <f t="array" ref="C263">IF(D263="","",
    IF(AND(ISNUMBER(D263), D263=INT(D263)),
        $V$6 &amp; " " &amp; (IFERROR(MAX($Y$12:$Y262), 0) + 1),
        IF(ISNUMBER(SEARCH(".", D263)), "", INDEX($C$12:$C263, MATCH(2, 1/($C$12:$C263 &lt;&gt; ""))))
    )
)</f>
        <v/>
      </c>
      <c r="D263" s="206"/>
      <c r="E263" s="206" t="str">
        <f>IF(AA263 = "", "",
    IF(ISNUMBER(SEARCH("Kiện", C263)),
       " GÓI " &amp; COUNTIF($C$13:C263, "*Kiện*") &amp; "/" &amp; COUNTIF($C$13:$C$1000, "*Kiện*") &amp; " " &amp; AA263,
       AA263)
)</f>
        <v/>
      </c>
      <c r="F263" s="206"/>
      <c r="G263" s="206"/>
      <c r="H263" s="206"/>
      <c r="I263" s="206"/>
      <c r="J263" s="206" t="str">
        <f t="shared" si="46"/>
        <v/>
      </c>
      <c r="K263" s="206" t="str">
        <f t="shared" si="48"/>
        <v/>
      </c>
      <c r="L263" s="206" t="str">
        <f t="shared" si="49"/>
        <v/>
      </c>
      <c r="M263" s="206" t="str">
        <f t="shared" si="50"/>
        <v/>
      </c>
      <c r="N263" s="206" t="str">
        <f t="shared" si="51"/>
        <v/>
      </c>
      <c r="O263" s="206" t="str">
        <f t="shared" si="52"/>
        <v/>
      </c>
      <c r="P263" s="84" t="str">
        <f t="shared" si="53"/>
        <v/>
      </c>
      <c r="Q263" s="205"/>
      <c r="R263" s="70" t="str">
        <f>IF(S263="IN",'BOM_Phan II'!$Y$3,"")</f>
        <v/>
      </c>
      <c r="S263" s="69" t="str">
        <f t="shared" si="45"/>
        <v/>
      </c>
      <c r="T263">
        <f t="shared" si="54"/>
        <v>3</v>
      </c>
      <c r="U263" t="str">
        <f t="shared" si="55"/>
        <v>KIỆN 14</v>
      </c>
      <c r="V263" t="str">
        <f t="shared" si="56"/>
        <v/>
      </c>
      <c r="W263" s="266"/>
      <c r="X263" s="266"/>
      <c r="Y263" s="266" t="str">
        <f t="shared" si="47"/>
        <v/>
      </c>
      <c r="Z263" s="266"/>
    </row>
    <row r="264" spans="1:26" ht="27" hidden="1" customHeight="1">
      <c r="A264" s="70" t="str">
        <f t="shared" si="43"/>
        <v/>
      </c>
      <c r="B264" s="70" t="str">
        <f t="shared" si="44"/>
        <v/>
      </c>
      <c r="C264" s="204" t="str" cm="1">
        <f t="array" ref="C264">IF(D264="","",
    IF(AND(ISNUMBER(D264), D264=INT(D264)),
        $V$6 &amp; " " &amp; (IFERROR(MAX($Y$12:$Y263), 0) + 1),
        IF(ISNUMBER(SEARCH(".", D264)), "", INDEX($C$12:$C264, MATCH(2, 1/($C$12:$C264 &lt;&gt; ""))))
    )
)</f>
        <v/>
      </c>
      <c r="D264" s="206"/>
      <c r="E264" s="206" t="str">
        <f>IF(AA264 = "", "",
    IF(ISNUMBER(SEARCH("Kiện", C264)),
       " GÓI " &amp; COUNTIF($C$13:C264, "*Kiện*") &amp; "/" &amp; COUNTIF($C$13:$C$1000, "*Kiện*") &amp; " " &amp; AA264,
       AA264)
)</f>
        <v/>
      </c>
      <c r="F264" s="206"/>
      <c r="G264" s="206"/>
      <c r="H264" s="206"/>
      <c r="I264" s="206"/>
      <c r="J264" s="206" t="str">
        <f t="shared" si="46"/>
        <v/>
      </c>
      <c r="K264" s="206" t="str">
        <f t="shared" si="48"/>
        <v/>
      </c>
      <c r="L264" s="206" t="str">
        <f t="shared" si="49"/>
        <v/>
      </c>
      <c r="M264" s="206" t="str">
        <f t="shared" si="50"/>
        <v/>
      </c>
      <c r="N264" s="206" t="str">
        <f t="shared" si="51"/>
        <v/>
      </c>
      <c r="O264" s="206" t="str">
        <f t="shared" si="52"/>
        <v/>
      </c>
      <c r="P264" s="84" t="str">
        <f t="shared" si="53"/>
        <v/>
      </c>
      <c r="Q264" s="205"/>
      <c r="R264" s="70" t="str">
        <f>IF(S264="IN",'BOM_Phan II'!$Y$3,"")</f>
        <v/>
      </c>
      <c r="S264" s="69" t="str">
        <f t="shared" si="45"/>
        <v/>
      </c>
      <c r="T264">
        <f t="shared" si="54"/>
        <v>3</v>
      </c>
      <c r="U264" t="str">
        <f t="shared" si="55"/>
        <v>KIỆN 14</v>
      </c>
      <c r="V264" t="str">
        <f t="shared" si="56"/>
        <v/>
      </c>
      <c r="W264" s="266"/>
      <c r="X264" s="266"/>
      <c r="Y264" s="266" t="str">
        <f t="shared" si="47"/>
        <v/>
      </c>
      <c r="Z264" s="266"/>
    </row>
    <row r="265" spans="1:26" ht="27" hidden="1" customHeight="1">
      <c r="A265" s="70" t="str">
        <f t="shared" si="43"/>
        <v/>
      </c>
      <c r="B265" s="70" t="str">
        <f t="shared" si="44"/>
        <v/>
      </c>
      <c r="C265" s="204" t="str" cm="1">
        <f t="array" ref="C265">IF(D265="","",
    IF(AND(ISNUMBER(D265), D265=INT(D265)),
        $V$6 &amp; " " &amp; (IFERROR(MAX($Y$12:$Y264), 0) + 1),
        IF(ISNUMBER(SEARCH(".", D265)), "", INDEX($C$12:$C265, MATCH(2, 1/($C$12:$C265 &lt;&gt; ""))))
    )
)</f>
        <v/>
      </c>
      <c r="D265" s="206"/>
      <c r="E265" s="206" t="str">
        <f>IF(AA265 = "", "",
    IF(ISNUMBER(SEARCH("Kiện", C265)),
       " GÓI " &amp; COUNTIF($C$13:C265, "*Kiện*") &amp; "/" &amp; COUNTIF($C$13:$C$1000, "*Kiện*") &amp; " " &amp; AA265,
       AA265)
)</f>
        <v/>
      </c>
      <c r="F265" s="206"/>
      <c r="G265" s="206"/>
      <c r="H265" s="206"/>
      <c r="I265" s="206"/>
      <c r="J265" s="206" t="str">
        <f t="shared" si="46"/>
        <v/>
      </c>
      <c r="K265" s="206" t="str">
        <f t="shared" si="48"/>
        <v/>
      </c>
      <c r="L265" s="206" t="str">
        <f t="shared" si="49"/>
        <v/>
      </c>
      <c r="M265" s="206" t="str">
        <f t="shared" si="50"/>
        <v/>
      </c>
      <c r="N265" s="206" t="str">
        <f t="shared" si="51"/>
        <v/>
      </c>
      <c r="O265" s="206" t="str">
        <f t="shared" si="52"/>
        <v/>
      </c>
      <c r="P265" s="84" t="str">
        <f t="shared" si="53"/>
        <v/>
      </c>
      <c r="Q265" s="205"/>
      <c r="R265" s="70" t="str">
        <f>IF(S265="IN",'BOM_Phan II'!$Y$3,"")</f>
        <v/>
      </c>
      <c r="S265" s="69" t="str">
        <f t="shared" si="45"/>
        <v/>
      </c>
      <c r="T265">
        <f t="shared" si="54"/>
        <v>3</v>
      </c>
      <c r="U265" t="str">
        <f t="shared" si="55"/>
        <v>KIỆN 14</v>
      </c>
      <c r="V265" t="str">
        <f t="shared" si="56"/>
        <v/>
      </c>
      <c r="W265" s="266"/>
      <c r="X265" s="266"/>
      <c r="Y265" s="266" t="str">
        <f t="shared" si="47"/>
        <v/>
      </c>
      <c r="Z265" s="266"/>
    </row>
    <row r="266" spans="1:26" ht="27" hidden="1" customHeight="1">
      <c r="A266" s="70" t="str">
        <f t="shared" si="43"/>
        <v/>
      </c>
      <c r="B266" s="70" t="str">
        <f t="shared" si="44"/>
        <v/>
      </c>
      <c r="C266" s="204" t="str" cm="1">
        <f t="array" ref="C266">IF(D266="","",
    IF(AND(ISNUMBER(D266), D266=INT(D266)),
        $V$6 &amp; " " &amp; (IFERROR(MAX($Y$12:$Y265), 0) + 1),
        IF(ISNUMBER(SEARCH(".", D266)), "", INDEX($C$12:$C266, MATCH(2, 1/($C$12:$C266 &lt;&gt; ""))))
    )
)</f>
        <v/>
      </c>
      <c r="D266" s="206"/>
      <c r="E266" s="206" t="str">
        <f>IF(AA266 = "", "",
    IF(ISNUMBER(SEARCH("Kiện", C266)),
       " GÓI " &amp; COUNTIF($C$13:C266, "*Kiện*") &amp; "/" &amp; COUNTIF($C$13:$C$1000, "*Kiện*") &amp; " " &amp; AA266,
       AA266)
)</f>
        <v/>
      </c>
      <c r="F266" s="206"/>
      <c r="G266" s="206"/>
      <c r="H266" s="206"/>
      <c r="I266" s="206"/>
      <c r="J266" s="206" t="str">
        <f t="shared" si="46"/>
        <v/>
      </c>
      <c r="K266" s="206" t="str">
        <f t="shared" si="48"/>
        <v/>
      </c>
      <c r="L266" s="206" t="str">
        <f t="shared" si="49"/>
        <v/>
      </c>
      <c r="M266" s="206" t="str">
        <f t="shared" si="50"/>
        <v/>
      </c>
      <c r="N266" s="206" t="str">
        <f t="shared" si="51"/>
        <v/>
      </c>
      <c r="O266" s="206" t="str">
        <f t="shared" si="52"/>
        <v/>
      </c>
      <c r="P266" s="84" t="str">
        <f t="shared" si="53"/>
        <v/>
      </c>
      <c r="Q266" s="205"/>
      <c r="R266" s="70" t="str">
        <f>IF(S266="IN",'BOM_Phan II'!$Y$3,"")</f>
        <v/>
      </c>
      <c r="S266" s="69" t="str">
        <f t="shared" si="45"/>
        <v/>
      </c>
      <c r="T266">
        <f t="shared" si="54"/>
        <v>3</v>
      </c>
      <c r="U266" t="str">
        <f t="shared" si="55"/>
        <v>KIỆN 14</v>
      </c>
      <c r="V266" t="str">
        <f t="shared" si="56"/>
        <v/>
      </c>
      <c r="W266" s="266"/>
      <c r="X266" s="266"/>
      <c r="Y266" s="266" t="str">
        <f t="shared" si="47"/>
        <v/>
      </c>
      <c r="Z266" s="266"/>
    </row>
    <row r="267" spans="1:26" ht="27" hidden="1" customHeight="1">
      <c r="A267" s="70" t="str">
        <f t="shared" si="43"/>
        <v/>
      </c>
      <c r="B267" s="70" t="str">
        <f t="shared" si="44"/>
        <v/>
      </c>
      <c r="C267" s="204" t="str" cm="1">
        <f t="array" ref="C267">IF(D267="","",
    IF(AND(ISNUMBER(D267), D267=INT(D267)),
        $V$6 &amp; " " &amp; (IFERROR(MAX($Y$12:$Y266), 0) + 1),
        IF(ISNUMBER(SEARCH(".", D267)), "", INDEX($C$12:$C267, MATCH(2, 1/($C$12:$C267 &lt;&gt; ""))))
    )
)</f>
        <v/>
      </c>
      <c r="D267" s="206"/>
      <c r="E267" s="206" t="str">
        <f>IF(AA267 = "", "",
    IF(ISNUMBER(SEARCH("Kiện", C267)),
       " GÓI " &amp; COUNTIF($C$13:C267, "*Kiện*") &amp; "/" &amp; COUNTIF($C$13:$C$1000, "*Kiện*") &amp; " " &amp; AA267,
       AA267)
)</f>
        <v/>
      </c>
      <c r="F267" s="206"/>
      <c r="G267" s="206"/>
      <c r="H267" s="206"/>
      <c r="I267" s="206"/>
      <c r="J267" s="206" t="str">
        <f t="shared" si="46"/>
        <v/>
      </c>
      <c r="K267" s="206" t="str">
        <f t="shared" si="48"/>
        <v/>
      </c>
      <c r="L267" s="206" t="str">
        <f t="shared" si="49"/>
        <v/>
      </c>
      <c r="M267" s="206" t="str">
        <f t="shared" si="50"/>
        <v/>
      </c>
      <c r="N267" s="206" t="str">
        <f t="shared" si="51"/>
        <v/>
      </c>
      <c r="O267" s="206" t="str">
        <f t="shared" si="52"/>
        <v/>
      </c>
      <c r="P267" s="84" t="str">
        <f t="shared" si="53"/>
        <v/>
      </c>
      <c r="Q267" s="205"/>
      <c r="R267" s="70" t="str">
        <f>IF(S267="IN",'BOM_Phan II'!$Y$3,"")</f>
        <v/>
      </c>
      <c r="S267" s="69" t="str">
        <f t="shared" si="45"/>
        <v/>
      </c>
      <c r="T267">
        <f t="shared" si="54"/>
        <v>3</v>
      </c>
      <c r="U267" t="str">
        <f t="shared" si="55"/>
        <v>KIỆN 14</v>
      </c>
      <c r="V267" t="str">
        <f t="shared" si="56"/>
        <v/>
      </c>
      <c r="W267" s="266"/>
      <c r="X267" s="266"/>
      <c r="Y267" s="266" t="str">
        <f t="shared" si="47"/>
        <v/>
      </c>
      <c r="Z267" s="266"/>
    </row>
    <row r="268" spans="1:26" ht="27" hidden="1" customHeight="1">
      <c r="A268" s="70" t="str">
        <f t="shared" ref="A268:A331" si="57">IF(S268="IN",$E$6,"")</f>
        <v/>
      </c>
      <c r="B268" s="70" t="str">
        <f t="shared" ref="B268:B331" si="58">IF(S268="IN","Muc "&amp;$E$7,"")</f>
        <v/>
      </c>
      <c r="C268" s="204" t="str" cm="1">
        <f t="array" ref="C268">IF(D268="","",
    IF(AND(ISNUMBER(D268), D268=INT(D268)),
        $V$6 &amp; " " &amp; (IFERROR(MAX($Y$12:$Y267), 0) + 1),
        IF(ISNUMBER(SEARCH(".", D268)), "", INDEX($C$12:$C268, MATCH(2, 1/($C$12:$C268 &lt;&gt; ""))))
    )
)</f>
        <v/>
      </c>
      <c r="D268" s="206"/>
      <c r="E268" s="206" t="str">
        <f>IF(AA268 = "", "",
    IF(ISNUMBER(SEARCH("Kiện", C268)),
       " GÓI " &amp; COUNTIF($C$13:C268, "*Kiện*") &amp; "/" &amp; COUNTIF($C$13:$C$1000, "*Kiện*") &amp; " " &amp; AA268,
       AA268)
)</f>
        <v/>
      </c>
      <c r="F268" s="206"/>
      <c r="G268" s="206"/>
      <c r="H268" s="206"/>
      <c r="I268" s="206"/>
      <c r="J268" s="206" t="str">
        <f t="shared" si="46"/>
        <v/>
      </c>
      <c r="K268" s="206" t="str">
        <f t="shared" si="48"/>
        <v/>
      </c>
      <c r="L268" s="206" t="str">
        <f t="shared" si="49"/>
        <v/>
      </c>
      <c r="M268" s="206" t="str">
        <f t="shared" si="50"/>
        <v/>
      </c>
      <c r="N268" s="206" t="str">
        <f t="shared" si="51"/>
        <v/>
      </c>
      <c r="O268" s="206" t="str">
        <f t="shared" si="52"/>
        <v/>
      </c>
      <c r="P268" s="84" t="str">
        <f t="shared" si="53"/>
        <v/>
      </c>
      <c r="Q268" s="205"/>
      <c r="R268" s="70" t="str">
        <f>IF(S268="IN",'BOM_Phan II'!$Y$3,"")</f>
        <v/>
      </c>
      <c r="S268" s="69" t="str">
        <f t="shared" ref="S268:S331" si="59">IF(OR(E268&lt;&gt;"",D268&lt;&gt;""),"IN","")</f>
        <v/>
      </c>
      <c r="T268">
        <f t="shared" si="54"/>
        <v>3</v>
      </c>
      <c r="U268" t="str">
        <f t="shared" si="55"/>
        <v>KIỆN 14</v>
      </c>
      <c r="V268" t="str">
        <f t="shared" si="56"/>
        <v/>
      </c>
      <c r="W268" s="266"/>
      <c r="X268" s="266"/>
      <c r="Y268" s="266" t="str">
        <f t="shared" si="47"/>
        <v/>
      </c>
      <c r="Z268" s="266"/>
    </row>
    <row r="269" spans="1:26" ht="27" hidden="1" customHeight="1">
      <c r="A269" s="70" t="str">
        <f t="shared" si="57"/>
        <v/>
      </c>
      <c r="B269" s="70" t="str">
        <f t="shared" si="58"/>
        <v/>
      </c>
      <c r="C269" s="204" t="str" cm="1">
        <f t="array" ref="C269">IF(D269="","",
    IF(AND(ISNUMBER(D269), D269=INT(D269)),
        $V$6 &amp; " " &amp; (IFERROR(MAX($Y$12:$Y268), 0) + 1),
        IF(ISNUMBER(SEARCH(".", D269)), "", INDEX($C$12:$C269, MATCH(2, 1/($C$12:$C269 &lt;&gt; ""))))
    )
)</f>
        <v/>
      </c>
      <c r="D269" s="206"/>
      <c r="E269" s="206" t="str">
        <f>IF(AA269 = "", "",
    IF(ISNUMBER(SEARCH("Kiện", C269)),
       " GÓI " &amp; COUNTIF($C$13:C269, "*Kiện*") &amp; "/" &amp; COUNTIF($C$13:$C$1000, "*Kiện*") &amp; " " &amp; AA269,
       AA269)
)</f>
        <v/>
      </c>
      <c r="F269" s="206"/>
      <c r="G269" s="206"/>
      <c r="H269" s="206"/>
      <c r="I269" s="206"/>
      <c r="J269" s="206" t="str">
        <f t="shared" ref="J269:J332" si="60">IF(C269&lt;&gt;"",C269&amp;"_"&amp;$E$6,"")</f>
        <v/>
      </c>
      <c r="K269" s="206" t="str">
        <f t="shared" si="48"/>
        <v/>
      </c>
      <c r="L269" s="206" t="str">
        <f t="shared" si="49"/>
        <v/>
      </c>
      <c r="M269" s="206" t="str">
        <f t="shared" si="50"/>
        <v/>
      </c>
      <c r="N269" s="206" t="str">
        <f t="shared" si="51"/>
        <v/>
      </c>
      <c r="O269" s="206" t="str">
        <f t="shared" si="52"/>
        <v/>
      </c>
      <c r="P269" s="84" t="str">
        <f t="shared" si="53"/>
        <v/>
      </c>
      <c r="Q269" s="205"/>
      <c r="R269" s="70" t="str">
        <f>IF(S269="IN",'BOM_Phan II'!$Y$3,"")</f>
        <v/>
      </c>
      <c r="S269" s="69" t="str">
        <f t="shared" si="59"/>
        <v/>
      </c>
      <c r="T269">
        <f t="shared" si="54"/>
        <v>3</v>
      </c>
      <c r="U269" t="str">
        <f t="shared" si="55"/>
        <v>KIỆN 14</v>
      </c>
      <c r="V269" t="str">
        <f t="shared" si="56"/>
        <v/>
      </c>
      <c r="W269" s="266"/>
      <c r="X269" s="266"/>
      <c r="Y269" s="266" t="str">
        <f t="shared" ref="Y269:Y332" si="61">IFERROR(VALUE(RIGHT(C269,LEN(C269)-5)),"")</f>
        <v/>
      </c>
      <c r="Z269" s="266"/>
    </row>
    <row r="270" spans="1:26" ht="27" hidden="1" customHeight="1">
      <c r="A270" s="70" t="str">
        <f t="shared" si="57"/>
        <v/>
      </c>
      <c r="B270" s="70" t="str">
        <f t="shared" si="58"/>
        <v/>
      </c>
      <c r="C270" s="204" t="str" cm="1">
        <f t="array" ref="C270">IF(D270="","",
    IF(AND(ISNUMBER(D270), D270=INT(D270)),
        $V$6 &amp; " " &amp; (IFERROR(MAX($Y$12:$Y269), 0) + 1),
        IF(ISNUMBER(SEARCH(".", D270)), "", INDEX($C$12:$C270, MATCH(2, 1/($C$12:$C270 &lt;&gt; ""))))
    )
)</f>
        <v/>
      </c>
      <c r="D270" s="206"/>
      <c r="E270" s="206" t="str">
        <f>IF(AA270 = "", "",
    IF(ISNUMBER(SEARCH("Kiện", C270)),
       " GÓI " &amp; COUNTIF($C$13:C270, "*Kiện*") &amp; "/" &amp; COUNTIF($C$13:$C$1000, "*Kiện*") &amp; " " &amp; AA270,
       AA270)
)</f>
        <v/>
      </c>
      <c r="F270" s="206"/>
      <c r="G270" s="206"/>
      <c r="H270" s="206"/>
      <c r="I270" s="206"/>
      <c r="J270" s="206" t="str">
        <f t="shared" si="60"/>
        <v/>
      </c>
      <c r="K270" s="206" t="str">
        <f t="shared" ref="K270:K333" si="62">IFERROR(IF($C270&lt;&gt;"",IF($T$13=1,F270+20,IF($T$13=2,F270+20,IF($T$13=3,F270+50,IF($T$13=4,F270+40,IF($T$13=5,F270+50,IF($T$13=51,F270+50,IF($T$13=6,F270+50,IF($T$13=7,F270+50,"")))))))),""),"")</f>
        <v/>
      </c>
      <c r="L270" s="206" t="str">
        <f t="shared" ref="L270:L333" si="63">IFERROR(IF($C270&lt;&gt;"",IF($T$13=1,G270+20,IF($T$13=2,G270+20,IF($T$13=3,G270+50,IF($T$13=4,G270+40,IF($T$13=5,G270+50,IF($T$13=51,G270+50,IF($T$13=6,G270+50,IF($T$13=7,G270+50,"")))))))),""),"")</f>
        <v/>
      </c>
      <c r="M270" s="206" t="str">
        <f t="shared" ref="M270:M333" si="64">IFERROR(IF($C270&lt;&gt;"",IF($T$13=1,H270+20,IF($T$13=2,H270+20,IF($T$13=3,H270+70,IF($T$13=4,H270+40,IF($T$13=5,H270+50,IF($T$13=51,H270+150,IF($T$13=6,H270+50,IF($T$13=7,H270+50,"")))))))),""),"")</f>
        <v/>
      </c>
      <c r="N270" s="206" t="str">
        <f t="shared" ref="N270:N333" si="65">IF(C270&lt;&gt;"",I270,"")</f>
        <v/>
      </c>
      <c r="O270" s="206" t="str">
        <f t="shared" ref="O270:O333" si="66">IF(C270&lt;&gt;"",$O$13,"")</f>
        <v/>
      </c>
      <c r="P270" s="84" t="str">
        <f t="shared" ref="P270:P333" si="67">IFERROR(IF(C270&lt;&gt;"",SUMIFS($V$13:$V$969,$U$13:$U$969,C270)*$S$6,V270*$S$6),"")</f>
        <v/>
      </c>
      <c r="Q270" s="205"/>
      <c r="R270" s="70" t="str">
        <f>IF(S270="IN",'BOM_Phan II'!$Y$3,"")</f>
        <v/>
      </c>
      <c r="S270" s="69" t="str">
        <f t="shared" si="59"/>
        <v/>
      </c>
      <c r="T270">
        <f t="shared" ref="T270:T333" si="68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3</v>
      </c>
      <c r="U270" t="str">
        <f t="shared" ref="U270:U304" si="69">IF(C270="",U269,C270)</f>
        <v>KIỆN 14</v>
      </c>
      <c r="V270" t="str">
        <f t="shared" ref="V270:V333" si="70">IFERROR(IF(AND(C270="", OR($W270="1", $W270="2")), IF(I270="", "", F270*G270*H270*I270/10^9), ""), "")</f>
        <v/>
      </c>
      <c r="W270" s="266"/>
      <c r="X270" s="266"/>
      <c r="Y270" s="266" t="str">
        <f t="shared" si="61"/>
        <v/>
      </c>
      <c r="Z270" s="266"/>
    </row>
    <row r="271" spans="1:26" ht="27" hidden="1" customHeight="1">
      <c r="A271" s="70" t="str">
        <f t="shared" si="57"/>
        <v/>
      </c>
      <c r="B271" s="70" t="str">
        <f t="shared" si="58"/>
        <v/>
      </c>
      <c r="C271" s="204" t="str" cm="1">
        <f t="array" ref="C271">IF(D271="","",
    IF(AND(ISNUMBER(D271), D271=INT(D271)),
        $V$6 &amp; " " &amp; (IFERROR(MAX($Y$12:$Y270), 0) + 1),
        IF(ISNUMBER(SEARCH(".", D271)), "", INDEX($C$12:$C271, MATCH(2, 1/($C$12:$C271 &lt;&gt; ""))))
    )
)</f>
        <v/>
      </c>
      <c r="D271" s="206"/>
      <c r="E271" s="206" t="str">
        <f>IF(AA271 = "", "",
    IF(ISNUMBER(SEARCH("Kiện", C271)),
       " GÓI " &amp; COUNTIF($C$13:C271, "*Kiện*") &amp; "/" &amp; COUNTIF($C$13:$C$1000, "*Kiện*") &amp; " " &amp; AA271,
       AA271)
)</f>
        <v/>
      </c>
      <c r="F271" s="206"/>
      <c r="G271" s="206"/>
      <c r="H271" s="206"/>
      <c r="I271" s="206"/>
      <c r="J271" s="206" t="str">
        <f t="shared" si="60"/>
        <v/>
      </c>
      <c r="K271" s="206" t="str">
        <f t="shared" si="62"/>
        <v/>
      </c>
      <c r="L271" s="206" t="str">
        <f t="shared" si="63"/>
        <v/>
      </c>
      <c r="M271" s="206" t="str">
        <f t="shared" si="64"/>
        <v/>
      </c>
      <c r="N271" s="206" t="str">
        <f t="shared" si="65"/>
        <v/>
      </c>
      <c r="O271" s="206" t="str">
        <f t="shared" si="66"/>
        <v/>
      </c>
      <c r="P271" s="84" t="str">
        <f t="shared" si="67"/>
        <v/>
      </c>
      <c r="Q271" s="205"/>
      <c r="R271" s="70" t="str">
        <f>IF(S271="IN",'BOM_Phan II'!$Y$3,"")</f>
        <v/>
      </c>
      <c r="S271" s="69" t="str">
        <f t="shared" si="59"/>
        <v/>
      </c>
      <c r="T271">
        <f t="shared" si="68"/>
        <v>3</v>
      </c>
      <c r="U271" t="str">
        <f t="shared" si="69"/>
        <v>KIỆN 14</v>
      </c>
      <c r="V271" t="str">
        <f t="shared" si="70"/>
        <v/>
      </c>
      <c r="W271" s="266"/>
      <c r="X271" s="266"/>
      <c r="Y271" s="266" t="str">
        <f t="shared" si="61"/>
        <v/>
      </c>
      <c r="Z271" s="266"/>
    </row>
    <row r="272" spans="1:26" ht="27" hidden="1" customHeight="1">
      <c r="A272" s="70" t="str">
        <f t="shared" si="57"/>
        <v/>
      </c>
      <c r="B272" s="70" t="str">
        <f t="shared" si="58"/>
        <v/>
      </c>
      <c r="C272" s="204" t="str" cm="1">
        <f t="array" ref="C272">IF(D272="","",
    IF(AND(ISNUMBER(D272), D272=INT(D272)),
        $V$6 &amp; " " &amp; (IFERROR(MAX($Y$12:$Y271), 0) + 1),
        IF(ISNUMBER(SEARCH(".", D272)), "", INDEX($C$12:$C272, MATCH(2, 1/($C$12:$C272 &lt;&gt; ""))))
    )
)</f>
        <v/>
      </c>
      <c r="D272" s="206"/>
      <c r="E272" s="206" t="str">
        <f>IF(AA272 = "", "",
    IF(ISNUMBER(SEARCH("Kiện", C272)),
       " GÓI " &amp; COUNTIF($C$13:C272, "*Kiện*") &amp; "/" &amp; COUNTIF($C$13:$C$1000, "*Kiện*") &amp; " " &amp; AA272,
       AA272)
)</f>
        <v/>
      </c>
      <c r="F272" s="206"/>
      <c r="G272" s="206"/>
      <c r="H272" s="206"/>
      <c r="I272" s="206"/>
      <c r="J272" s="206" t="str">
        <f t="shared" si="60"/>
        <v/>
      </c>
      <c r="K272" s="206" t="str">
        <f t="shared" si="62"/>
        <v/>
      </c>
      <c r="L272" s="206" t="str">
        <f t="shared" si="63"/>
        <v/>
      </c>
      <c r="M272" s="206" t="str">
        <f t="shared" si="64"/>
        <v/>
      </c>
      <c r="N272" s="206" t="str">
        <f t="shared" si="65"/>
        <v/>
      </c>
      <c r="O272" s="206" t="str">
        <f t="shared" si="66"/>
        <v/>
      </c>
      <c r="P272" s="84" t="str">
        <f t="shared" si="67"/>
        <v/>
      </c>
      <c r="Q272" s="205"/>
      <c r="R272" s="70" t="str">
        <f>IF(S272="IN",'BOM_Phan II'!$Y$3,"")</f>
        <v/>
      </c>
      <c r="S272" s="69" t="str">
        <f t="shared" si="59"/>
        <v/>
      </c>
      <c r="T272">
        <f t="shared" si="68"/>
        <v>3</v>
      </c>
      <c r="U272" t="str">
        <f t="shared" si="69"/>
        <v>KIỆN 14</v>
      </c>
      <c r="V272" t="str">
        <f t="shared" si="70"/>
        <v/>
      </c>
      <c r="W272" s="266"/>
      <c r="X272" s="266"/>
      <c r="Y272" s="266" t="str">
        <f t="shared" si="61"/>
        <v/>
      </c>
      <c r="Z272" s="266"/>
    </row>
    <row r="273" spans="1:26" ht="27" hidden="1" customHeight="1">
      <c r="A273" s="70" t="str">
        <f t="shared" si="57"/>
        <v/>
      </c>
      <c r="B273" s="70" t="str">
        <f t="shared" si="58"/>
        <v/>
      </c>
      <c r="C273" s="204" t="str" cm="1">
        <f t="array" ref="C273">IF(D273="","",
    IF(AND(ISNUMBER(D273), D273=INT(D273)),
        $V$6 &amp; " " &amp; (IFERROR(MAX($Y$12:$Y272), 0) + 1),
        IF(ISNUMBER(SEARCH(".", D273)), "", INDEX($C$12:$C273, MATCH(2, 1/($C$12:$C273 &lt;&gt; ""))))
    )
)</f>
        <v/>
      </c>
      <c r="D273" s="206"/>
      <c r="E273" s="206" t="str">
        <f>IF(AA273 = "", "",
    IF(ISNUMBER(SEARCH("Kiện", C273)),
       " GÓI " &amp; COUNTIF($C$13:C273, "*Kiện*") &amp; "/" &amp; COUNTIF($C$13:$C$1000, "*Kiện*") &amp; " " &amp; AA273,
       AA273)
)</f>
        <v/>
      </c>
      <c r="F273" s="206"/>
      <c r="G273" s="206"/>
      <c r="H273" s="206"/>
      <c r="I273" s="206"/>
      <c r="J273" s="206" t="str">
        <f t="shared" si="60"/>
        <v/>
      </c>
      <c r="K273" s="206" t="str">
        <f t="shared" si="62"/>
        <v/>
      </c>
      <c r="L273" s="206" t="str">
        <f t="shared" si="63"/>
        <v/>
      </c>
      <c r="M273" s="206" t="str">
        <f t="shared" si="64"/>
        <v/>
      </c>
      <c r="N273" s="206" t="str">
        <f t="shared" si="65"/>
        <v/>
      </c>
      <c r="O273" s="206" t="str">
        <f t="shared" si="66"/>
        <v/>
      </c>
      <c r="P273" s="84" t="str">
        <f t="shared" si="67"/>
        <v/>
      </c>
      <c r="Q273" s="205"/>
      <c r="R273" s="70" t="str">
        <f>IF(S273="IN",'BOM_Phan II'!$Y$3,"")</f>
        <v/>
      </c>
      <c r="S273" s="69" t="str">
        <f t="shared" si="59"/>
        <v/>
      </c>
      <c r="T273">
        <f t="shared" si="68"/>
        <v>3</v>
      </c>
      <c r="U273" t="str">
        <f t="shared" si="69"/>
        <v>KIỆN 14</v>
      </c>
      <c r="V273" t="str">
        <f t="shared" si="70"/>
        <v/>
      </c>
      <c r="W273" s="266"/>
      <c r="X273" s="266"/>
      <c r="Y273" s="266" t="str">
        <f t="shared" si="61"/>
        <v/>
      </c>
      <c r="Z273" s="266"/>
    </row>
    <row r="274" spans="1:26" ht="27" hidden="1" customHeight="1">
      <c r="A274" s="70" t="str">
        <f t="shared" si="57"/>
        <v/>
      </c>
      <c r="B274" s="70" t="str">
        <f t="shared" si="58"/>
        <v/>
      </c>
      <c r="C274" s="204" t="str" cm="1">
        <f t="array" ref="C274">IF(D274="","",
    IF(AND(ISNUMBER(D274), D274=INT(D274)),
        $V$6 &amp; " " &amp; (IFERROR(MAX($Y$12:$Y273), 0) + 1),
        IF(ISNUMBER(SEARCH(".", D274)), "", INDEX($C$12:$C274, MATCH(2, 1/($C$12:$C274 &lt;&gt; ""))))
    )
)</f>
        <v/>
      </c>
      <c r="D274" s="206"/>
      <c r="E274" s="206" t="str">
        <f>IF(AA274 = "", "",
    IF(ISNUMBER(SEARCH("Kiện", C274)),
       " GÓI " &amp; COUNTIF($C$13:C274, "*Kiện*") &amp; "/" &amp; COUNTIF($C$13:$C$1000, "*Kiện*") &amp; " " &amp; AA274,
       AA274)
)</f>
        <v/>
      </c>
      <c r="F274" s="206"/>
      <c r="G274" s="206"/>
      <c r="H274" s="206"/>
      <c r="I274" s="206"/>
      <c r="J274" s="206" t="str">
        <f t="shared" si="60"/>
        <v/>
      </c>
      <c r="K274" s="206" t="str">
        <f t="shared" si="62"/>
        <v/>
      </c>
      <c r="L274" s="206" t="str">
        <f t="shared" si="63"/>
        <v/>
      </c>
      <c r="M274" s="206" t="str">
        <f t="shared" si="64"/>
        <v/>
      </c>
      <c r="N274" s="206" t="str">
        <f t="shared" si="65"/>
        <v/>
      </c>
      <c r="O274" s="206" t="str">
        <f t="shared" si="66"/>
        <v/>
      </c>
      <c r="P274" s="84" t="str">
        <f t="shared" si="67"/>
        <v/>
      </c>
      <c r="Q274" s="205"/>
      <c r="R274" s="70" t="str">
        <f>IF(S274="IN",'BOM_Phan II'!$Y$3,"")</f>
        <v/>
      </c>
      <c r="S274" s="69" t="str">
        <f t="shared" si="59"/>
        <v/>
      </c>
      <c r="T274">
        <f t="shared" si="68"/>
        <v>3</v>
      </c>
      <c r="U274" t="str">
        <f t="shared" si="69"/>
        <v>KIỆN 14</v>
      </c>
      <c r="V274" t="str">
        <f t="shared" si="70"/>
        <v/>
      </c>
      <c r="W274" s="266"/>
      <c r="X274" s="266"/>
      <c r="Y274" s="266" t="str">
        <f t="shared" si="61"/>
        <v/>
      </c>
      <c r="Z274" s="266"/>
    </row>
    <row r="275" spans="1:26" ht="27" hidden="1" customHeight="1">
      <c r="A275" s="70" t="str">
        <f t="shared" si="57"/>
        <v/>
      </c>
      <c r="B275" s="70" t="str">
        <f t="shared" si="58"/>
        <v/>
      </c>
      <c r="C275" s="204" t="str" cm="1">
        <f t="array" ref="C275">IF(D275="","",
    IF(AND(ISNUMBER(D275), D275=INT(D275)),
        $V$6 &amp; " " &amp; (IFERROR(MAX($Y$12:$Y274), 0) + 1),
        IF(ISNUMBER(SEARCH(".", D275)), "", INDEX($C$12:$C275, MATCH(2, 1/($C$12:$C275 &lt;&gt; ""))))
    )
)</f>
        <v/>
      </c>
      <c r="D275" s="206"/>
      <c r="E275" s="206" t="str">
        <f>IF(AA275 = "", "",
    IF(ISNUMBER(SEARCH("Kiện", C275)),
       " GÓI " &amp; COUNTIF($C$13:C275, "*Kiện*") &amp; "/" &amp; COUNTIF($C$13:$C$1000, "*Kiện*") &amp; " " &amp; AA275,
       AA275)
)</f>
        <v/>
      </c>
      <c r="F275" s="206"/>
      <c r="G275" s="206"/>
      <c r="H275" s="206"/>
      <c r="I275" s="206"/>
      <c r="J275" s="206" t="str">
        <f t="shared" si="60"/>
        <v/>
      </c>
      <c r="K275" s="206" t="str">
        <f t="shared" si="62"/>
        <v/>
      </c>
      <c r="L275" s="206" t="str">
        <f t="shared" si="63"/>
        <v/>
      </c>
      <c r="M275" s="206" t="str">
        <f t="shared" si="64"/>
        <v/>
      </c>
      <c r="N275" s="206" t="str">
        <f t="shared" si="65"/>
        <v/>
      </c>
      <c r="O275" s="206" t="str">
        <f t="shared" si="66"/>
        <v/>
      </c>
      <c r="P275" s="84" t="str">
        <f t="shared" si="67"/>
        <v/>
      </c>
      <c r="Q275" s="205"/>
      <c r="R275" s="70" t="str">
        <f>IF(S275="IN",'BOM_Phan II'!$Y$3,"")</f>
        <v/>
      </c>
      <c r="S275" s="69" t="str">
        <f t="shared" si="59"/>
        <v/>
      </c>
      <c r="T275">
        <f t="shared" si="68"/>
        <v>3</v>
      </c>
      <c r="U275" t="str">
        <f t="shared" si="69"/>
        <v>KIỆN 14</v>
      </c>
      <c r="V275" t="str">
        <f t="shared" si="70"/>
        <v/>
      </c>
      <c r="W275" s="266"/>
      <c r="X275" s="266"/>
      <c r="Y275" s="266" t="str">
        <f t="shared" si="61"/>
        <v/>
      </c>
      <c r="Z275" s="266"/>
    </row>
    <row r="276" spans="1:26" ht="27" hidden="1" customHeight="1">
      <c r="A276" s="70" t="str">
        <f t="shared" si="57"/>
        <v/>
      </c>
      <c r="B276" s="70" t="str">
        <f t="shared" si="58"/>
        <v/>
      </c>
      <c r="C276" s="204" t="str" cm="1">
        <f t="array" ref="C276">IF(D276="","",
    IF(AND(ISNUMBER(D276), D276=INT(D276)),
        $V$6 &amp; " " &amp; (IFERROR(MAX($Y$12:$Y275), 0) + 1),
        IF(ISNUMBER(SEARCH(".", D276)), "", INDEX($C$12:$C276, MATCH(2, 1/($C$12:$C276 &lt;&gt; ""))))
    )
)</f>
        <v/>
      </c>
      <c r="D276" s="206"/>
      <c r="E276" s="206" t="str">
        <f>IF(AA276 = "", "",
    IF(ISNUMBER(SEARCH("Kiện", C276)),
       " GÓI " &amp; COUNTIF($C$13:C276, "*Kiện*") &amp; "/" &amp; COUNTIF($C$13:$C$1000, "*Kiện*") &amp; " " &amp; AA276,
       AA276)
)</f>
        <v/>
      </c>
      <c r="F276" s="206"/>
      <c r="G276" s="206"/>
      <c r="H276" s="206"/>
      <c r="I276" s="206"/>
      <c r="J276" s="206" t="str">
        <f t="shared" si="60"/>
        <v/>
      </c>
      <c r="K276" s="206" t="str">
        <f t="shared" si="62"/>
        <v/>
      </c>
      <c r="L276" s="206" t="str">
        <f t="shared" si="63"/>
        <v/>
      </c>
      <c r="M276" s="206" t="str">
        <f t="shared" si="64"/>
        <v/>
      </c>
      <c r="N276" s="206" t="str">
        <f t="shared" si="65"/>
        <v/>
      </c>
      <c r="O276" s="206" t="str">
        <f t="shared" si="66"/>
        <v/>
      </c>
      <c r="P276" s="84" t="str">
        <f t="shared" si="67"/>
        <v/>
      </c>
      <c r="Q276" s="205"/>
      <c r="R276" s="70" t="str">
        <f>IF(S276="IN",'BOM_Phan II'!$Y$3,"")</f>
        <v/>
      </c>
      <c r="S276" s="69" t="str">
        <f t="shared" si="59"/>
        <v/>
      </c>
      <c r="T276">
        <f t="shared" si="68"/>
        <v>3</v>
      </c>
      <c r="U276" t="str">
        <f t="shared" si="69"/>
        <v>KIỆN 14</v>
      </c>
      <c r="V276" t="str">
        <f t="shared" si="70"/>
        <v/>
      </c>
      <c r="W276" s="266"/>
      <c r="X276" s="266"/>
      <c r="Y276" s="266" t="str">
        <f t="shared" si="61"/>
        <v/>
      </c>
      <c r="Z276" s="266"/>
    </row>
    <row r="277" spans="1:26" ht="27" hidden="1" customHeight="1">
      <c r="A277" s="70" t="str">
        <f t="shared" si="57"/>
        <v/>
      </c>
      <c r="B277" s="70" t="str">
        <f t="shared" si="58"/>
        <v/>
      </c>
      <c r="C277" s="204" t="str" cm="1">
        <f t="array" ref="C277">IF(D277="","",
    IF(AND(ISNUMBER(D277), D277=INT(D277)),
        $V$6 &amp; " " &amp; (IFERROR(MAX($Y$12:$Y276), 0) + 1),
        IF(ISNUMBER(SEARCH(".", D277)), "", INDEX($C$12:$C277, MATCH(2, 1/($C$12:$C277 &lt;&gt; ""))))
    )
)</f>
        <v/>
      </c>
      <c r="D277" s="206"/>
      <c r="E277" s="206" t="str">
        <f>IF(AA277 = "", "",
    IF(ISNUMBER(SEARCH("Kiện", C277)),
       " GÓI " &amp; COUNTIF($C$13:C277, "*Kiện*") &amp; "/" &amp; COUNTIF($C$13:$C$1000, "*Kiện*") &amp; " " &amp; AA277,
       AA277)
)</f>
        <v/>
      </c>
      <c r="F277" s="206"/>
      <c r="G277" s="206"/>
      <c r="H277" s="206"/>
      <c r="I277" s="206"/>
      <c r="J277" s="206" t="str">
        <f t="shared" si="60"/>
        <v/>
      </c>
      <c r="K277" s="206" t="str">
        <f t="shared" si="62"/>
        <v/>
      </c>
      <c r="L277" s="206" t="str">
        <f t="shared" si="63"/>
        <v/>
      </c>
      <c r="M277" s="206" t="str">
        <f t="shared" si="64"/>
        <v/>
      </c>
      <c r="N277" s="206" t="str">
        <f t="shared" si="65"/>
        <v/>
      </c>
      <c r="O277" s="206" t="str">
        <f t="shared" si="66"/>
        <v/>
      </c>
      <c r="P277" s="84" t="str">
        <f t="shared" si="67"/>
        <v/>
      </c>
      <c r="Q277" s="205"/>
      <c r="R277" s="70" t="str">
        <f>IF(S277="IN",'BOM_Phan II'!$Y$3,"")</f>
        <v/>
      </c>
      <c r="S277" s="69" t="str">
        <f t="shared" si="59"/>
        <v/>
      </c>
      <c r="T277">
        <f t="shared" si="68"/>
        <v>3</v>
      </c>
      <c r="U277" t="str">
        <f t="shared" si="69"/>
        <v>KIỆN 14</v>
      </c>
      <c r="V277" t="str">
        <f t="shared" si="70"/>
        <v/>
      </c>
      <c r="W277" s="266"/>
      <c r="X277" s="266"/>
      <c r="Y277" s="266" t="str">
        <f t="shared" si="61"/>
        <v/>
      </c>
      <c r="Z277" s="266"/>
    </row>
    <row r="278" spans="1:26" ht="27" hidden="1" customHeight="1">
      <c r="A278" s="70" t="str">
        <f t="shared" si="57"/>
        <v/>
      </c>
      <c r="B278" s="70" t="str">
        <f t="shared" si="58"/>
        <v/>
      </c>
      <c r="C278" s="204" t="str" cm="1">
        <f t="array" ref="C278">IF(D278="","",
    IF(AND(ISNUMBER(D278), D278=INT(D278)),
        $V$6 &amp; " " &amp; (IFERROR(MAX($Y$12:$Y277), 0) + 1),
        IF(ISNUMBER(SEARCH(".", D278)), "", INDEX($C$12:$C278, MATCH(2, 1/($C$12:$C278 &lt;&gt; ""))))
    )
)</f>
        <v/>
      </c>
      <c r="D278" s="206"/>
      <c r="E278" s="206" t="str">
        <f>IF(AA278 = "", "",
    IF(ISNUMBER(SEARCH("Kiện", C278)),
       " GÓI " &amp; COUNTIF($C$13:C278, "*Kiện*") &amp; "/" &amp; COUNTIF($C$13:$C$1000, "*Kiện*") &amp; " " &amp; AA278,
       AA278)
)</f>
        <v/>
      </c>
      <c r="F278" s="206"/>
      <c r="G278" s="206"/>
      <c r="H278" s="206"/>
      <c r="I278" s="206"/>
      <c r="J278" s="206" t="str">
        <f t="shared" si="60"/>
        <v/>
      </c>
      <c r="K278" s="206" t="str">
        <f t="shared" si="62"/>
        <v/>
      </c>
      <c r="L278" s="206" t="str">
        <f t="shared" si="63"/>
        <v/>
      </c>
      <c r="M278" s="206" t="str">
        <f t="shared" si="64"/>
        <v/>
      </c>
      <c r="N278" s="206" t="str">
        <f t="shared" si="65"/>
        <v/>
      </c>
      <c r="O278" s="206" t="str">
        <f t="shared" si="66"/>
        <v/>
      </c>
      <c r="P278" s="84" t="str">
        <f t="shared" si="67"/>
        <v/>
      </c>
      <c r="Q278" s="205"/>
      <c r="R278" s="70" t="str">
        <f>IF(S278="IN",'BOM_Phan II'!$Y$3,"")</f>
        <v/>
      </c>
      <c r="S278" s="69" t="str">
        <f t="shared" si="59"/>
        <v/>
      </c>
      <c r="T278">
        <f t="shared" si="68"/>
        <v>3</v>
      </c>
      <c r="U278" t="str">
        <f t="shared" si="69"/>
        <v>KIỆN 14</v>
      </c>
      <c r="V278" t="str">
        <f t="shared" si="70"/>
        <v/>
      </c>
      <c r="W278" s="266"/>
      <c r="X278" s="266"/>
      <c r="Y278" s="266" t="str">
        <f t="shared" si="61"/>
        <v/>
      </c>
      <c r="Z278" s="266"/>
    </row>
    <row r="279" spans="1:26" ht="27" hidden="1" customHeight="1">
      <c r="A279" s="70" t="str">
        <f t="shared" si="57"/>
        <v/>
      </c>
      <c r="B279" s="70" t="str">
        <f t="shared" si="58"/>
        <v/>
      </c>
      <c r="C279" s="204" t="str" cm="1">
        <f t="array" ref="C279">IF(D279="","",
    IF(AND(ISNUMBER(D279), D279=INT(D279)),
        $V$6 &amp; " " &amp; (IFERROR(MAX($Y$12:$Y278), 0) + 1),
        IF(ISNUMBER(SEARCH(".", D279)), "", INDEX($C$12:$C279, MATCH(2, 1/($C$12:$C279 &lt;&gt; ""))))
    )
)</f>
        <v/>
      </c>
      <c r="D279" s="206"/>
      <c r="E279" s="206" t="str">
        <f>IF(AA279 = "", "",
    IF(ISNUMBER(SEARCH("Kiện", C279)),
       " GÓI " &amp; COUNTIF($C$13:C279, "*Kiện*") &amp; "/" &amp; COUNTIF($C$13:$C$1000, "*Kiện*") &amp; " " &amp; AA279,
       AA279)
)</f>
        <v/>
      </c>
      <c r="F279" s="206"/>
      <c r="G279" s="206"/>
      <c r="H279" s="206"/>
      <c r="I279" s="206"/>
      <c r="J279" s="206" t="str">
        <f t="shared" si="60"/>
        <v/>
      </c>
      <c r="K279" s="206" t="str">
        <f t="shared" si="62"/>
        <v/>
      </c>
      <c r="L279" s="206" t="str">
        <f t="shared" si="63"/>
        <v/>
      </c>
      <c r="M279" s="206" t="str">
        <f t="shared" si="64"/>
        <v/>
      </c>
      <c r="N279" s="206" t="str">
        <f t="shared" si="65"/>
        <v/>
      </c>
      <c r="O279" s="206" t="str">
        <f t="shared" si="66"/>
        <v/>
      </c>
      <c r="P279" s="84" t="str">
        <f t="shared" si="67"/>
        <v/>
      </c>
      <c r="Q279" s="205"/>
      <c r="R279" s="70" t="str">
        <f>IF(S279="IN",'BOM_Phan II'!$Y$3,"")</f>
        <v/>
      </c>
      <c r="S279" s="69" t="str">
        <f t="shared" si="59"/>
        <v/>
      </c>
      <c r="T279">
        <f t="shared" si="68"/>
        <v>3</v>
      </c>
      <c r="U279" t="str">
        <f t="shared" si="69"/>
        <v>KIỆN 14</v>
      </c>
      <c r="V279" t="str">
        <f t="shared" si="70"/>
        <v/>
      </c>
      <c r="W279" s="266"/>
      <c r="X279" s="266"/>
      <c r="Y279" s="266" t="str">
        <f t="shared" si="61"/>
        <v/>
      </c>
      <c r="Z279" s="266"/>
    </row>
    <row r="280" spans="1:26" ht="27" hidden="1" customHeight="1">
      <c r="A280" s="70" t="str">
        <f t="shared" si="57"/>
        <v/>
      </c>
      <c r="B280" s="70" t="str">
        <f t="shared" si="58"/>
        <v/>
      </c>
      <c r="C280" s="204" t="str" cm="1">
        <f t="array" ref="C280">IF(D280="","",
    IF(AND(ISNUMBER(D280), D280=INT(D280)),
        $V$6 &amp; " " &amp; (IFERROR(MAX($Y$12:$Y279), 0) + 1),
        IF(ISNUMBER(SEARCH(".", D280)), "", INDEX($C$12:$C280, MATCH(2, 1/($C$12:$C280 &lt;&gt; ""))))
    )
)</f>
        <v/>
      </c>
      <c r="D280" s="206"/>
      <c r="E280" s="206" t="str">
        <f>IF(AA280 = "", "",
    IF(ISNUMBER(SEARCH("Kiện", C280)),
       " GÓI " &amp; COUNTIF($C$13:C280, "*Kiện*") &amp; "/" &amp; COUNTIF($C$13:$C$1000, "*Kiện*") &amp; " " &amp; AA280,
       AA280)
)</f>
        <v/>
      </c>
      <c r="F280" s="206"/>
      <c r="G280" s="206"/>
      <c r="H280" s="206"/>
      <c r="I280" s="206"/>
      <c r="J280" s="206" t="str">
        <f t="shared" si="60"/>
        <v/>
      </c>
      <c r="K280" s="206" t="str">
        <f t="shared" si="62"/>
        <v/>
      </c>
      <c r="L280" s="206" t="str">
        <f t="shared" si="63"/>
        <v/>
      </c>
      <c r="M280" s="206" t="str">
        <f t="shared" si="64"/>
        <v/>
      </c>
      <c r="N280" s="206" t="str">
        <f t="shared" si="65"/>
        <v/>
      </c>
      <c r="O280" s="206" t="str">
        <f t="shared" si="66"/>
        <v/>
      </c>
      <c r="P280" s="84" t="str">
        <f t="shared" si="67"/>
        <v/>
      </c>
      <c r="Q280" s="205"/>
      <c r="R280" s="70" t="str">
        <f>IF(S280="IN",'BOM_Phan II'!$Y$3,"")</f>
        <v/>
      </c>
      <c r="S280" s="69" t="str">
        <f t="shared" si="59"/>
        <v/>
      </c>
      <c r="T280">
        <f t="shared" si="68"/>
        <v>3</v>
      </c>
      <c r="U280" t="str">
        <f t="shared" si="69"/>
        <v>KIỆN 14</v>
      </c>
      <c r="V280" t="str">
        <f t="shared" si="70"/>
        <v/>
      </c>
      <c r="W280" s="266"/>
      <c r="X280" s="266"/>
      <c r="Y280" s="266" t="str">
        <f t="shared" si="61"/>
        <v/>
      </c>
      <c r="Z280" s="266"/>
    </row>
    <row r="281" spans="1:26" ht="27" hidden="1" customHeight="1">
      <c r="A281" s="70" t="str">
        <f t="shared" si="57"/>
        <v/>
      </c>
      <c r="B281" s="70" t="str">
        <f t="shared" si="58"/>
        <v/>
      </c>
      <c r="C281" s="204" t="str" cm="1">
        <f t="array" ref="C281">IF(D281="","",
    IF(AND(ISNUMBER(D281), D281=INT(D281)),
        $V$6 &amp; " " &amp; (IFERROR(MAX($Y$12:$Y280), 0) + 1),
        IF(ISNUMBER(SEARCH(".", D281)), "", INDEX($C$12:$C281, MATCH(2, 1/($C$12:$C281 &lt;&gt; ""))))
    )
)</f>
        <v/>
      </c>
      <c r="D281" s="206"/>
      <c r="E281" s="206" t="str">
        <f>IF(AA281 = "", "",
    IF(ISNUMBER(SEARCH("Kiện", C281)),
       " GÓI " &amp; COUNTIF($C$13:C281, "*Kiện*") &amp; "/" &amp; COUNTIF($C$13:$C$1000, "*Kiện*") &amp; " " &amp; AA281,
       AA281)
)</f>
        <v/>
      </c>
      <c r="F281" s="206"/>
      <c r="G281" s="206"/>
      <c r="H281" s="206"/>
      <c r="I281" s="206"/>
      <c r="J281" s="206" t="str">
        <f t="shared" si="60"/>
        <v/>
      </c>
      <c r="K281" s="206" t="str">
        <f t="shared" si="62"/>
        <v/>
      </c>
      <c r="L281" s="206" t="str">
        <f t="shared" si="63"/>
        <v/>
      </c>
      <c r="M281" s="206" t="str">
        <f t="shared" si="64"/>
        <v/>
      </c>
      <c r="N281" s="206" t="str">
        <f t="shared" si="65"/>
        <v/>
      </c>
      <c r="O281" s="206" t="str">
        <f t="shared" si="66"/>
        <v/>
      </c>
      <c r="P281" s="84" t="str">
        <f t="shared" si="67"/>
        <v/>
      </c>
      <c r="Q281" s="205"/>
      <c r="R281" s="70" t="str">
        <f>IF(S281="IN",'BOM_Phan II'!$Y$3,"")</f>
        <v/>
      </c>
      <c r="S281" s="69" t="str">
        <f t="shared" si="59"/>
        <v/>
      </c>
      <c r="T281">
        <f t="shared" si="68"/>
        <v>3</v>
      </c>
      <c r="U281" t="str">
        <f t="shared" si="69"/>
        <v>KIỆN 14</v>
      </c>
      <c r="V281" t="str">
        <f t="shared" si="70"/>
        <v/>
      </c>
      <c r="W281" s="266"/>
      <c r="X281" s="266"/>
      <c r="Y281" s="266" t="str">
        <f t="shared" si="61"/>
        <v/>
      </c>
      <c r="Z281" s="266"/>
    </row>
    <row r="282" spans="1:26" ht="27" hidden="1" customHeight="1">
      <c r="A282" s="70" t="str">
        <f t="shared" si="57"/>
        <v/>
      </c>
      <c r="B282" s="70" t="str">
        <f t="shared" si="58"/>
        <v/>
      </c>
      <c r="C282" s="204" t="str" cm="1">
        <f t="array" ref="C282">IF(D282="","",
    IF(AND(ISNUMBER(D282), D282=INT(D282)),
        $V$6 &amp; " " &amp; (IFERROR(MAX($Y$12:$Y281), 0) + 1),
        IF(ISNUMBER(SEARCH(".", D282)), "", INDEX($C$12:$C282, MATCH(2, 1/($C$12:$C282 &lt;&gt; ""))))
    )
)</f>
        <v/>
      </c>
      <c r="D282" s="206"/>
      <c r="E282" s="206" t="str">
        <f>IF(AA282 = "", "",
    IF(ISNUMBER(SEARCH("Kiện", C282)),
       " GÓI " &amp; COUNTIF($C$13:C282, "*Kiện*") &amp; "/" &amp; COUNTIF($C$13:$C$1000, "*Kiện*") &amp; " " &amp; AA282,
       AA282)
)</f>
        <v/>
      </c>
      <c r="F282" s="206"/>
      <c r="G282" s="206"/>
      <c r="H282" s="206"/>
      <c r="I282" s="206"/>
      <c r="J282" s="206" t="str">
        <f t="shared" si="60"/>
        <v/>
      </c>
      <c r="K282" s="206" t="str">
        <f t="shared" si="62"/>
        <v/>
      </c>
      <c r="L282" s="206" t="str">
        <f t="shared" si="63"/>
        <v/>
      </c>
      <c r="M282" s="206" t="str">
        <f t="shared" si="64"/>
        <v/>
      </c>
      <c r="N282" s="206" t="str">
        <f t="shared" si="65"/>
        <v/>
      </c>
      <c r="O282" s="206" t="str">
        <f t="shared" si="66"/>
        <v/>
      </c>
      <c r="P282" s="84" t="str">
        <f t="shared" si="67"/>
        <v/>
      </c>
      <c r="Q282" s="205"/>
      <c r="R282" s="70" t="str">
        <f>IF(S282="IN",'BOM_Phan II'!$Y$3,"")</f>
        <v/>
      </c>
      <c r="S282" s="69" t="str">
        <f t="shared" si="59"/>
        <v/>
      </c>
      <c r="T282">
        <f t="shared" si="68"/>
        <v>3</v>
      </c>
      <c r="U282" t="str">
        <f t="shared" si="69"/>
        <v>KIỆN 14</v>
      </c>
      <c r="V282" t="str">
        <f t="shared" si="70"/>
        <v/>
      </c>
      <c r="W282" s="266"/>
      <c r="X282" s="266"/>
      <c r="Y282" s="266" t="str">
        <f t="shared" si="61"/>
        <v/>
      </c>
      <c r="Z282" s="266"/>
    </row>
    <row r="283" spans="1:26" ht="27" hidden="1" customHeight="1">
      <c r="A283" s="70" t="str">
        <f t="shared" si="57"/>
        <v/>
      </c>
      <c r="B283" s="70" t="str">
        <f t="shared" si="58"/>
        <v/>
      </c>
      <c r="C283" s="204" t="str" cm="1">
        <f t="array" ref="C283">IF(D283="","",
    IF(AND(ISNUMBER(D283), D283=INT(D283)),
        $V$6 &amp; " " &amp; (IFERROR(MAX($Y$12:$Y282), 0) + 1),
        IF(ISNUMBER(SEARCH(".", D283)), "", INDEX($C$12:$C283, MATCH(2, 1/($C$12:$C283 &lt;&gt; ""))))
    )
)</f>
        <v/>
      </c>
      <c r="D283" s="206"/>
      <c r="E283" s="206" t="str">
        <f>IF(AA283 = "", "",
    IF(ISNUMBER(SEARCH("Kiện", C283)),
       " GÓI " &amp; COUNTIF($C$13:C283, "*Kiện*") &amp; "/" &amp; COUNTIF($C$13:$C$1000, "*Kiện*") &amp; " " &amp; AA283,
       AA283)
)</f>
        <v/>
      </c>
      <c r="F283" s="206"/>
      <c r="G283" s="206"/>
      <c r="H283" s="206"/>
      <c r="I283" s="206"/>
      <c r="J283" s="206" t="str">
        <f t="shared" si="60"/>
        <v/>
      </c>
      <c r="K283" s="206" t="str">
        <f t="shared" si="62"/>
        <v/>
      </c>
      <c r="L283" s="206" t="str">
        <f t="shared" si="63"/>
        <v/>
      </c>
      <c r="M283" s="206" t="str">
        <f t="shared" si="64"/>
        <v/>
      </c>
      <c r="N283" s="206" t="str">
        <f t="shared" si="65"/>
        <v/>
      </c>
      <c r="O283" s="206" t="str">
        <f t="shared" si="66"/>
        <v/>
      </c>
      <c r="P283" s="84" t="str">
        <f t="shared" si="67"/>
        <v/>
      </c>
      <c r="Q283" s="205"/>
      <c r="R283" s="70" t="str">
        <f>IF(S283="IN",'BOM_Phan II'!$Y$3,"")</f>
        <v/>
      </c>
      <c r="S283" s="69" t="str">
        <f t="shared" si="59"/>
        <v/>
      </c>
      <c r="T283">
        <f t="shared" si="68"/>
        <v>3</v>
      </c>
      <c r="U283" t="str">
        <f t="shared" si="69"/>
        <v>KIỆN 14</v>
      </c>
      <c r="V283" t="str">
        <f t="shared" si="70"/>
        <v/>
      </c>
      <c r="W283" s="266"/>
      <c r="X283" s="266"/>
      <c r="Y283" s="266" t="str">
        <f t="shared" si="61"/>
        <v/>
      </c>
      <c r="Z283" s="266"/>
    </row>
    <row r="284" spans="1:26" ht="27" hidden="1" customHeight="1">
      <c r="A284" s="70" t="str">
        <f t="shared" si="57"/>
        <v/>
      </c>
      <c r="B284" s="70" t="str">
        <f t="shared" si="58"/>
        <v/>
      </c>
      <c r="C284" s="204" t="str" cm="1">
        <f t="array" ref="C284">IF(D284="","",
    IF(AND(ISNUMBER(D284), D284=INT(D284)),
        $V$6 &amp; " " &amp; (IFERROR(MAX($Y$12:$Y283), 0) + 1),
        IF(ISNUMBER(SEARCH(".", D284)), "", INDEX($C$12:$C284, MATCH(2, 1/($C$12:$C284 &lt;&gt; ""))))
    )
)</f>
        <v/>
      </c>
      <c r="D284" s="206"/>
      <c r="E284" s="206" t="str">
        <f>IF(AA284 = "", "",
    IF(ISNUMBER(SEARCH("Kiện", C284)),
       " GÓI " &amp; COUNTIF($C$13:C284, "*Kiện*") &amp; "/" &amp; COUNTIF($C$13:$C$1000, "*Kiện*") &amp; " " &amp; AA284,
       AA284)
)</f>
        <v/>
      </c>
      <c r="F284" s="206"/>
      <c r="G284" s="206"/>
      <c r="H284" s="206"/>
      <c r="I284" s="206"/>
      <c r="J284" s="206" t="str">
        <f t="shared" si="60"/>
        <v/>
      </c>
      <c r="K284" s="206" t="str">
        <f t="shared" si="62"/>
        <v/>
      </c>
      <c r="L284" s="206" t="str">
        <f t="shared" si="63"/>
        <v/>
      </c>
      <c r="M284" s="206" t="str">
        <f t="shared" si="64"/>
        <v/>
      </c>
      <c r="N284" s="206" t="str">
        <f t="shared" si="65"/>
        <v/>
      </c>
      <c r="O284" s="206" t="str">
        <f t="shared" si="66"/>
        <v/>
      </c>
      <c r="P284" s="84" t="str">
        <f t="shared" si="67"/>
        <v/>
      </c>
      <c r="Q284" s="205"/>
      <c r="R284" s="70" t="str">
        <f>IF(S284="IN",'BOM_Phan II'!$Y$3,"")</f>
        <v/>
      </c>
      <c r="S284" s="69" t="str">
        <f t="shared" si="59"/>
        <v/>
      </c>
      <c r="T284">
        <f t="shared" si="68"/>
        <v>3</v>
      </c>
      <c r="U284" t="str">
        <f t="shared" si="69"/>
        <v>KIỆN 14</v>
      </c>
      <c r="V284" t="str">
        <f t="shared" si="70"/>
        <v/>
      </c>
      <c r="W284" s="266"/>
      <c r="X284" s="266"/>
      <c r="Y284" s="266" t="str">
        <f t="shared" si="61"/>
        <v/>
      </c>
      <c r="Z284" s="266"/>
    </row>
    <row r="285" spans="1:26" ht="27" hidden="1" customHeight="1">
      <c r="A285" s="70" t="str">
        <f t="shared" si="57"/>
        <v/>
      </c>
      <c r="B285" s="70" t="str">
        <f t="shared" si="58"/>
        <v/>
      </c>
      <c r="C285" s="204" t="str" cm="1">
        <f t="array" ref="C285">IF(D285="","",
    IF(AND(ISNUMBER(D285), D285=INT(D285)),
        $V$6 &amp; " " &amp; (IFERROR(MAX($Y$12:$Y284), 0) + 1),
        IF(ISNUMBER(SEARCH(".", D285)), "", INDEX($C$12:$C285, MATCH(2, 1/($C$12:$C285 &lt;&gt; ""))))
    )
)</f>
        <v/>
      </c>
      <c r="D285" s="206"/>
      <c r="E285" s="206" t="str">
        <f>IF(AA285 = "", "",
    IF(ISNUMBER(SEARCH("Kiện", C285)),
       " GÓI " &amp; COUNTIF($C$13:C285, "*Kiện*") &amp; "/" &amp; COUNTIF($C$13:$C$1000, "*Kiện*") &amp; " " &amp; AA285,
       AA285)
)</f>
        <v/>
      </c>
      <c r="F285" s="206"/>
      <c r="G285" s="206"/>
      <c r="H285" s="206"/>
      <c r="I285" s="206"/>
      <c r="J285" s="206" t="str">
        <f t="shared" si="60"/>
        <v/>
      </c>
      <c r="K285" s="206" t="str">
        <f t="shared" si="62"/>
        <v/>
      </c>
      <c r="L285" s="206" t="str">
        <f t="shared" si="63"/>
        <v/>
      </c>
      <c r="M285" s="206" t="str">
        <f t="shared" si="64"/>
        <v/>
      </c>
      <c r="N285" s="206" t="str">
        <f t="shared" si="65"/>
        <v/>
      </c>
      <c r="O285" s="206" t="str">
        <f t="shared" si="66"/>
        <v/>
      </c>
      <c r="P285" s="84" t="str">
        <f t="shared" si="67"/>
        <v/>
      </c>
      <c r="Q285" s="205"/>
      <c r="R285" s="70" t="str">
        <f>IF(S285="IN",'BOM_Phan II'!$Y$3,"")</f>
        <v/>
      </c>
      <c r="S285" s="69" t="str">
        <f t="shared" si="59"/>
        <v/>
      </c>
      <c r="T285">
        <f t="shared" si="68"/>
        <v>3</v>
      </c>
      <c r="U285" t="str">
        <f t="shared" si="69"/>
        <v>KIỆN 14</v>
      </c>
      <c r="V285" t="str">
        <f t="shared" si="70"/>
        <v/>
      </c>
      <c r="W285" s="266"/>
      <c r="X285" s="266"/>
      <c r="Y285" s="266" t="str">
        <f t="shared" si="61"/>
        <v/>
      </c>
      <c r="Z285" s="266"/>
    </row>
    <row r="286" spans="1:26" ht="27" hidden="1" customHeight="1">
      <c r="A286" s="70" t="str">
        <f t="shared" si="57"/>
        <v/>
      </c>
      <c r="B286" s="70" t="str">
        <f t="shared" si="58"/>
        <v/>
      </c>
      <c r="C286" s="204" t="str" cm="1">
        <f t="array" ref="C286">IF(D286="","",
    IF(AND(ISNUMBER(D286), D286=INT(D286)),
        $V$6 &amp; " " &amp; (IFERROR(MAX($Y$12:$Y285), 0) + 1),
        IF(ISNUMBER(SEARCH(".", D286)), "", INDEX($C$12:$C286, MATCH(2, 1/($C$12:$C286 &lt;&gt; ""))))
    )
)</f>
        <v/>
      </c>
      <c r="D286" s="206"/>
      <c r="E286" s="206" t="str">
        <f>IF(AA286 = "", "",
    IF(ISNUMBER(SEARCH("Kiện", C286)),
       " GÓI " &amp; COUNTIF($C$13:C286, "*Kiện*") &amp; "/" &amp; COUNTIF($C$13:$C$1000, "*Kiện*") &amp; " " &amp; AA286,
       AA286)
)</f>
        <v/>
      </c>
      <c r="F286" s="206"/>
      <c r="G286" s="206"/>
      <c r="H286" s="206"/>
      <c r="I286" s="206"/>
      <c r="J286" s="206" t="str">
        <f t="shared" si="60"/>
        <v/>
      </c>
      <c r="K286" s="206" t="str">
        <f t="shared" si="62"/>
        <v/>
      </c>
      <c r="L286" s="206" t="str">
        <f t="shared" si="63"/>
        <v/>
      </c>
      <c r="M286" s="206" t="str">
        <f t="shared" si="64"/>
        <v/>
      </c>
      <c r="N286" s="206" t="str">
        <f t="shared" si="65"/>
        <v/>
      </c>
      <c r="O286" s="206" t="str">
        <f t="shared" si="66"/>
        <v/>
      </c>
      <c r="P286" s="84" t="str">
        <f t="shared" si="67"/>
        <v/>
      </c>
      <c r="Q286" s="205"/>
      <c r="R286" s="70" t="str">
        <f>IF(S286="IN",'BOM_Phan II'!$Y$3,"")</f>
        <v/>
      </c>
      <c r="S286" s="69" t="str">
        <f t="shared" si="59"/>
        <v/>
      </c>
      <c r="T286">
        <f t="shared" si="68"/>
        <v>3</v>
      </c>
      <c r="U286" t="str">
        <f t="shared" si="69"/>
        <v>KIỆN 14</v>
      </c>
      <c r="V286" t="str">
        <f t="shared" si="70"/>
        <v/>
      </c>
      <c r="W286" s="266"/>
      <c r="X286" s="266"/>
      <c r="Y286" s="266" t="str">
        <f t="shared" si="61"/>
        <v/>
      </c>
      <c r="Z286" s="266"/>
    </row>
    <row r="287" spans="1:26" ht="27" hidden="1" customHeight="1">
      <c r="A287" s="70" t="str">
        <f t="shared" si="57"/>
        <v/>
      </c>
      <c r="B287" s="70" t="str">
        <f t="shared" si="58"/>
        <v/>
      </c>
      <c r="C287" s="204" t="str" cm="1">
        <f t="array" ref="C287">IF(D287="","",
    IF(AND(ISNUMBER(D287), D287=INT(D287)),
        $V$6 &amp; " " &amp; (IFERROR(MAX($Y$12:$Y286), 0) + 1),
        IF(ISNUMBER(SEARCH(".", D287)), "", INDEX($C$12:$C287, MATCH(2, 1/($C$12:$C287 &lt;&gt; ""))))
    )
)</f>
        <v/>
      </c>
      <c r="D287" s="206"/>
      <c r="E287" s="206" t="str">
        <f>IF(AA287 = "", "",
    IF(ISNUMBER(SEARCH("Kiện", C287)),
       " GÓI " &amp; COUNTIF($C$13:C287, "*Kiện*") &amp; "/" &amp; COUNTIF($C$13:$C$1000, "*Kiện*") &amp; " " &amp; AA287,
       AA287)
)</f>
        <v/>
      </c>
      <c r="F287" s="206"/>
      <c r="G287" s="206"/>
      <c r="H287" s="206"/>
      <c r="I287" s="206"/>
      <c r="J287" s="206" t="str">
        <f t="shared" si="60"/>
        <v/>
      </c>
      <c r="K287" s="206" t="str">
        <f t="shared" si="62"/>
        <v/>
      </c>
      <c r="L287" s="206" t="str">
        <f t="shared" si="63"/>
        <v/>
      </c>
      <c r="M287" s="206" t="str">
        <f t="shared" si="64"/>
        <v/>
      </c>
      <c r="N287" s="206" t="str">
        <f t="shared" si="65"/>
        <v/>
      </c>
      <c r="O287" s="206" t="str">
        <f t="shared" si="66"/>
        <v/>
      </c>
      <c r="P287" s="84" t="str">
        <f t="shared" si="67"/>
        <v/>
      </c>
      <c r="Q287" s="205"/>
      <c r="R287" s="70" t="str">
        <f>IF(S287="IN",'BOM_Phan II'!$Y$3,"")</f>
        <v/>
      </c>
      <c r="S287" s="69" t="str">
        <f t="shared" si="59"/>
        <v/>
      </c>
      <c r="T287">
        <f t="shared" si="68"/>
        <v>3</v>
      </c>
      <c r="U287" t="str">
        <f t="shared" si="69"/>
        <v>KIỆN 14</v>
      </c>
      <c r="V287" t="str">
        <f t="shared" si="70"/>
        <v/>
      </c>
      <c r="W287" s="266"/>
      <c r="X287" s="266"/>
      <c r="Y287" s="266" t="str">
        <f t="shared" si="61"/>
        <v/>
      </c>
      <c r="Z287" s="266"/>
    </row>
    <row r="288" spans="1:26" ht="27" hidden="1" customHeight="1">
      <c r="A288" s="70" t="str">
        <f t="shared" si="57"/>
        <v/>
      </c>
      <c r="B288" s="70" t="str">
        <f t="shared" si="58"/>
        <v/>
      </c>
      <c r="C288" s="204" t="str" cm="1">
        <f t="array" ref="C288">IF(D288="","",
    IF(AND(ISNUMBER(D288), D288=INT(D288)),
        $V$6 &amp; " " &amp; (IFERROR(MAX($Y$12:$Y287), 0) + 1),
        IF(ISNUMBER(SEARCH(".", D288)), "", INDEX($C$12:$C288, MATCH(2, 1/($C$12:$C288 &lt;&gt; ""))))
    )
)</f>
        <v/>
      </c>
      <c r="D288" s="206"/>
      <c r="E288" s="206" t="str">
        <f>IF(AA288 = "", "",
    IF(ISNUMBER(SEARCH("Kiện", C288)),
       " GÓI " &amp; COUNTIF($C$13:C288, "*Kiện*") &amp; "/" &amp; COUNTIF($C$13:$C$1000, "*Kiện*") &amp; " " &amp; AA288,
       AA288)
)</f>
        <v/>
      </c>
      <c r="F288" s="206"/>
      <c r="G288" s="206"/>
      <c r="H288" s="206"/>
      <c r="I288" s="206"/>
      <c r="J288" s="206" t="str">
        <f t="shared" si="60"/>
        <v/>
      </c>
      <c r="K288" s="206" t="str">
        <f t="shared" si="62"/>
        <v/>
      </c>
      <c r="L288" s="206" t="str">
        <f t="shared" si="63"/>
        <v/>
      </c>
      <c r="M288" s="206" t="str">
        <f t="shared" si="64"/>
        <v/>
      </c>
      <c r="N288" s="206" t="str">
        <f t="shared" si="65"/>
        <v/>
      </c>
      <c r="O288" s="206" t="str">
        <f t="shared" si="66"/>
        <v/>
      </c>
      <c r="P288" s="84" t="str">
        <f t="shared" si="67"/>
        <v/>
      </c>
      <c r="Q288" s="205"/>
      <c r="R288" s="70" t="str">
        <f>IF(S288="IN",'BOM_Phan II'!$Y$3,"")</f>
        <v/>
      </c>
      <c r="S288" s="69" t="str">
        <f t="shared" si="59"/>
        <v/>
      </c>
      <c r="T288">
        <f t="shared" si="68"/>
        <v>3</v>
      </c>
      <c r="U288" t="str">
        <f t="shared" si="69"/>
        <v>KIỆN 14</v>
      </c>
      <c r="V288" t="str">
        <f t="shared" si="70"/>
        <v/>
      </c>
      <c r="W288" s="266"/>
      <c r="X288" s="266"/>
      <c r="Y288" s="266" t="str">
        <f t="shared" si="61"/>
        <v/>
      </c>
      <c r="Z288" s="266"/>
    </row>
    <row r="289" spans="1:26" ht="27" hidden="1" customHeight="1">
      <c r="A289" s="70" t="str">
        <f t="shared" si="57"/>
        <v/>
      </c>
      <c r="B289" s="70" t="str">
        <f t="shared" si="58"/>
        <v/>
      </c>
      <c r="C289" s="204" t="str" cm="1">
        <f t="array" ref="C289">IF(D289="","",
    IF(AND(ISNUMBER(D289), D289=INT(D289)),
        $V$6 &amp; " " &amp; (IFERROR(MAX($Y$12:$Y288), 0) + 1),
        IF(ISNUMBER(SEARCH(".", D289)), "", INDEX($C$12:$C289, MATCH(2, 1/($C$12:$C289 &lt;&gt; ""))))
    )
)</f>
        <v/>
      </c>
      <c r="D289" s="206"/>
      <c r="E289" s="206" t="str">
        <f>IF(AA289 = "", "",
    IF(ISNUMBER(SEARCH("Kiện", C289)),
       " GÓI " &amp; COUNTIF($C$13:C289, "*Kiện*") &amp; "/" &amp; COUNTIF($C$13:$C$1000, "*Kiện*") &amp; " " &amp; AA289,
       AA289)
)</f>
        <v/>
      </c>
      <c r="F289" s="206"/>
      <c r="G289" s="206"/>
      <c r="H289" s="206"/>
      <c r="I289" s="206"/>
      <c r="J289" s="206" t="str">
        <f t="shared" si="60"/>
        <v/>
      </c>
      <c r="K289" s="206" t="str">
        <f t="shared" si="62"/>
        <v/>
      </c>
      <c r="L289" s="206" t="str">
        <f t="shared" si="63"/>
        <v/>
      </c>
      <c r="M289" s="206" t="str">
        <f t="shared" si="64"/>
        <v/>
      </c>
      <c r="N289" s="206" t="str">
        <f t="shared" si="65"/>
        <v/>
      </c>
      <c r="O289" s="206" t="str">
        <f t="shared" si="66"/>
        <v/>
      </c>
      <c r="P289" s="84" t="str">
        <f t="shared" si="67"/>
        <v/>
      </c>
      <c r="Q289" s="205"/>
      <c r="R289" s="70" t="str">
        <f>IF(S289="IN",'BOM_Phan II'!$Y$3,"")</f>
        <v/>
      </c>
      <c r="S289" s="69" t="str">
        <f t="shared" si="59"/>
        <v/>
      </c>
      <c r="T289">
        <f t="shared" si="68"/>
        <v>3</v>
      </c>
      <c r="U289" t="str">
        <f t="shared" si="69"/>
        <v>KIỆN 14</v>
      </c>
      <c r="V289" t="str">
        <f t="shared" si="70"/>
        <v/>
      </c>
      <c r="W289" s="266"/>
      <c r="X289" s="266"/>
      <c r="Y289" s="266" t="str">
        <f t="shared" si="61"/>
        <v/>
      </c>
      <c r="Z289" s="266"/>
    </row>
    <row r="290" spans="1:26" ht="27" hidden="1" customHeight="1">
      <c r="A290" s="70" t="str">
        <f t="shared" si="57"/>
        <v/>
      </c>
      <c r="B290" s="70" t="str">
        <f t="shared" si="58"/>
        <v/>
      </c>
      <c r="C290" s="204" t="str" cm="1">
        <f t="array" ref="C290">IF(D290="","",
    IF(AND(ISNUMBER(D290), D290=INT(D290)),
        $V$6 &amp; " " &amp; (IFERROR(MAX($Y$12:$Y289), 0) + 1),
        IF(ISNUMBER(SEARCH(".", D290)), "", INDEX($C$12:$C290, MATCH(2, 1/($C$12:$C290 &lt;&gt; ""))))
    )
)</f>
        <v/>
      </c>
      <c r="D290" s="206"/>
      <c r="E290" s="206" t="str">
        <f>IF(AA290 = "", "",
    IF(ISNUMBER(SEARCH("Kiện", C290)),
       " GÓI " &amp; COUNTIF($C$13:C290, "*Kiện*") &amp; "/" &amp; COUNTIF($C$13:$C$1000, "*Kiện*") &amp; " " &amp; AA290,
       AA290)
)</f>
        <v/>
      </c>
      <c r="F290" s="206"/>
      <c r="G290" s="206"/>
      <c r="H290" s="206"/>
      <c r="I290" s="206"/>
      <c r="J290" s="206" t="str">
        <f t="shared" si="60"/>
        <v/>
      </c>
      <c r="K290" s="206" t="str">
        <f t="shared" si="62"/>
        <v/>
      </c>
      <c r="L290" s="206" t="str">
        <f t="shared" si="63"/>
        <v/>
      </c>
      <c r="M290" s="206" t="str">
        <f t="shared" si="64"/>
        <v/>
      </c>
      <c r="N290" s="206" t="str">
        <f t="shared" si="65"/>
        <v/>
      </c>
      <c r="O290" s="206" t="str">
        <f t="shared" si="66"/>
        <v/>
      </c>
      <c r="P290" s="84" t="str">
        <f t="shared" si="67"/>
        <v/>
      </c>
      <c r="Q290" s="205"/>
      <c r="R290" s="70" t="str">
        <f>IF(S290="IN",'BOM_Phan II'!$Y$3,"")</f>
        <v/>
      </c>
      <c r="S290" s="69" t="str">
        <f t="shared" si="59"/>
        <v/>
      </c>
      <c r="T290">
        <f t="shared" si="68"/>
        <v>3</v>
      </c>
      <c r="U290" t="str">
        <f t="shared" si="69"/>
        <v>KIỆN 14</v>
      </c>
      <c r="V290" t="str">
        <f t="shared" si="70"/>
        <v/>
      </c>
      <c r="W290" s="266"/>
      <c r="X290" s="266"/>
      <c r="Y290" s="266" t="str">
        <f t="shared" si="61"/>
        <v/>
      </c>
      <c r="Z290" s="266"/>
    </row>
    <row r="291" spans="1:26" ht="27" hidden="1" customHeight="1">
      <c r="A291" s="70" t="str">
        <f t="shared" si="57"/>
        <v/>
      </c>
      <c r="B291" s="70" t="str">
        <f t="shared" si="58"/>
        <v/>
      </c>
      <c r="C291" s="204" t="str" cm="1">
        <f t="array" ref="C291">IF(D291="","",
    IF(AND(ISNUMBER(D291), D291=INT(D291)),
        $V$6 &amp; " " &amp; (IFERROR(MAX($Y$12:$Y290), 0) + 1),
        IF(ISNUMBER(SEARCH(".", D291)), "", INDEX($C$12:$C291, MATCH(2, 1/($C$12:$C291 &lt;&gt; ""))))
    )
)</f>
        <v/>
      </c>
      <c r="D291" s="206"/>
      <c r="E291" s="206" t="str">
        <f>IF(AA291 = "", "",
    IF(ISNUMBER(SEARCH("Kiện", C291)),
       " GÓI " &amp; COUNTIF($C$13:C291, "*Kiện*") &amp; "/" &amp; COUNTIF($C$13:$C$1000, "*Kiện*") &amp; " " &amp; AA291,
       AA291)
)</f>
        <v/>
      </c>
      <c r="F291" s="206"/>
      <c r="G291" s="206"/>
      <c r="H291" s="206"/>
      <c r="I291" s="206"/>
      <c r="J291" s="206" t="str">
        <f t="shared" si="60"/>
        <v/>
      </c>
      <c r="K291" s="206" t="str">
        <f t="shared" si="62"/>
        <v/>
      </c>
      <c r="L291" s="206" t="str">
        <f t="shared" si="63"/>
        <v/>
      </c>
      <c r="M291" s="206" t="str">
        <f t="shared" si="64"/>
        <v/>
      </c>
      <c r="N291" s="206" t="str">
        <f t="shared" si="65"/>
        <v/>
      </c>
      <c r="O291" s="206" t="str">
        <f t="shared" si="66"/>
        <v/>
      </c>
      <c r="P291" s="84" t="str">
        <f t="shared" si="67"/>
        <v/>
      </c>
      <c r="Q291" s="205"/>
      <c r="R291" s="70" t="str">
        <f>IF(S291="IN",'BOM_Phan II'!$Y$3,"")</f>
        <v/>
      </c>
      <c r="S291" s="69" t="str">
        <f t="shared" si="59"/>
        <v/>
      </c>
      <c r="T291">
        <f t="shared" si="68"/>
        <v>3</v>
      </c>
      <c r="U291" t="str">
        <f t="shared" si="69"/>
        <v>KIỆN 14</v>
      </c>
      <c r="V291" t="str">
        <f t="shared" si="70"/>
        <v/>
      </c>
      <c r="W291" s="266"/>
      <c r="X291" s="266"/>
      <c r="Y291" s="266" t="str">
        <f t="shared" si="61"/>
        <v/>
      </c>
      <c r="Z291" s="266"/>
    </row>
    <row r="292" spans="1:26" ht="27" hidden="1" customHeight="1">
      <c r="A292" s="70" t="str">
        <f t="shared" si="57"/>
        <v/>
      </c>
      <c r="B292" s="70" t="str">
        <f t="shared" si="58"/>
        <v/>
      </c>
      <c r="C292" s="204" t="str" cm="1">
        <f t="array" ref="C292">IF(D292="","",
    IF(AND(ISNUMBER(D292), D292=INT(D292)),
        $V$6 &amp; " " &amp; (IFERROR(MAX($Y$12:$Y291), 0) + 1),
        IF(ISNUMBER(SEARCH(".", D292)), "", INDEX($C$12:$C292, MATCH(2, 1/($C$12:$C292 &lt;&gt; ""))))
    )
)</f>
        <v/>
      </c>
      <c r="D292" s="206"/>
      <c r="E292" s="206" t="str">
        <f>IF(AA292 = "", "",
    IF(ISNUMBER(SEARCH("Kiện", C292)),
       " GÓI " &amp; COUNTIF($C$13:C292, "*Kiện*") &amp; "/" &amp; COUNTIF($C$13:$C$1000, "*Kiện*") &amp; " " &amp; AA292,
       AA292)
)</f>
        <v/>
      </c>
      <c r="F292" s="206"/>
      <c r="G292" s="206"/>
      <c r="H292" s="206"/>
      <c r="I292" s="206"/>
      <c r="J292" s="206" t="str">
        <f t="shared" si="60"/>
        <v/>
      </c>
      <c r="K292" s="206" t="str">
        <f t="shared" si="62"/>
        <v/>
      </c>
      <c r="L292" s="206" t="str">
        <f t="shared" si="63"/>
        <v/>
      </c>
      <c r="M292" s="206" t="str">
        <f t="shared" si="64"/>
        <v/>
      </c>
      <c r="N292" s="206" t="str">
        <f t="shared" si="65"/>
        <v/>
      </c>
      <c r="O292" s="206" t="str">
        <f t="shared" si="66"/>
        <v/>
      </c>
      <c r="P292" s="84" t="str">
        <f t="shared" si="67"/>
        <v/>
      </c>
      <c r="Q292" s="205"/>
      <c r="R292" s="70" t="str">
        <f>IF(S292="IN",'BOM_Phan II'!$Y$3,"")</f>
        <v/>
      </c>
      <c r="S292" s="69" t="str">
        <f t="shared" si="59"/>
        <v/>
      </c>
      <c r="T292">
        <f t="shared" si="68"/>
        <v>3</v>
      </c>
      <c r="U292" t="str">
        <f t="shared" si="69"/>
        <v>KIỆN 14</v>
      </c>
      <c r="V292" t="str">
        <f t="shared" si="70"/>
        <v/>
      </c>
      <c r="W292" s="266"/>
      <c r="X292" s="266"/>
      <c r="Y292" s="266" t="str">
        <f t="shared" si="61"/>
        <v/>
      </c>
      <c r="Z292" s="266"/>
    </row>
    <row r="293" spans="1:26" ht="27" hidden="1" customHeight="1">
      <c r="A293" s="70" t="str">
        <f t="shared" si="57"/>
        <v/>
      </c>
      <c r="B293" s="70" t="str">
        <f t="shared" si="58"/>
        <v/>
      </c>
      <c r="C293" s="204" t="str" cm="1">
        <f t="array" ref="C293">IF(D293="","",
    IF(AND(ISNUMBER(D293), D293=INT(D293)),
        $V$6 &amp; " " &amp; (IFERROR(MAX($Y$12:$Y292), 0) + 1),
        IF(ISNUMBER(SEARCH(".", D293)), "", INDEX($C$12:$C293, MATCH(2, 1/($C$12:$C293 &lt;&gt; ""))))
    )
)</f>
        <v/>
      </c>
      <c r="D293" s="206"/>
      <c r="E293" s="206" t="str">
        <f>IF(AA293 = "", "",
    IF(ISNUMBER(SEARCH("Kiện", C293)),
       " GÓI " &amp; COUNTIF($C$13:C293, "*Kiện*") &amp; "/" &amp; COUNTIF($C$13:$C$1000, "*Kiện*") &amp; " " &amp; AA293,
       AA293)
)</f>
        <v/>
      </c>
      <c r="F293" s="206"/>
      <c r="G293" s="206"/>
      <c r="H293" s="206"/>
      <c r="I293" s="206"/>
      <c r="J293" s="206" t="str">
        <f t="shared" si="60"/>
        <v/>
      </c>
      <c r="K293" s="206" t="str">
        <f t="shared" si="62"/>
        <v/>
      </c>
      <c r="L293" s="206" t="str">
        <f t="shared" si="63"/>
        <v/>
      </c>
      <c r="M293" s="206" t="str">
        <f t="shared" si="64"/>
        <v/>
      </c>
      <c r="N293" s="206" t="str">
        <f t="shared" si="65"/>
        <v/>
      </c>
      <c r="O293" s="206" t="str">
        <f t="shared" si="66"/>
        <v/>
      </c>
      <c r="P293" s="84" t="str">
        <f t="shared" si="67"/>
        <v/>
      </c>
      <c r="Q293" s="205"/>
      <c r="R293" s="70" t="str">
        <f>IF(S293="IN",'BOM_Phan II'!$Y$3,"")</f>
        <v/>
      </c>
      <c r="S293" s="69" t="str">
        <f t="shared" si="59"/>
        <v/>
      </c>
      <c r="T293">
        <f t="shared" si="68"/>
        <v>3</v>
      </c>
      <c r="U293" t="str">
        <f t="shared" si="69"/>
        <v>KIỆN 14</v>
      </c>
      <c r="V293" t="str">
        <f t="shared" si="70"/>
        <v/>
      </c>
      <c r="W293" s="266"/>
      <c r="X293" s="266"/>
      <c r="Y293" s="266" t="str">
        <f t="shared" si="61"/>
        <v/>
      </c>
      <c r="Z293" s="266"/>
    </row>
    <row r="294" spans="1:26" ht="27" hidden="1" customHeight="1">
      <c r="A294" s="70" t="str">
        <f t="shared" si="57"/>
        <v/>
      </c>
      <c r="B294" s="70" t="str">
        <f t="shared" si="58"/>
        <v/>
      </c>
      <c r="C294" s="204" t="str" cm="1">
        <f t="array" ref="C294">IF(D294="","",
    IF(AND(ISNUMBER(D294), D294=INT(D294)),
        $V$6 &amp; " " &amp; (IFERROR(MAX($Y$12:$Y293), 0) + 1),
        IF(ISNUMBER(SEARCH(".", D294)), "", INDEX($C$12:$C294, MATCH(2, 1/($C$12:$C294 &lt;&gt; ""))))
    )
)</f>
        <v/>
      </c>
      <c r="D294" s="206"/>
      <c r="E294" s="206" t="str">
        <f>IF(AA294 = "", "",
    IF(ISNUMBER(SEARCH("Kiện", C294)),
       " GÓI " &amp; COUNTIF($C$13:C294, "*Kiện*") &amp; "/" &amp; COUNTIF($C$13:$C$1000, "*Kiện*") &amp; " " &amp; AA294,
       AA294)
)</f>
        <v/>
      </c>
      <c r="F294" s="206"/>
      <c r="G294" s="206"/>
      <c r="H294" s="206"/>
      <c r="I294" s="206"/>
      <c r="J294" s="206" t="str">
        <f t="shared" si="60"/>
        <v/>
      </c>
      <c r="K294" s="206" t="str">
        <f t="shared" si="62"/>
        <v/>
      </c>
      <c r="L294" s="206" t="str">
        <f t="shared" si="63"/>
        <v/>
      </c>
      <c r="M294" s="206" t="str">
        <f t="shared" si="64"/>
        <v/>
      </c>
      <c r="N294" s="206" t="str">
        <f t="shared" si="65"/>
        <v/>
      </c>
      <c r="O294" s="206" t="str">
        <f t="shared" si="66"/>
        <v/>
      </c>
      <c r="P294" s="84" t="str">
        <f t="shared" si="67"/>
        <v/>
      </c>
      <c r="Q294" s="205"/>
      <c r="R294" s="70" t="str">
        <f>IF(S294="IN",'BOM_Phan II'!$Y$3,"")</f>
        <v/>
      </c>
      <c r="S294" s="69" t="str">
        <f t="shared" si="59"/>
        <v/>
      </c>
      <c r="T294">
        <f t="shared" si="68"/>
        <v>3</v>
      </c>
      <c r="U294" t="str">
        <f t="shared" si="69"/>
        <v>KIỆN 14</v>
      </c>
      <c r="V294" t="str">
        <f t="shared" si="70"/>
        <v/>
      </c>
      <c r="W294" s="266"/>
      <c r="X294" s="266"/>
      <c r="Y294" s="266" t="str">
        <f t="shared" si="61"/>
        <v/>
      </c>
      <c r="Z294" s="266"/>
    </row>
    <row r="295" spans="1:26" ht="27" hidden="1" customHeight="1">
      <c r="A295" s="70" t="str">
        <f t="shared" si="57"/>
        <v/>
      </c>
      <c r="B295" s="70" t="str">
        <f t="shared" si="58"/>
        <v/>
      </c>
      <c r="C295" s="204" t="str" cm="1">
        <f t="array" ref="C295">IF(D295="","",
    IF(AND(ISNUMBER(D295), D295=INT(D295)),
        $V$6 &amp; " " &amp; (IFERROR(MAX($Y$12:$Y294), 0) + 1),
        IF(ISNUMBER(SEARCH(".", D295)), "", INDEX($C$12:$C295, MATCH(2, 1/($C$12:$C295 &lt;&gt; ""))))
    )
)</f>
        <v/>
      </c>
      <c r="D295" s="206"/>
      <c r="E295" s="206" t="str">
        <f>IF(AA295 = "", "",
    IF(ISNUMBER(SEARCH("Kiện", C295)),
       " GÓI " &amp; COUNTIF($C$13:C295, "*Kiện*") &amp; "/" &amp; COUNTIF($C$13:$C$1000, "*Kiện*") &amp; " " &amp; AA295,
       AA295)
)</f>
        <v/>
      </c>
      <c r="F295" s="206"/>
      <c r="G295" s="206"/>
      <c r="H295" s="206"/>
      <c r="I295" s="206"/>
      <c r="J295" s="206" t="str">
        <f t="shared" si="60"/>
        <v/>
      </c>
      <c r="K295" s="206" t="str">
        <f t="shared" si="62"/>
        <v/>
      </c>
      <c r="L295" s="206" t="str">
        <f t="shared" si="63"/>
        <v/>
      </c>
      <c r="M295" s="206" t="str">
        <f t="shared" si="64"/>
        <v/>
      </c>
      <c r="N295" s="206" t="str">
        <f t="shared" si="65"/>
        <v/>
      </c>
      <c r="O295" s="206" t="str">
        <f t="shared" si="66"/>
        <v/>
      </c>
      <c r="P295" s="84" t="str">
        <f t="shared" si="67"/>
        <v/>
      </c>
      <c r="Q295" s="205"/>
      <c r="R295" s="70" t="str">
        <f>IF(S295="IN",'BOM_Phan II'!$Y$3,"")</f>
        <v/>
      </c>
      <c r="S295" s="69" t="str">
        <f t="shared" si="59"/>
        <v/>
      </c>
      <c r="T295">
        <f t="shared" si="68"/>
        <v>3</v>
      </c>
      <c r="U295" t="str">
        <f t="shared" si="69"/>
        <v>KIỆN 14</v>
      </c>
      <c r="V295" t="str">
        <f t="shared" si="70"/>
        <v/>
      </c>
      <c r="W295" s="266"/>
      <c r="X295" s="266"/>
      <c r="Y295" s="266" t="str">
        <f t="shared" si="61"/>
        <v/>
      </c>
      <c r="Z295" s="266"/>
    </row>
    <row r="296" spans="1:26" ht="27" hidden="1" customHeight="1">
      <c r="A296" s="70" t="str">
        <f t="shared" si="57"/>
        <v/>
      </c>
      <c r="B296" s="70" t="str">
        <f t="shared" si="58"/>
        <v/>
      </c>
      <c r="C296" s="204" t="str" cm="1">
        <f t="array" ref="C296">IF(D296="","",
    IF(AND(ISNUMBER(D296), D296=INT(D296)),
        $V$6 &amp; " " &amp; (IFERROR(MAX($Y$12:$Y295), 0) + 1),
        IF(ISNUMBER(SEARCH(".", D296)), "", INDEX($C$12:$C296, MATCH(2, 1/($C$12:$C296 &lt;&gt; ""))))
    )
)</f>
        <v/>
      </c>
      <c r="D296" s="206"/>
      <c r="E296" s="206" t="str">
        <f>IF(AA296 = "", "",
    IF(ISNUMBER(SEARCH("Kiện", C296)),
       " GÓI " &amp; COUNTIF($C$13:C296, "*Kiện*") &amp; "/" &amp; COUNTIF($C$13:$C$1000, "*Kiện*") &amp; " " &amp; AA296,
       AA296)
)</f>
        <v/>
      </c>
      <c r="F296" s="206"/>
      <c r="G296" s="206"/>
      <c r="H296" s="206"/>
      <c r="I296" s="206"/>
      <c r="J296" s="206" t="str">
        <f t="shared" si="60"/>
        <v/>
      </c>
      <c r="K296" s="206" t="str">
        <f t="shared" si="62"/>
        <v/>
      </c>
      <c r="L296" s="206" t="str">
        <f t="shared" si="63"/>
        <v/>
      </c>
      <c r="M296" s="206" t="str">
        <f t="shared" si="64"/>
        <v/>
      </c>
      <c r="N296" s="206" t="str">
        <f t="shared" si="65"/>
        <v/>
      </c>
      <c r="O296" s="206" t="str">
        <f t="shared" si="66"/>
        <v/>
      </c>
      <c r="P296" s="84" t="str">
        <f t="shared" si="67"/>
        <v/>
      </c>
      <c r="Q296" s="205"/>
      <c r="R296" s="70" t="str">
        <f>IF(S296="IN",'BOM_Phan II'!$Y$3,"")</f>
        <v/>
      </c>
      <c r="S296" s="69" t="str">
        <f t="shared" si="59"/>
        <v/>
      </c>
      <c r="T296">
        <f t="shared" si="68"/>
        <v>3</v>
      </c>
      <c r="U296" t="str">
        <f t="shared" si="69"/>
        <v>KIỆN 14</v>
      </c>
      <c r="V296" t="str">
        <f t="shared" si="70"/>
        <v/>
      </c>
      <c r="W296" s="266"/>
      <c r="X296" s="266"/>
      <c r="Y296" s="266" t="str">
        <f t="shared" si="61"/>
        <v/>
      </c>
      <c r="Z296" s="266"/>
    </row>
    <row r="297" spans="1:26" ht="27" hidden="1" customHeight="1">
      <c r="A297" s="70" t="str">
        <f t="shared" si="57"/>
        <v/>
      </c>
      <c r="B297" s="70" t="str">
        <f t="shared" si="58"/>
        <v/>
      </c>
      <c r="C297" s="204" t="str" cm="1">
        <f t="array" ref="C297">IF(D297="","",
    IF(AND(ISNUMBER(D297), D297=INT(D297)),
        $V$6 &amp; " " &amp; (IFERROR(MAX($Y$12:$Y296), 0) + 1),
        IF(ISNUMBER(SEARCH(".", D297)), "", INDEX($C$12:$C297, MATCH(2, 1/($C$12:$C297 &lt;&gt; ""))))
    )
)</f>
        <v/>
      </c>
      <c r="D297" s="206"/>
      <c r="E297" s="206" t="str">
        <f>IF(AA297 = "", "",
    IF(ISNUMBER(SEARCH("Kiện", C297)),
       " GÓI " &amp; COUNTIF($C$13:C297, "*Kiện*") &amp; "/" &amp; COUNTIF($C$13:$C$1000, "*Kiện*") &amp; " " &amp; AA297,
       AA297)
)</f>
        <v/>
      </c>
      <c r="F297" s="206"/>
      <c r="G297" s="206"/>
      <c r="H297" s="206"/>
      <c r="I297" s="206"/>
      <c r="J297" s="206" t="str">
        <f t="shared" si="60"/>
        <v/>
      </c>
      <c r="K297" s="206" t="str">
        <f t="shared" si="62"/>
        <v/>
      </c>
      <c r="L297" s="206" t="str">
        <f t="shared" si="63"/>
        <v/>
      </c>
      <c r="M297" s="206" t="str">
        <f t="shared" si="64"/>
        <v/>
      </c>
      <c r="N297" s="206" t="str">
        <f t="shared" si="65"/>
        <v/>
      </c>
      <c r="O297" s="206" t="str">
        <f t="shared" si="66"/>
        <v/>
      </c>
      <c r="P297" s="84" t="str">
        <f t="shared" si="67"/>
        <v/>
      </c>
      <c r="Q297" s="205"/>
      <c r="R297" s="70" t="str">
        <f>IF(S297="IN",'BOM_Phan II'!$Y$3,"")</f>
        <v/>
      </c>
      <c r="S297" s="69" t="str">
        <f t="shared" si="59"/>
        <v/>
      </c>
      <c r="T297">
        <f t="shared" si="68"/>
        <v>3</v>
      </c>
      <c r="U297" t="str">
        <f t="shared" si="69"/>
        <v>KIỆN 14</v>
      </c>
      <c r="V297" t="str">
        <f t="shared" si="70"/>
        <v/>
      </c>
      <c r="W297" s="266"/>
      <c r="X297" s="266"/>
      <c r="Y297" s="266" t="str">
        <f t="shared" si="61"/>
        <v/>
      </c>
      <c r="Z297" s="266"/>
    </row>
    <row r="298" spans="1:26" ht="27" hidden="1" customHeight="1">
      <c r="A298" s="70" t="str">
        <f t="shared" si="57"/>
        <v/>
      </c>
      <c r="B298" s="70" t="str">
        <f t="shared" si="58"/>
        <v/>
      </c>
      <c r="C298" s="204" t="str" cm="1">
        <f t="array" ref="C298">IF(D298="","",
    IF(AND(ISNUMBER(D298), D298=INT(D298)),
        $V$6 &amp; " " &amp; (IFERROR(MAX($Y$12:$Y297), 0) + 1),
        IF(ISNUMBER(SEARCH(".", D298)), "", INDEX($C$12:$C298, MATCH(2, 1/($C$12:$C298 &lt;&gt; ""))))
    )
)</f>
        <v/>
      </c>
      <c r="D298" s="206"/>
      <c r="E298" s="206" t="str">
        <f>IF(AA298 = "", "",
    IF(ISNUMBER(SEARCH("Kiện", C298)),
       " GÓI " &amp; COUNTIF($C$13:C298, "*Kiện*") &amp; "/" &amp; COUNTIF($C$13:$C$1000, "*Kiện*") &amp; " " &amp; AA298,
       AA298)
)</f>
        <v/>
      </c>
      <c r="F298" s="206"/>
      <c r="G298" s="206"/>
      <c r="H298" s="206"/>
      <c r="I298" s="206"/>
      <c r="J298" s="206" t="str">
        <f t="shared" si="60"/>
        <v/>
      </c>
      <c r="K298" s="206" t="str">
        <f t="shared" si="62"/>
        <v/>
      </c>
      <c r="L298" s="206" t="str">
        <f t="shared" si="63"/>
        <v/>
      </c>
      <c r="M298" s="206" t="str">
        <f t="shared" si="64"/>
        <v/>
      </c>
      <c r="N298" s="206" t="str">
        <f t="shared" si="65"/>
        <v/>
      </c>
      <c r="O298" s="206" t="str">
        <f t="shared" si="66"/>
        <v/>
      </c>
      <c r="P298" s="84" t="str">
        <f t="shared" si="67"/>
        <v/>
      </c>
      <c r="Q298" s="205"/>
      <c r="R298" s="70" t="str">
        <f>IF(S298="IN",'BOM_Phan II'!$Y$3,"")</f>
        <v/>
      </c>
      <c r="S298" s="69" t="str">
        <f t="shared" si="59"/>
        <v/>
      </c>
      <c r="T298">
        <f t="shared" si="68"/>
        <v>3</v>
      </c>
      <c r="U298" t="str">
        <f t="shared" si="69"/>
        <v>KIỆN 14</v>
      </c>
      <c r="V298" t="str">
        <f t="shared" si="70"/>
        <v/>
      </c>
      <c r="W298" s="266"/>
      <c r="X298" s="266"/>
      <c r="Y298" s="266" t="str">
        <f t="shared" si="61"/>
        <v/>
      </c>
      <c r="Z298" s="266"/>
    </row>
    <row r="299" spans="1:26" ht="27" hidden="1" customHeight="1">
      <c r="A299" s="70" t="str">
        <f t="shared" si="57"/>
        <v/>
      </c>
      <c r="B299" s="70" t="str">
        <f t="shared" si="58"/>
        <v/>
      </c>
      <c r="C299" s="204" t="str" cm="1">
        <f t="array" ref="C299">IF(D299="","",
    IF(AND(ISNUMBER(D299), D299=INT(D299)),
        $V$6 &amp; " " &amp; (IFERROR(MAX($Y$12:$Y298), 0) + 1),
        IF(ISNUMBER(SEARCH(".", D299)), "", INDEX($C$12:$C299, MATCH(2, 1/($C$12:$C299 &lt;&gt; ""))))
    )
)</f>
        <v/>
      </c>
      <c r="D299" s="206"/>
      <c r="E299" s="206" t="str">
        <f>IF(AA299 = "", "",
    IF(ISNUMBER(SEARCH("Kiện", C299)),
       " GÓI " &amp; COUNTIF($C$13:C299, "*Kiện*") &amp; "/" &amp; COUNTIF($C$13:$C$1000, "*Kiện*") &amp; " " &amp; AA299,
       AA299)
)</f>
        <v/>
      </c>
      <c r="F299" s="206"/>
      <c r="G299" s="206"/>
      <c r="H299" s="206"/>
      <c r="I299" s="206"/>
      <c r="J299" s="206" t="str">
        <f t="shared" si="60"/>
        <v/>
      </c>
      <c r="K299" s="206" t="str">
        <f t="shared" si="62"/>
        <v/>
      </c>
      <c r="L299" s="206" t="str">
        <f t="shared" si="63"/>
        <v/>
      </c>
      <c r="M299" s="206" t="str">
        <f t="shared" si="64"/>
        <v/>
      </c>
      <c r="N299" s="206" t="str">
        <f t="shared" si="65"/>
        <v/>
      </c>
      <c r="O299" s="206" t="str">
        <f t="shared" si="66"/>
        <v/>
      </c>
      <c r="P299" s="84" t="str">
        <f t="shared" si="67"/>
        <v/>
      </c>
      <c r="Q299" s="205"/>
      <c r="R299" s="70" t="str">
        <f>IF(S299="IN",'BOM_Phan II'!$Y$3,"")</f>
        <v/>
      </c>
      <c r="S299" s="69" t="str">
        <f t="shared" si="59"/>
        <v/>
      </c>
      <c r="T299">
        <f t="shared" si="68"/>
        <v>3</v>
      </c>
      <c r="U299" t="str">
        <f t="shared" si="69"/>
        <v>KIỆN 14</v>
      </c>
      <c r="V299" t="str">
        <f t="shared" si="70"/>
        <v/>
      </c>
      <c r="W299" s="266"/>
      <c r="X299" s="266"/>
      <c r="Y299" s="266" t="str">
        <f t="shared" si="61"/>
        <v/>
      </c>
      <c r="Z299" s="266"/>
    </row>
    <row r="300" spans="1:26" ht="27" hidden="1" customHeight="1">
      <c r="A300" s="70" t="str">
        <f t="shared" si="57"/>
        <v/>
      </c>
      <c r="B300" s="70" t="str">
        <f t="shared" si="58"/>
        <v/>
      </c>
      <c r="C300" s="204" t="str" cm="1">
        <f t="array" ref="C300">IF(D300="","",
    IF(AND(ISNUMBER(D300), D300=INT(D300)),
        $V$6 &amp; " " &amp; (IFERROR(MAX($Y$12:$Y299), 0) + 1),
        IF(ISNUMBER(SEARCH(".", D300)), "", INDEX($C$12:$C300, MATCH(2, 1/($C$12:$C300 &lt;&gt; ""))))
    )
)</f>
        <v/>
      </c>
      <c r="D300" s="206"/>
      <c r="E300" s="206" t="str">
        <f>IF(AA300 = "", "",
    IF(ISNUMBER(SEARCH("Kiện", C300)),
       " GÓI " &amp; COUNTIF($C$13:C300, "*Kiện*") &amp; "/" &amp; COUNTIF($C$13:$C$1000, "*Kiện*") &amp; " " &amp; AA300,
       AA300)
)</f>
        <v/>
      </c>
      <c r="F300" s="206"/>
      <c r="G300" s="206"/>
      <c r="H300" s="206"/>
      <c r="I300" s="206"/>
      <c r="J300" s="206" t="str">
        <f t="shared" si="60"/>
        <v/>
      </c>
      <c r="K300" s="206" t="str">
        <f t="shared" si="62"/>
        <v/>
      </c>
      <c r="L300" s="206" t="str">
        <f t="shared" si="63"/>
        <v/>
      </c>
      <c r="M300" s="206" t="str">
        <f t="shared" si="64"/>
        <v/>
      </c>
      <c r="N300" s="206" t="str">
        <f t="shared" si="65"/>
        <v/>
      </c>
      <c r="O300" s="206" t="str">
        <f t="shared" si="66"/>
        <v/>
      </c>
      <c r="P300" s="84" t="str">
        <f t="shared" si="67"/>
        <v/>
      </c>
      <c r="Q300" s="205"/>
      <c r="R300" s="70" t="str">
        <f>IF(S300="IN",'BOM_Phan II'!$Y$3,"")</f>
        <v/>
      </c>
      <c r="S300" s="69" t="str">
        <f t="shared" si="59"/>
        <v/>
      </c>
      <c r="T300">
        <f t="shared" si="68"/>
        <v>3</v>
      </c>
      <c r="U300" t="str">
        <f t="shared" si="69"/>
        <v>KIỆN 14</v>
      </c>
      <c r="V300" t="str">
        <f t="shared" si="70"/>
        <v/>
      </c>
      <c r="W300" s="266"/>
      <c r="X300" s="266"/>
      <c r="Y300" s="266" t="str">
        <f t="shared" si="61"/>
        <v/>
      </c>
      <c r="Z300" s="266"/>
    </row>
    <row r="301" spans="1:26" ht="27" hidden="1" customHeight="1">
      <c r="A301" s="70" t="str">
        <f t="shared" si="57"/>
        <v/>
      </c>
      <c r="B301" s="70" t="str">
        <f t="shared" si="58"/>
        <v/>
      </c>
      <c r="C301" s="204" t="str" cm="1">
        <f t="array" ref="C301">IF(D301="","",
    IF(AND(ISNUMBER(D301), D301=INT(D301)),
        $V$6 &amp; " " &amp; (IFERROR(MAX($Y$12:$Y300), 0) + 1),
        IF(ISNUMBER(SEARCH(".", D301)), "", INDEX($C$12:$C301, MATCH(2, 1/($C$12:$C301 &lt;&gt; ""))))
    )
)</f>
        <v/>
      </c>
      <c r="D301" s="206"/>
      <c r="E301" s="206" t="str">
        <f>IF(AA301 = "", "",
    IF(ISNUMBER(SEARCH("Kiện", C301)),
       " GÓI " &amp; COUNTIF($C$13:C301, "*Kiện*") &amp; "/" &amp; COUNTIF($C$13:$C$1000, "*Kiện*") &amp; " " &amp; AA301,
       AA301)
)</f>
        <v/>
      </c>
      <c r="F301" s="206"/>
      <c r="G301" s="206"/>
      <c r="H301" s="206"/>
      <c r="I301" s="206"/>
      <c r="J301" s="206" t="str">
        <f t="shared" si="60"/>
        <v/>
      </c>
      <c r="K301" s="206" t="str">
        <f t="shared" si="62"/>
        <v/>
      </c>
      <c r="L301" s="206" t="str">
        <f t="shared" si="63"/>
        <v/>
      </c>
      <c r="M301" s="206" t="str">
        <f t="shared" si="64"/>
        <v/>
      </c>
      <c r="N301" s="206" t="str">
        <f t="shared" si="65"/>
        <v/>
      </c>
      <c r="O301" s="206" t="str">
        <f t="shared" si="66"/>
        <v/>
      </c>
      <c r="P301" s="84" t="str">
        <f t="shared" si="67"/>
        <v/>
      </c>
      <c r="Q301" s="205"/>
      <c r="R301" s="70" t="str">
        <f>IF(S301="IN",'BOM_Phan II'!$Y$3,"")</f>
        <v/>
      </c>
      <c r="S301" s="69" t="str">
        <f t="shared" si="59"/>
        <v/>
      </c>
      <c r="T301">
        <f t="shared" si="68"/>
        <v>3</v>
      </c>
      <c r="U301" t="str">
        <f t="shared" si="69"/>
        <v>KIỆN 14</v>
      </c>
      <c r="V301" t="str">
        <f t="shared" si="70"/>
        <v/>
      </c>
      <c r="W301" s="266"/>
      <c r="X301" s="266"/>
      <c r="Y301" s="266" t="str">
        <f t="shared" si="61"/>
        <v/>
      </c>
      <c r="Z301" s="266"/>
    </row>
    <row r="302" spans="1:26" ht="27" hidden="1" customHeight="1">
      <c r="A302" s="70" t="str">
        <f t="shared" si="57"/>
        <v/>
      </c>
      <c r="B302" s="70" t="str">
        <f t="shared" si="58"/>
        <v/>
      </c>
      <c r="C302" s="204" t="str" cm="1">
        <f t="array" ref="C302">IF(D302="","",
    IF(AND(ISNUMBER(D302), D302=INT(D302)),
        $V$6 &amp; " " &amp; (IFERROR(MAX($Y$12:$Y301), 0) + 1),
        IF(ISNUMBER(SEARCH(".", D302)), "", INDEX($C$12:$C302, MATCH(2, 1/($C$12:$C302 &lt;&gt; ""))))
    )
)</f>
        <v/>
      </c>
      <c r="D302" s="206"/>
      <c r="E302" s="206" t="str">
        <f>IF(AA302 = "", "",
    IF(ISNUMBER(SEARCH("Kiện", C302)),
       " GÓI " &amp; COUNTIF($C$13:C302, "*Kiện*") &amp; "/" &amp; COUNTIF($C$13:$C$1000, "*Kiện*") &amp; " " &amp; AA302,
       AA302)
)</f>
        <v/>
      </c>
      <c r="F302" s="206"/>
      <c r="G302" s="206"/>
      <c r="H302" s="206"/>
      <c r="I302" s="206"/>
      <c r="J302" s="206" t="str">
        <f t="shared" si="60"/>
        <v/>
      </c>
      <c r="K302" s="206" t="str">
        <f t="shared" si="62"/>
        <v/>
      </c>
      <c r="L302" s="206" t="str">
        <f t="shared" si="63"/>
        <v/>
      </c>
      <c r="M302" s="206" t="str">
        <f t="shared" si="64"/>
        <v/>
      </c>
      <c r="N302" s="206" t="str">
        <f t="shared" si="65"/>
        <v/>
      </c>
      <c r="O302" s="206" t="str">
        <f t="shared" si="66"/>
        <v/>
      </c>
      <c r="P302" s="84" t="str">
        <f t="shared" si="67"/>
        <v/>
      </c>
      <c r="Q302" s="205"/>
      <c r="R302" s="70" t="str">
        <f>IF(S302="IN",'BOM_Phan II'!$Y$3,"")</f>
        <v/>
      </c>
      <c r="S302" s="69" t="str">
        <f t="shared" si="59"/>
        <v/>
      </c>
      <c r="T302">
        <f t="shared" si="68"/>
        <v>3</v>
      </c>
      <c r="U302" t="str">
        <f t="shared" si="69"/>
        <v>KIỆN 14</v>
      </c>
      <c r="V302" t="str">
        <f t="shared" si="70"/>
        <v/>
      </c>
      <c r="W302" s="266"/>
      <c r="X302" s="266"/>
      <c r="Y302" s="266" t="str">
        <f t="shared" si="61"/>
        <v/>
      </c>
      <c r="Z302" s="266"/>
    </row>
    <row r="303" spans="1:26" ht="27" hidden="1" customHeight="1">
      <c r="A303" s="70" t="str">
        <f t="shared" si="57"/>
        <v/>
      </c>
      <c r="B303" s="70" t="str">
        <f t="shared" si="58"/>
        <v/>
      </c>
      <c r="C303" s="204" t="str" cm="1">
        <f t="array" ref="C303">IF(D303="","",
    IF(AND(ISNUMBER(D303), D303=INT(D303)),
        $V$6 &amp; " " &amp; (IFERROR(MAX($Y$12:$Y302), 0) + 1),
        IF(ISNUMBER(SEARCH(".", D303)), "", INDEX($C$12:$C303, MATCH(2, 1/($C$12:$C303 &lt;&gt; ""))))
    )
)</f>
        <v/>
      </c>
      <c r="D303" s="206"/>
      <c r="E303" s="206" t="str">
        <f>IF(AA303 = "", "",
    IF(ISNUMBER(SEARCH("Kiện", C303)),
       " GÓI " &amp; COUNTIF($C$13:C303, "*Kiện*") &amp; "/" &amp; COUNTIF($C$13:$C$1000, "*Kiện*") &amp; " " &amp; AA303,
       AA303)
)</f>
        <v/>
      </c>
      <c r="F303" s="206"/>
      <c r="G303" s="206"/>
      <c r="H303" s="206"/>
      <c r="I303" s="206"/>
      <c r="J303" s="206" t="str">
        <f t="shared" si="60"/>
        <v/>
      </c>
      <c r="K303" s="206" t="str">
        <f t="shared" si="62"/>
        <v/>
      </c>
      <c r="L303" s="206" t="str">
        <f t="shared" si="63"/>
        <v/>
      </c>
      <c r="M303" s="206" t="str">
        <f t="shared" si="64"/>
        <v/>
      </c>
      <c r="N303" s="206" t="str">
        <f t="shared" si="65"/>
        <v/>
      </c>
      <c r="O303" s="206" t="str">
        <f t="shared" si="66"/>
        <v/>
      </c>
      <c r="P303" s="84" t="str">
        <f t="shared" si="67"/>
        <v/>
      </c>
      <c r="Q303" s="205"/>
      <c r="R303" s="70" t="str">
        <f>IF(S303="IN",'BOM_Phan II'!$Y$3,"")</f>
        <v/>
      </c>
      <c r="S303" s="69" t="str">
        <f t="shared" si="59"/>
        <v/>
      </c>
      <c r="T303">
        <f t="shared" si="68"/>
        <v>3</v>
      </c>
      <c r="U303" t="str">
        <f t="shared" si="69"/>
        <v>KIỆN 14</v>
      </c>
      <c r="V303" t="str">
        <f t="shared" si="70"/>
        <v/>
      </c>
      <c r="W303" s="266"/>
      <c r="X303" s="266"/>
      <c r="Y303" s="266" t="str">
        <f t="shared" si="61"/>
        <v/>
      </c>
      <c r="Z303" s="266"/>
    </row>
    <row r="304" spans="1:26" ht="27" hidden="1" customHeight="1">
      <c r="A304" s="70" t="str">
        <f t="shared" si="57"/>
        <v/>
      </c>
      <c r="B304" s="70" t="str">
        <f t="shared" si="58"/>
        <v/>
      </c>
      <c r="C304" s="204" t="str" cm="1">
        <f t="array" ref="C304">IF(D304="","",
    IF(AND(ISNUMBER(D304), D304=INT(D304)),
        $V$6 &amp; " " &amp; (IFERROR(MAX($Y$12:$Y303), 0) + 1),
        IF(ISNUMBER(SEARCH(".", D304)), "", INDEX($C$12:$C304, MATCH(2, 1/($C$12:$C304 &lt;&gt; ""))))
    )
)</f>
        <v/>
      </c>
      <c r="D304" s="206"/>
      <c r="E304" s="206" t="str">
        <f>IF(AA304 = "", "",
    IF(ISNUMBER(SEARCH("Kiện", C304)),
       " GÓI " &amp; COUNTIF($C$13:C304, "*Kiện*") &amp; "/" &amp; COUNTIF($C$13:$C$1000, "*Kiện*") &amp; " " &amp; AA304,
       AA304)
)</f>
        <v/>
      </c>
      <c r="F304" s="206"/>
      <c r="G304" s="206"/>
      <c r="H304" s="206"/>
      <c r="I304" s="206"/>
      <c r="J304" s="206" t="str">
        <f t="shared" si="60"/>
        <v/>
      </c>
      <c r="K304" s="206" t="str">
        <f t="shared" si="62"/>
        <v/>
      </c>
      <c r="L304" s="206" t="str">
        <f t="shared" si="63"/>
        <v/>
      </c>
      <c r="M304" s="206" t="str">
        <f t="shared" si="64"/>
        <v/>
      </c>
      <c r="N304" s="206" t="str">
        <f t="shared" si="65"/>
        <v/>
      </c>
      <c r="O304" s="206" t="str">
        <f t="shared" si="66"/>
        <v/>
      </c>
      <c r="P304" s="84" t="str">
        <f t="shared" si="67"/>
        <v/>
      </c>
      <c r="Q304" s="205"/>
      <c r="R304" s="70" t="str">
        <f>IF(S304="IN",'BOM_Phan II'!$Y$3,"")</f>
        <v/>
      </c>
      <c r="S304" s="69" t="str">
        <f t="shared" si="59"/>
        <v/>
      </c>
      <c r="T304">
        <f t="shared" si="68"/>
        <v>3</v>
      </c>
      <c r="U304" t="str">
        <f t="shared" si="69"/>
        <v>KIỆN 14</v>
      </c>
      <c r="V304" t="str">
        <f t="shared" si="70"/>
        <v/>
      </c>
      <c r="W304" s="266"/>
      <c r="X304" s="266"/>
      <c r="Y304" s="266" t="str">
        <f t="shared" si="61"/>
        <v/>
      </c>
      <c r="Z304" s="266"/>
    </row>
    <row r="305" spans="1:26" ht="27" hidden="1" customHeight="1">
      <c r="A305" s="70" t="str">
        <f t="shared" si="57"/>
        <v/>
      </c>
      <c r="B305" s="70" t="str">
        <f t="shared" si="58"/>
        <v/>
      </c>
      <c r="C305" s="204" t="str" cm="1">
        <f t="array" ref="C305">IF(D305="","",
    IF(AND(ISNUMBER(D305), D305=INT(D305)),
        $V$6 &amp; " " &amp; (IFERROR(MAX($Y$12:$Y304), 0) + 1),
        IF(ISNUMBER(SEARCH(".", D305)), "", INDEX($C$12:$C305, MATCH(2, 1/($C$12:$C305 &lt;&gt; ""))))
    )
)</f>
        <v/>
      </c>
      <c r="D305" s="206"/>
      <c r="E305" s="206" t="str">
        <f>IF(AA305 = "", "",
    IF(ISNUMBER(SEARCH("Kiện", C305)),
       " GÓI " &amp; COUNTIF($C$13:C305, "*Kiện*") &amp; "/" &amp; COUNTIF($C$13:$C$1000, "*Kiện*") &amp; " " &amp; AA305,
       AA305)
)</f>
        <v/>
      </c>
      <c r="F305" s="206"/>
      <c r="G305" s="206"/>
      <c r="H305" s="206"/>
      <c r="I305" s="206"/>
      <c r="J305" s="206" t="str">
        <f t="shared" si="60"/>
        <v/>
      </c>
      <c r="K305" s="206" t="str">
        <f t="shared" si="62"/>
        <v/>
      </c>
      <c r="L305" s="206" t="str">
        <f t="shared" si="63"/>
        <v/>
      </c>
      <c r="M305" s="206" t="str">
        <f t="shared" si="64"/>
        <v/>
      </c>
      <c r="N305" s="206" t="str">
        <f t="shared" si="65"/>
        <v/>
      </c>
      <c r="O305" s="206" t="str">
        <f t="shared" si="66"/>
        <v/>
      </c>
      <c r="P305" s="84" t="str">
        <f t="shared" si="67"/>
        <v/>
      </c>
      <c r="Q305" s="205"/>
      <c r="R305" s="70" t="str">
        <f>IF(S305="IN",'BOM_Phan II'!$Y$3,"")</f>
        <v/>
      </c>
      <c r="S305" s="69" t="str">
        <f t="shared" si="59"/>
        <v/>
      </c>
      <c r="T305">
        <f t="shared" si="68"/>
        <v>3</v>
      </c>
      <c r="U305" t="str">
        <f t="shared" ref="U305:U336" si="71">IF(C305="",U304,C305)</f>
        <v>KIỆN 14</v>
      </c>
      <c r="V305" t="str">
        <f t="shared" si="70"/>
        <v/>
      </c>
      <c r="W305" s="266"/>
      <c r="X305" s="266"/>
      <c r="Y305" s="266" t="str">
        <f t="shared" si="61"/>
        <v/>
      </c>
      <c r="Z305" s="266"/>
    </row>
    <row r="306" spans="1:26" ht="27" hidden="1" customHeight="1">
      <c r="A306" s="70" t="str">
        <f t="shared" si="57"/>
        <v/>
      </c>
      <c r="B306" s="70" t="str">
        <f t="shared" si="58"/>
        <v/>
      </c>
      <c r="C306" s="204" t="str" cm="1">
        <f t="array" ref="C306">IF(D306="","",
    IF(AND(ISNUMBER(D306), D306=INT(D306)),
        $V$6 &amp; " " &amp; (IFERROR(MAX($Y$12:$Y305), 0) + 1),
        IF(ISNUMBER(SEARCH(".", D306)), "", INDEX($C$12:$C306, MATCH(2, 1/($C$12:$C306 &lt;&gt; ""))))
    )
)</f>
        <v/>
      </c>
      <c r="D306" s="206"/>
      <c r="E306" s="206" t="str">
        <f>IF(AA306 = "", "",
    IF(ISNUMBER(SEARCH("Kiện", C306)),
       " GÓI " &amp; COUNTIF($C$13:C306, "*Kiện*") &amp; "/" &amp; COUNTIF($C$13:$C$1000, "*Kiện*") &amp; " " &amp; AA306,
       AA306)
)</f>
        <v/>
      </c>
      <c r="F306" s="206"/>
      <c r="G306" s="206"/>
      <c r="H306" s="206"/>
      <c r="I306" s="206"/>
      <c r="J306" s="206" t="str">
        <f t="shared" si="60"/>
        <v/>
      </c>
      <c r="K306" s="206" t="str">
        <f t="shared" si="62"/>
        <v/>
      </c>
      <c r="L306" s="206" t="str">
        <f t="shared" si="63"/>
        <v/>
      </c>
      <c r="M306" s="206" t="str">
        <f t="shared" si="64"/>
        <v/>
      </c>
      <c r="N306" s="206" t="str">
        <f t="shared" si="65"/>
        <v/>
      </c>
      <c r="O306" s="206" t="str">
        <f t="shared" si="66"/>
        <v/>
      </c>
      <c r="P306" s="84" t="str">
        <f t="shared" si="67"/>
        <v/>
      </c>
      <c r="Q306" s="205"/>
      <c r="R306" s="70" t="str">
        <f>IF(S306="IN",'BOM_Phan II'!$Y$3,"")</f>
        <v/>
      </c>
      <c r="S306" s="69" t="str">
        <f t="shared" si="59"/>
        <v/>
      </c>
      <c r="T306">
        <f t="shared" si="68"/>
        <v>3</v>
      </c>
      <c r="U306" t="str">
        <f t="shared" si="71"/>
        <v>KIỆN 14</v>
      </c>
      <c r="V306" t="str">
        <f t="shared" si="70"/>
        <v/>
      </c>
      <c r="W306" s="266"/>
      <c r="X306" s="266"/>
      <c r="Y306" s="266" t="str">
        <f t="shared" si="61"/>
        <v/>
      </c>
      <c r="Z306" s="266"/>
    </row>
    <row r="307" spans="1:26" ht="27" hidden="1" customHeight="1">
      <c r="A307" s="70" t="str">
        <f t="shared" si="57"/>
        <v/>
      </c>
      <c r="B307" s="70" t="str">
        <f t="shared" si="58"/>
        <v/>
      </c>
      <c r="C307" s="204" t="str" cm="1">
        <f t="array" ref="C307">IF(D307="","",
    IF(AND(ISNUMBER(D307), D307=INT(D307)),
        $V$6 &amp; " " &amp; (IFERROR(MAX($Y$12:$Y306), 0) + 1),
        IF(ISNUMBER(SEARCH(".", D307)), "", INDEX($C$12:$C307, MATCH(2, 1/($C$12:$C307 &lt;&gt; ""))))
    )
)</f>
        <v/>
      </c>
      <c r="D307" s="206"/>
      <c r="E307" s="206" t="str">
        <f>IF(AA307 = "", "",
    IF(ISNUMBER(SEARCH("Kiện", C307)),
       " GÓI " &amp; COUNTIF($C$13:C307, "*Kiện*") &amp; "/" &amp; COUNTIF($C$13:$C$1000, "*Kiện*") &amp; " " &amp; AA307,
       AA307)
)</f>
        <v/>
      </c>
      <c r="F307" s="206"/>
      <c r="G307" s="206"/>
      <c r="H307" s="206"/>
      <c r="I307" s="206"/>
      <c r="J307" s="206" t="str">
        <f t="shared" si="60"/>
        <v/>
      </c>
      <c r="K307" s="206" t="str">
        <f t="shared" si="62"/>
        <v/>
      </c>
      <c r="L307" s="206" t="str">
        <f t="shared" si="63"/>
        <v/>
      </c>
      <c r="M307" s="206" t="str">
        <f t="shared" si="64"/>
        <v/>
      </c>
      <c r="N307" s="206" t="str">
        <f t="shared" si="65"/>
        <v/>
      </c>
      <c r="O307" s="206" t="str">
        <f t="shared" si="66"/>
        <v/>
      </c>
      <c r="P307" s="84" t="str">
        <f t="shared" si="67"/>
        <v/>
      </c>
      <c r="Q307" s="205"/>
      <c r="R307" s="70" t="str">
        <f>IF(S307="IN",'BOM_Phan II'!$Y$3,"")</f>
        <v/>
      </c>
      <c r="S307" s="69" t="str">
        <f t="shared" si="59"/>
        <v/>
      </c>
      <c r="T307">
        <f t="shared" si="68"/>
        <v>3</v>
      </c>
      <c r="U307" t="str">
        <f t="shared" si="71"/>
        <v>KIỆN 14</v>
      </c>
      <c r="V307" t="str">
        <f t="shared" si="70"/>
        <v/>
      </c>
      <c r="W307" s="266"/>
      <c r="X307" s="266"/>
      <c r="Y307" s="266" t="str">
        <f t="shared" si="61"/>
        <v/>
      </c>
      <c r="Z307" s="266"/>
    </row>
    <row r="308" spans="1:26" ht="27" hidden="1" customHeight="1">
      <c r="A308" s="70" t="str">
        <f t="shared" si="57"/>
        <v/>
      </c>
      <c r="B308" s="70" t="str">
        <f t="shared" si="58"/>
        <v/>
      </c>
      <c r="C308" s="204" t="str" cm="1">
        <f t="array" ref="C308">IF(D308="","",
    IF(AND(ISNUMBER(D308), D308=INT(D308)),
        $V$6 &amp; " " &amp; (IFERROR(MAX($Y$12:$Y307), 0) + 1),
        IF(ISNUMBER(SEARCH(".", D308)), "", INDEX($C$12:$C308, MATCH(2, 1/($C$12:$C308 &lt;&gt; ""))))
    )
)</f>
        <v/>
      </c>
      <c r="D308" s="206"/>
      <c r="E308" s="206" t="str">
        <f>IF(AA308 = "", "",
    IF(ISNUMBER(SEARCH("Kiện", C308)),
       " GÓI " &amp; COUNTIF($C$13:C308, "*Kiện*") &amp; "/" &amp; COUNTIF($C$13:$C$1000, "*Kiện*") &amp; " " &amp; AA308,
       AA308)
)</f>
        <v/>
      </c>
      <c r="F308" s="206"/>
      <c r="G308" s="206"/>
      <c r="H308" s="206"/>
      <c r="I308" s="206"/>
      <c r="J308" s="206" t="str">
        <f t="shared" si="60"/>
        <v/>
      </c>
      <c r="K308" s="206" t="str">
        <f t="shared" si="62"/>
        <v/>
      </c>
      <c r="L308" s="206" t="str">
        <f t="shared" si="63"/>
        <v/>
      </c>
      <c r="M308" s="206" t="str">
        <f t="shared" si="64"/>
        <v/>
      </c>
      <c r="N308" s="206" t="str">
        <f t="shared" si="65"/>
        <v/>
      </c>
      <c r="O308" s="206" t="str">
        <f t="shared" si="66"/>
        <v/>
      </c>
      <c r="P308" s="84" t="str">
        <f t="shared" si="67"/>
        <v/>
      </c>
      <c r="Q308" s="205"/>
      <c r="R308" s="70" t="str">
        <f>IF(S308="IN",'BOM_Phan II'!$Y$3,"")</f>
        <v/>
      </c>
      <c r="S308" s="69" t="str">
        <f t="shared" si="59"/>
        <v/>
      </c>
      <c r="T308">
        <f t="shared" si="68"/>
        <v>3</v>
      </c>
      <c r="U308" t="str">
        <f t="shared" si="71"/>
        <v>KIỆN 14</v>
      </c>
      <c r="V308" t="str">
        <f t="shared" si="70"/>
        <v/>
      </c>
      <c r="W308" s="266"/>
      <c r="X308" s="266"/>
      <c r="Y308" s="266" t="str">
        <f t="shared" si="61"/>
        <v/>
      </c>
      <c r="Z308" s="266"/>
    </row>
    <row r="309" spans="1:26" ht="27" hidden="1" customHeight="1">
      <c r="A309" s="70" t="str">
        <f t="shared" si="57"/>
        <v/>
      </c>
      <c r="B309" s="70" t="str">
        <f t="shared" si="58"/>
        <v/>
      </c>
      <c r="C309" s="204" t="str" cm="1">
        <f t="array" ref="C309">IF(D309="","",
    IF(AND(ISNUMBER(D309), D309=INT(D309)),
        $V$6 &amp; " " &amp; (IFERROR(MAX($Y$12:$Y308), 0) + 1),
        IF(ISNUMBER(SEARCH(".", D309)), "", INDEX($C$12:$C309, MATCH(2, 1/($C$12:$C309 &lt;&gt; ""))))
    )
)</f>
        <v/>
      </c>
      <c r="D309" s="206"/>
      <c r="E309" s="206" t="str">
        <f>IF(AA309 = "", "",
    IF(ISNUMBER(SEARCH("Kiện", C309)),
       " GÓI " &amp; COUNTIF($C$13:C309, "*Kiện*") &amp; "/" &amp; COUNTIF($C$13:$C$1000, "*Kiện*") &amp; " " &amp; AA309,
       AA309)
)</f>
        <v/>
      </c>
      <c r="F309" s="206"/>
      <c r="G309" s="206"/>
      <c r="H309" s="206"/>
      <c r="I309" s="206"/>
      <c r="J309" s="206" t="str">
        <f t="shared" si="60"/>
        <v/>
      </c>
      <c r="K309" s="206" t="str">
        <f t="shared" si="62"/>
        <v/>
      </c>
      <c r="L309" s="206" t="str">
        <f t="shared" si="63"/>
        <v/>
      </c>
      <c r="M309" s="206" t="str">
        <f t="shared" si="64"/>
        <v/>
      </c>
      <c r="N309" s="206" t="str">
        <f t="shared" si="65"/>
        <v/>
      </c>
      <c r="O309" s="206" t="str">
        <f t="shared" si="66"/>
        <v/>
      </c>
      <c r="P309" s="84" t="str">
        <f t="shared" si="67"/>
        <v/>
      </c>
      <c r="Q309" s="205"/>
      <c r="R309" s="70" t="str">
        <f>IF(S309="IN",'BOM_Phan II'!$Y$3,"")</f>
        <v/>
      </c>
      <c r="S309" s="69" t="str">
        <f t="shared" si="59"/>
        <v/>
      </c>
      <c r="T309">
        <f t="shared" si="68"/>
        <v>3</v>
      </c>
      <c r="U309" t="str">
        <f t="shared" si="71"/>
        <v>KIỆN 14</v>
      </c>
      <c r="V309" t="str">
        <f t="shared" si="70"/>
        <v/>
      </c>
      <c r="W309" s="266"/>
      <c r="X309" s="266"/>
      <c r="Y309" s="266" t="str">
        <f t="shared" si="61"/>
        <v/>
      </c>
      <c r="Z309" s="266"/>
    </row>
    <row r="310" spans="1:26" ht="27" hidden="1" customHeight="1">
      <c r="A310" s="70" t="str">
        <f t="shared" si="57"/>
        <v/>
      </c>
      <c r="B310" s="70" t="str">
        <f t="shared" si="58"/>
        <v/>
      </c>
      <c r="C310" s="204" t="str" cm="1">
        <f t="array" ref="C310">IF(D310="","",
    IF(AND(ISNUMBER(D310), D310=INT(D310)),
        $V$6 &amp; " " &amp; (IFERROR(MAX($Y$12:$Y309), 0) + 1),
        IF(ISNUMBER(SEARCH(".", D310)), "", INDEX($C$12:$C310, MATCH(2, 1/($C$12:$C310 &lt;&gt; ""))))
    )
)</f>
        <v/>
      </c>
      <c r="D310" s="206"/>
      <c r="E310" s="206" t="str">
        <f>IF(AA310 = "", "",
    IF(ISNUMBER(SEARCH("Kiện", C310)),
       " GÓI " &amp; COUNTIF($C$13:C310, "*Kiện*") &amp; "/" &amp; COUNTIF($C$13:$C$1000, "*Kiện*") &amp; " " &amp; AA310,
       AA310)
)</f>
        <v/>
      </c>
      <c r="F310" s="206"/>
      <c r="G310" s="206"/>
      <c r="H310" s="206"/>
      <c r="I310" s="206"/>
      <c r="J310" s="206" t="str">
        <f t="shared" si="60"/>
        <v/>
      </c>
      <c r="K310" s="206" t="str">
        <f t="shared" si="62"/>
        <v/>
      </c>
      <c r="L310" s="206" t="str">
        <f t="shared" si="63"/>
        <v/>
      </c>
      <c r="M310" s="206" t="str">
        <f t="shared" si="64"/>
        <v/>
      </c>
      <c r="N310" s="206" t="str">
        <f t="shared" si="65"/>
        <v/>
      </c>
      <c r="O310" s="206" t="str">
        <f t="shared" si="66"/>
        <v/>
      </c>
      <c r="P310" s="84" t="str">
        <f t="shared" si="67"/>
        <v/>
      </c>
      <c r="Q310" s="205"/>
      <c r="R310" s="70" t="str">
        <f>IF(S310="IN",'BOM_Phan II'!$Y$3,"")</f>
        <v/>
      </c>
      <c r="S310" s="69" t="str">
        <f t="shared" si="59"/>
        <v/>
      </c>
      <c r="T310">
        <f t="shared" si="68"/>
        <v>3</v>
      </c>
      <c r="U310" t="str">
        <f t="shared" si="71"/>
        <v>KIỆN 14</v>
      </c>
      <c r="V310" t="str">
        <f t="shared" si="70"/>
        <v/>
      </c>
      <c r="W310" s="266"/>
      <c r="X310" s="266"/>
      <c r="Y310" s="266" t="str">
        <f t="shared" si="61"/>
        <v/>
      </c>
      <c r="Z310" s="266"/>
    </row>
    <row r="311" spans="1:26" ht="27" hidden="1" customHeight="1">
      <c r="A311" s="70" t="str">
        <f t="shared" si="57"/>
        <v/>
      </c>
      <c r="B311" s="70" t="str">
        <f t="shared" si="58"/>
        <v/>
      </c>
      <c r="C311" s="204" t="str" cm="1">
        <f t="array" ref="C311">IF(D311="","",
    IF(AND(ISNUMBER(D311), D311=INT(D311)),
        $V$6 &amp; " " &amp; (IFERROR(MAX($Y$12:$Y310), 0) + 1),
        IF(ISNUMBER(SEARCH(".", D311)), "", INDEX($C$12:$C311, MATCH(2, 1/($C$12:$C311 &lt;&gt; ""))))
    )
)</f>
        <v/>
      </c>
      <c r="D311" s="206"/>
      <c r="E311" s="206" t="str">
        <f>IF(AA311 = "", "",
    IF(ISNUMBER(SEARCH("Kiện", C311)),
       " GÓI " &amp; COUNTIF($C$13:C311, "*Kiện*") &amp; "/" &amp; COUNTIF($C$13:$C$1000, "*Kiện*") &amp; " " &amp; AA311,
       AA311)
)</f>
        <v/>
      </c>
      <c r="F311" s="206"/>
      <c r="G311" s="206"/>
      <c r="H311" s="206"/>
      <c r="I311" s="206"/>
      <c r="J311" s="206" t="str">
        <f t="shared" si="60"/>
        <v/>
      </c>
      <c r="K311" s="206" t="str">
        <f t="shared" si="62"/>
        <v/>
      </c>
      <c r="L311" s="206" t="str">
        <f t="shared" si="63"/>
        <v/>
      </c>
      <c r="M311" s="206" t="str">
        <f t="shared" si="64"/>
        <v/>
      </c>
      <c r="N311" s="206" t="str">
        <f t="shared" si="65"/>
        <v/>
      </c>
      <c r="O311" s="206" t="str">
        <f t="shared" si="66"/>
        <v/>
      </c>
      <c r="P311" s="84" t="str">
        <f t="shared" si="67"/>
        <v/>
      </c>
      <c r="Q311" s="205"/>
      <c r="R311" s="70" t="str">
        <f>IF(S311="IN",'BOM_Phan II'!$Y$3,"")</f>
        <v/>
      </c>
      <c r="S311" s="69" t="str">
        <f t="shared" si="59"/>
        <v/>
      </c>
      <c r="T311">
        <f t="shared" si="68"/>
        <v>3</v>
      </c>
      <c r="U311" t="str">
        <f t="shared" si="71"/>
        <v>KIỆN 14</v>
      </c>
      <c r="V311" t="str">
        <f t="shared" si="70"/>
        <v/>
      </c>
      <c r="W311" s="266"/>
      <c r="X311" s="266"/>
      <c r="Y311" s="266" t="str">
        <f t="shared" si="61"/>
        <v/>
      </c>
      <c r="Z311" s="266"/>
    </row>
    <row r="312" spans="1:26" ht="27" hidden="1" customHeight="1">
      <c r="A312" s="70" t="str">
        <f t="shared" si="57"/>
        <v/>
      </c>
      <c r="B312" s="70" t="str">
        <f t="shared" si="58"/>
        <v/>
      </c>
      <c r="C312" s="204" t="str" cm="1">
        <f t="array" ref="C312">IF(D312="","",
    IF(AND(ISNUMBER(D312), D312=INT(D312)),
        $V$6 &amp; " " &amp; (IFERROR(MAX($Y$12:$Y311), 0) + 1),
        IF(ISNUMBER(SEARCH(".", D312)), "", INDEX($C$12:$C312, MATCH(2, 1/($C$12:$C312 &lt;&gt; ""))))
    )
)</f>
        <v/>
      </c>
      <c r="D312" s="206"/>
      <c r="E312" s="206" t="str">
        <f>IF(AA312 = "", "",
    IF(ISNUMBER(SEARCH("Kiện", C312)),
       " GÓI " &amp; COUNTIF($C$13:C312, "*Kiện*") &amp; "/" &amp; COUNTIF($C$13:$C$1000, "*Kiện*") &amp; " " &amp; AA312,
       AA312)
)</f>
        <v/>
      </c>
      <c r="F312" s="206"/>
      <c r="G312" s="206"/>
      <c r="H312" s="206"/>
      <c r="I312" s="206"/>
      <c r="J312" s="206" t="str">
        <f t="shared" si="60"/>
        <v/>
      </c>
      <c r="K312" s="206" t="str">
        <f t="shared" si="62"/>
        <v/>
      </c>
      <c r="L312" s="206" t="str">
        <f t="shared" si="63"/>
        <v/>
      </c>
      <c r="M312" s="206" t="str">
        <f t="shared" si="64"/>
        <v/>
      </c>
      <c r="N312" s="206" t="str">
        <f t="shared" si="65"/>
        <v/>
      </c>
      <c r="O312" s="206" t="str">
        <f t="shared" si="66"/>
        <v/>
      </c>
      <c r="P312" s="84" t="str">
        <f t="shared" si="67"/>
        <v/>
      </c>
      <c r="Q312" s="205"/>
      <c r="R312" s="70" t="str">
        <f>IF(S312="IN",'BOM_Phan II'!$Y$3,"")</f>
        <v/>
      </c>
      <c r="S312" s="69" t="str">
        <f t="shared" si="59"/>
        <v/>
      </c>
      <c r="T312">
        <f t="shared" si="68"/>
        <v>3</v>
      </c>
      <c r="U312" t="str">
        <f t="shared" si="71"/>
        <v>KIỆN 14</v>
      </c>
      <c r="V312" t="str">
        <f t="shared" si="70"/>
        <v/>
      </c>
      <c r="W312" s="266"/>
      <c r="X312" s="266"/>
      <c r="Y312" s="266" t="str">
        <f t="shared" si="61"/>
        <v/>
      </c>
      <c r="Z312" s="266"/>
    </row>
    <row r="313" spans="1:26" ht="27" hidden="1" customHeight="1">
      <c r="A313" s="70" t="str">
        <f t="shared" si="57"/>
        <v/>
      </c>
      <c r="B313" s="70" t="str">
        <f t="shared" si="58"/>
        <v/>
      </c>
      <c r="C313" s="204" t="str" cm="1">
        <f t="array" ref="C313">IF(D313="","",
    IF(AND(ISNUMBER(D313), D313=INT(D313)),
        $V$6 &amp; " " &amp; (IFERROR(MAX($Y$12:$Y312), 0) + 1),
        IF(ISNUMBER(SEARCH(".", D313)), "", INDEX($C$12:$C313, MATCH(2, 1/($C$12:$C313 &lt;&gt; ""))))
    )
)</f>
        <v/>
      </c>
      <c r="D313" s="206"/>
      <c r="E313" s="206" t="str">
        <f>IF(AA313 = "", "",
    IF(ISNUMBER(SEARCH("Kiện", C313)),
       " GÓI " &amp; COUNTIF($C$13:C313, "*Kiện*") &amp; "/" &amp; COUNTIF($C$13:$C$1000, "*Kiện*") &amp; " " &amp; AA313,
       AA313)
)</f>
        <v/>
      </c>
      <c r="F313" s="206"/>
      <c r="G313" s="206"/>
      <c r="H313" s="206"/>
      <c r="I313" s="206"/>
      <c r="J313" s="206" t="str">
        <f t="shared" si="60"/>
        <v/>
      </c>
      <c r="K313" s="206" t="str">
        <f t="shared" si="62"/>
        <v/>
      </c>
      <c r="L313" s="206" t="str">
        <f t="shared" si="63"/>
        <v/>
      </c>
      <c r="M313" s="206" t="str">
        <f t="shared" si="64"/>
        <v/>
      </c>
      <c r="N313" s="206" t="str">
        <f t="shared" si="65"/>
        <v/>
      </c>
      <c r="O313" s="206" t="str">
        <f t="shared" si="66"/>
        <v/>
      </c>
      <c r="P313" s="84" t="str">
        <f t="shared" si="67"/>
        <v/>
      </c>
      <c r="Q313" s="205"/>
      <c r="R313" s="70" t="str">
        <f>IF(S313="IN",'BOM_Phan II'!$Y$3,"")</f>
        <v/>
      </c>
      <c r="S313" s="69" t="str">
        <f t="shared" si="59"/>
        <v/>
      </c>
      <c r="T313">
        <f t="shared" si="68"/>
        <v>3</v>
      </c>
      <c r="U313" t="str">
        <f t="shared" si="71"/>
        <v>KIỆN 14</v>
      </c>
      <c r="V313" t="str">
        <f t="shared" si="70"/>
        <v/>
      </c>
      <c r="W313" s="266"/>
      <c r="X313" s="266"/>
      <c r="Y313" s="266" t="str">
        <f t="shared" si="61"/>
        <v/>
      </c>
      <c r="Z313" s="266"/>
    </row>
    <row r="314" spans="1:26" ht="27" hidden="1" customHeight="1">
      <c r="A314" s="70" t="str">
        <f t="shared" si="57"/>
        <v/>
      </c>
      <c r="B314" s="70" t="str">
        <f t="shared" si="58"/>
        <v/>
      </c>
      <c r="C314" s="204" t="str" cm="1">
        <f t="array" ref="C314">IF(D314="","",
    IF(AND(ISNUMBER(D314), D314=INT(D314)),
        $V$6 &amp; " " &amp; (IFERROR(MAX($Y$12:$Y313), 0) + 1),
        IF(ISNUMBER(SEARCH(".", D314)), "", INDEX($C$12:$C314, MATCH(2, 1/($C$12:$C314 &lt;&gt; ""))))
    )
)</f>
        <v/>
      </c>
      <c r="D314" s="206"/>
      <c r="E314" s="206" t="str">
        <f>IF(AA314 = "", "",
    IF(ISNUMBER(SEARCH("Kiện", C314)),
       " GÓI " &amp; COUNTIF($C$13:C314, "*Kiện*") &amp; "/" &amp; COUNTIF($C$13:$C$1000, "*Kiện*") &amp; " " &amp; AA314,
       AA314)
)</f>
        <v/>
      </c>
      <c r="F314" s="206"/>
      <c r="G314" s="206"/>
      <c r="H314" s="206"/>
      <c r="I314" s="206"/>
      <c r="J314" s="206" t="str">
        <f t="shared" si="60"/>
        <v/>
      </c>
      <c r="K314" s="206" t="str">
        <f t="shared" si="62"/>
        <v/>
      </c>
      <c r="L314" s="206" t="str">
        <f t="shared" si="63"/>
        <v/>
      </c>
      <c r="M314" s="206" t="str">
        <f t="shared" si="64"/>
        <v/>
      </c>
      <c r="N314" s="206" t="str">
        <f t="shared" si="65"/>
        <v/>
      </c>
      <c r="O314" s="206" t="str">
        <f t="shared" si="66"/>
        <v/>
      </c>
      <c r="P314" s="84" t="str">
        <f t="shared" si="67"/>
        <v/>
      </c>
      <c r="Q314" s="205"/>
      <c r="R314" s="70" t="str">
        <f>IF(S314="IN",'BOM_Phan II'!$Y$3,"")</f>
        <v/>
      </c>
      <c r="S314" s="69" t="str">
        <f t="shared" si="59"/>
        <v/>
      </c>
      <c r="T314">
        <f t="shared" si="68"/>
        <v>3</v>
      </c>
      <c r="U314" t="str">
        <f t="shared" si="71"/>
        <v>KIỆN 14</v>
      </c>
      <c r="V314" t="str">
        <f t="shared" si="70"/>
        <v/>
      </c>
      <c r="W314" s="266"/>
      <c r="X314" s="266"/>
      <c r="Y314" s="266" t="str">
        <f t="shared" si="61"/>
        <v/>
      </c>
      <c r="Z314" s="266"/>
    </row>
    <row r="315" spans="1:26" ht="27" hidden="1" customHeight="1">
      <c r="A315" s="70" t="str">
        <f t="shared" si="57"/>
        <v/>
      </c>
      <c r="B315" s="70" t="str">
        <f t="shared" si="58"/>
        <v/>
      </c>
      <c r="C315" s="204" t="str" cm="1">
        <f t="array" ref="C315">IF(D315="","",
    IF(AND(ISNUMBER(D315), D315=INT(D315)),
        $V$6 &amp; " " &amp; (IFERROR(MAX($Y$12:$Y314), 0) + 1),
        IF(ISNUMBER(SEARCH(".", D315)), "", INDEX($C$12:$C315, MATCH(2, 1/($C$12:$C315 &lt;&gt; ""))))
    )
)</f>
        <v/>
      </c>
      <c r="D315" s="206"/>
      <c r="E315" s="206" t="str">
        <f>IF(AA315 = "", "",
    IF(ISNUMBER(SEARCH("Kiện", C315)),
       " GÓI " &amp; COUNTIF($C$13:C315, "*Kiện*") &amp; "/" &amp; COUNTIF($C$13:$C$1000, "*Kiện*") &amp; " " &amp; AA315,
       AA315)
)</f>
        <v/>
      </c>
      <c r="F315" s="206"/>
      <c r="G315" s="206"/>
      <c r="H315" s="206"/>
      <c r="I315" s="206"/>
      <c r="J315" s="206" t="str">
        <f t="shared" si="60"/>
        <v/>
      </c>
      <c r="K315" s="206" t="str">
        <f t="shared" si="62"/>
        <v/>
      </c>
      <c r="L315" s="206" t="str">
        <f t="shared" si="63"/>
        <v/>
      </c>
      <c r="M315" s="206" t="str">
        <f t="shared" si="64"/>
        <v/>
      </c>
      <c r="N315" s="206" t="str">
        <f t="shared" si="65"/>
        <v/>
      </c>
      <c r="O315" s="206" t="str">
        <f t="shared" si="66"/>
        <v/>
      </c>
      <c r="P315" s="84" t="str">
        <f t="shared" si="67"/>
        <v/>
      </c>
      <c r="Q315" s="205"/>
      <c r="R315" s="70" t="str">
        <f>IF(S315="IN",'BOM_Phan II'!$Y$3,"")</f>
        <v/>
      </c>
      <c r="S315" s="69" t="str">
        <f t="shared" si="59"/>
        <v/>
      </c>
      <c r="T315">
        <f t="shared" si="68"/>
        <v>3</v>
      </c>
      <c r="U315" t="str">
        <f t="shared" si="71"/>
        <v>KIỆN 14</v>
      </c>
      <c r="V315" t="str">
        <f t="shared" si="70"/>
        <v/>
      </c>
      <c r="W315" s="266"/>
      <c r="X315" s="266"/>
      <c r="Y315" s="266" t="str">
        <f t="shared" si="61"/>
        <v/>
      </c>
      <c r="Z315" s="266"/>
    </row>
    <row r="316" spans="1:26" ht="27" hidden="1" customHeight="1">
      <c r="A316" s="70" t="str">
        <f t="shared" si="57"/>
        <v/>
      </c>
      <c r="B316" s="70" t="str">
        <f t="shared" si="58"/>
        <v/>
      </c>
      <c r="C316" s="204" t="str" cm="1">
        <f t="array" ref="C316">IF(D316="","",
    IF(AND(ISNUMBER(D316), D316=INT(D316)),
        $V$6 &amp; " " &amp; (IFERROR(MAX($Y$12:$Y315), 0) + 1),
        IF(ISNUMBER(SEARCH(".", D316)), "", INDEX($C$12:$C316, MATCH(2, 1/($C$12:$C316 &lt;&gt; ""))))
    )
)</f>
        <v/>
      </c>
      <c r="D316" s="206"/>
      <c r="E316" s="206" t="str">
        <f>IF(AA316 = "", "",
    IF(ISNUMBER(SEARCH("Kiện", C316)),
       " GÓI " &amp; COUNTIF($C$13:C316, "*Kiện*") &amp; "/" &amp; COUNTIF($C$13:$C$1000, "*Kiện*") &amp; " " &amp; AA316,
       AA316)
)</f>
        <v/>
      </c>
      <c r="F316" s="206"/>
      <c r="G316" s="206"/>
      <c r="H316" s="206"/>
      <c r="I316" s="206"/>
      <c r="J316" s="206" t="str">
        <f t="shared" si="60"/>
        <v/>
      </c>
      <c r="K316" s="206" t="str">
        <f t="shared" si="62"/>
        <v/>
      </c>
      <c r="L316" s="206" t="str">
        <f t="shared" si="63"/>
        <v/>
      </c>
      <c r="M316" s="206" t="str">
        <f t="shared" si="64"/>
        <v/>
      </c>
      <c r="N316" s="206" t="str">
        <f t="shared" si="65"/>
        <v/>
      </c>
      <c r="O316" s="206" t="str">
        <f t="shared" si="66"/>
        <v/>
      </c>
      <c r="P316" s="84" t="str">
        <f t="shared" si="67"/>
        <v/>
      </c>
      <c r="Q316" s="205"/>
      <c r="R316" s="70" t="str">
        <f>IF(S316="IN",'BOM_Phan II'!$Y$3,"")</f>
        <v/>
      </c>
      <c r="S316" s="69" t="str">
        <f t="shared" si="59"/>
        <v/>
      </c>
      <c r="T316">
        <f t="shared" si="68"/>
        <v>3</v>
      </c>
      <c r="U316" t="str">
        <f t="shared" si="71"/>
        <v>KIỆN 14</v>
      </c>
      <c r="V316" t="str">
        <f t="shared" si="70"/>
        <v/>
      </c>
      <c r="W316" s="266"/>
      <c r="X316" s="266"/>
      <c r="Y316" s="266" t="str">
        <f t="shared" si="61"/>
        <v/>
      </c>
      <c r="Z316" s="266"/>
    </row>
    <row r="317" spans="1:26" ht="27" hidden="1" customHeight="1">
      <c r="A317" s="70" t="str">
        <f t="shared" si="57"/>
        <v/>
      </c>
      <c r="B317" s="70" t="str">
        <f t="shared" si="58"/>
        <v/>
      </c>
      <c r="C317" s="204" t="str" cm="1">
        <f t="array" ref="C317">IF(D317="","",
    IF(AND(ISNUMBER(D317), D317=INT(D317)),
        $V$6 &amp; " " &amp; (IFERROR(MAX($Y$12:$Y316), 0) + 1),
        IF(ISNUMBER(SEARCH(".", D317)), "", INDEX($C$12:$C317, MATCH(2, 1/($C$12:$C317 &lt;&gt; ""))))
    )
)</f>
        <v/>
      </c>
      <c r="D317" s="206"/>
      <c r="E317" s="206" t="str">
        <f>IF(AA317 = "", "",
    IF(ISNUMBER(SEARCH("Kiện", C317)),
       " GÓI " &amp; COUNTIF($C$13:C317, "*Kiện*") &amp; "/" &amp; COUNTIF($C$13:$C$1000, "*Kiện*") &amp; " " &amp; AA317,
       AA317)
)</f>
        <v/>
      </c>
      <c r="F317" s="206"/>
      <c r="G317" s="206"/>
      <c r="H317" s="206"/>
      <c r="I317" s="206"/>
      <c r="J317" s="206" t="str">
        <f t="shared" si="60"/>
        <v/>
      </c>
      <c r="K317" s="206" t="str">
        <f t="shared" si="62"/>
        <v/>
      </c>
      <c r="L317" s="206" t="str">
        <f t="shared" si="63"/>
        <v/>
      </c>
      <c r="M317" s="206" t="str">
        <f t="shared" si="64"/>
        <v/>
      </c>
      <c r="N317" s="206" t="str">
        <f t="shared" si="65"/>
        <v/>
      </c>
      <c r="O317" s="206" t="str">
        <f t="shared" si="66"/>
        <v/>
      </c>
      <c r="P317" s="84" t="str">
        <f t="shared" si="67"/>
        <v/>
      </c>
      <c r="Q317" s="205"/>
      <c r="R317" s="70" t="str">
        <f>IF(S317="IN",'BOM_Phan II'!$Y$3,"")</f>
        <v/>
      </c>
      <c r="S317" s="69" t="str">
        <f t="shared" si="59"/>
        <v/>
      </c>
      <c r="T317">
        <f t="shared" si="68"/>
        <v>3</v>
      </c>
      <c r="U317" t="str">
        <f t="shared" si="71"/>
        <v>KIỆN 14</v>
      </c>
      <c r="V317" t="str">
        <f t="shared" si="70"/>
        <v/>
      </c>
      <c r="W317" s="266"/>
      <c r="X317" s="266"/>
      <c r="Y317" s="266" t="str">
        <f t="shared" si="61"/>
        <v/>
      </c>
      <c r="Z317" s="266"/>
    </row>
    <row r="318" spans="1:26" ht="27" hidden="1" customHeight="1">
      <c r="A318" s="70" t="str">
        <f t="shared" si="57"/>
        <v/>
      </c>
      <c r="B318" s="70" t="str">
        <f t="shared" si="58"/>
        <v/>
      </c>
      <c r="C318" s="204" t="str" cm="1">
        <f t="array" ref="C318">IF(D318="","",
    IF(AND(ISNUMBER(D318), D318=INT(D318)),
        $V$6 &amp; " " &amp; (IFERROR(MAX($Y$12:$Y317), 0) + 1),
        IF(ISNUMBER(SEARCH(".", D318)), "", INDEX($C$12:$C318, MATCH(2, 1/($C$12:$C318 &lt;&gt; ""))))
    )
)</f>
        <v/>
      </c>
      <c r="D318" s="206"/>
      <c r="E318" s="206" t="str">
        <f>IF(AA318 = "", "",
    IF(ISNUMBER(SEARCH("Kiện", C318)),
       " GÓI " &amp; COUNTIF($C$13:C318, "*Kiện*") &amp; "/" &amp; COUNTIF($C$13:$C$1000, "*Kiện*") &amp; " " &amp; AA318,
       AA318)
)</f>
        <v/>
      </c>
      <c r="F318" s="206"/>
      <c r="G318" s="206"/>
      <c r="H318" s="206"/>
      <c r="I318" s="206"/>
      <c r="J318" s="206" t="str">
        <f t="shared" si="60"/>
        <v/>
      </c>
      <c r="K318" s="206" t="str">
        <f t="shared" si="62"/>
        <v/>
      </c>
      <c r="L318" s="206" t="str">
        <f t="shared" si="63"/>
        <v/>
      </c>
      <c r="M318" s="206" t="str">
        <f t="shared" si="64"/>
        <v/>
      </c>
      <c r="N318" s="206" t="str">
        <f t="shared" si="65"/>
        <v/>
      </c>
      <c r="O318" s="206" t="str">
        <f t="shared" si="66"/>
        <v/>
      </c>
      <c r="P318" s="84" t="str">
        <f t="shared" si="67"/>
        <v/>
      </c>
      <c r="Q318" s="205"/>
      <c r="R318" s="70" t="str">
        <f>IF(S318="IN",'BOM_Phan II'!$Y$3,"")</f>
        <v/>
      </c>
      <c r="S318" s="69" t="str">
        <f t="shared" si="59"/>
        <v/>
      </c>
      <c r="T318">
        <f t="shared" si="68"/>
        <v>3</v>
      </c>
      <c r="U318" t="str">
        <f t="shared" si="71"/>
        <v>KIỆN 14</v>
      </c>
      <c r="V318" t="str">
        <f t="shared" si="70"/>
        <v/>
      </c>
      <c r="W318" s="266"/>
      <c r="X318" s="266"/>
      <c r="Y318" s="266" t="str">
        <f t="shared" si="61"/>
        <v/>
      </c>
      <c r="Z318" s="266"/>
    </row>
    <row r="319" spans="1:26" ht="27" hidden="1" customHeight="1">
      <c r="A319" s="70" t="str">
        <f t="shared" si="57"/>
        <v/>
      </c>
      <c r="B319" s="70" t="str">
        <f t="shared" si="58"/>
        <v/>
      </c>
      <c r="C319" s="204" t="str" cm="1">
        <f t="array" ref="C319">IF(D319="","",
    IF(AND(ISNUMBER(D319), D319=INT(D319)),
        $V$6 &amp; " " &amp; (IFERROR(MAX($Y$12:$Y318), 0) + 1),
        IF(ISNUMBER(SEARCH(".", D319)), "", INDEX($C$12:$C319, MATCH(2, 1/($C$12:$C319 &lt;&gt; ""))))
    )
)</f>
        <v/>
      </c>
      <c r="D319" s="206"/>
      <c r="E319" s="206" t="str">
        <f>IF(AA319 = "", "",
    IF(ISNUMBER(SEARCH("Kiện", C319)),
       " GÓI " &amp; COUNTIF($C$13:C319, "*Kiện*") &amp; "/" &amp; COUNTIF($C$13:$C$1000, "*Kiện*") &amp; " " &amp; AA319,
       AA319)
)</f>
        <v/>
      </c>
      <c r="F319" s="206"/>
      <c r="G319" s="206"/>
      <c r="H319" s="206"/>
      <c r="I319" s="206"/>
      <c r="J319" s="206" t="str">
        <f t="shared" si="60"/>
        <v/>
      </c>
      <c r="K319" s="206" t="str">
        <f t="shared" si="62"/>
        <v/>
      </c>
      <c r="L319" s="206" t="str">
        <f t="shared" si="63"/>
        <v/>
      </c>
      <c r="M319" s="206" t="str">
        <f t="shared" si="64"/>
        <v/>
      </c>
      <c r="N319" s="206" t="str">
        <f t="shared" si="65"/>
        <v/>
      </c>
      <c r="O319" s="206" t="str">
        <f t="shared" si="66"/>
        <v/>
      </c>
      <c r="P319" s="84" t="str">
        <f t="shared" si="67"/>
        <v/>
      </c>
      <c r="Q319" s="205"/>
      <c r="R319" s="70" t="str">
        <f>IF(S319="IN",'BOM_Phan II'!$Y$3,"")</f>
        <v/>
      </c>
      <c r="S319" s="69" t="str">
        <f t="shared" si="59"/>
        <v/>
      </c>
      <c r="T319">
        <f t="shared" si="68"/>
        <v>3</v>
      </c>
      <c r="U319" t="str">
        <f t="shared" si="71"/>
        <v>KIỆN 14</v>
      </c>
      <c r="V319" t="str">
        <f t="shared" si="70"/>
        <v/>
      </c>
      <c r="W319" s="266"/>
      <c r="X319" s="266"/>
      <c r="Y319" s="266" t="str">
        <f t="shared" si="61"/>
        <v/>
      </c>
      <c r="Z319" s="266"/>
    </row>
    <row r="320" spans="1:26" ht="27" hidden="1" customHeight="1">
      <c r="A320" s="70" t="str">
        <f t="shared" si="57"/>
        <v/>
      </c>
      <c r="B320" s="70" t="str">
        <f t="shared" si="58"/>
        <v/>
      </c>
      <c r="C320" s="204" t="str" cm="1">
        <f t="array" ref="C320">IF(D320="","",
    IF(AND(ISNUMBER(D320), D320=INT(D320)),
        $V$6 &amp; " " &amp; (IFERROR(MAX($Y$12:$Y319), 0) + 1),
        IF(ISNUMBER(SEARCH(".", D320)), "", INDEX($C$12:$C320, MATCH(2, 1/($C$12:$C320 &lt;&gt; ""))))
    )
)</f>
        <v/>
      </c>
      <c r="D320" s="206"/>
      <c r="E320" s="206" t="str">
        <f>IF(AA320 = "", "",
    IF(ISNUMBER(SEARCH("Kiện", C320)),
       " GÓI " &amp; COUNTIF($C$13:C320, "*Kiện*") &amp; "/" &amp; COUNTIF($C$13:$C$1000, "*Kiện*") &amp; " " &amp; AA320,
       AA320)
)</f>
        <v/>
      </c>
      <c r="F320" s="206"/>
      <c r="G320" s="206"/>
      <c r="H320" s="206"/>
      <c r="I320" s="206"/>
      <c r="J320" s="206" t="str">
        <f t="shared" si="60"/>
        <v/>
      </c>
      <c r="K320" s="206" t="str">
        <f t="shared" si="62"/>
        <v/>
      </c>
      <c r="L320" s="206" t="str">
        <f t="shared" si="63"/>
        <v/>
      </c>
      <c r="M320" s="206" t="str">
        <f t="shared" si="64"/>
        <v/>
      </c>
      <c r="N320" s="206" t="str">
        <f t="shared" si="65"/>
        <v/>
      </c>
      <c r="O320" s="206" t="str">
        <f t="shared" si="66"/>
        <v/>
      </c>
      <c r="P320" s="84" t="str">
        <f t="shared" si="67"/>
        <v/>
      </c>
      <c r="Q320" s="205"/>
      <c r="R320" s="70" t="str">
        <f>IF(S320="IN",'BOM_Phan II'!$Y$3,"")</f>
        <v/>
      </c>
      <c r="S320" s="69" t="str">
        <f t="shared" si="59"/>
        <v/>
      </c>
      <c r="T320">
        <f t="shared" si="68"/>
        <v>3</v>
      </c>
      <c r="U320" t="str">
        <f t="shared" si="71"/>
        <v>KIỆN 14</v>
      </c>
      <c r="V320" t="str">
        <f t="shared" si="70"/>
        <v/>
      </c>
      <c r="W320" s="266"/>
      <c r="X320" s="266"/>
      <c r="Y320" s="266" t="str">
        <f t="shared" si="61"/>
        <v/>
      </c>
      <c r="Z320" s="266"/>
    </row>
    <row r="321" spans="1:26" ht="27" hidden="1" customHeight="1">
      <c r="A321" s="70" t="str">
        <f t="shared" si="57"/>
        <v/>
      </c>
      <c r="B321" s="70" t="str">
        <f t="shared" si="58"/>
        <v/>
      </c>
      <c r="C321" s="204" t="str" cm="1">
        <f t="array" ref="C321">IF(D321="","",
    IF(AND(ISNUMBER(D321), D321=INT(D321)),
        $V$6 &amp; " " &amp; (IFERROR(MAX($Y$12:$Y320), 0) + 1),
        IF(ISNUMBER(SEARCH(".", D321)), "", INDEX($C$12:$C321, MATCH(2, 1/($C$12:$C321 &lt;&gt; ""))))
    )
)</f>
        <v/>
      </c>
      <c r="D321" s="206"/>
      <c r="E321" s="206" t="str">
        <f>IF(AA321 = "", "",
    IF(ISNUMBER(SEARCH("Kiện", C321)),
       " GÓI " &amp; COUNTIF($C$13:C321, "*Kiện*") &amp; "/" &amp; COUNTIF($C$13:$C$1000, "*Kiện*") &amp; " " &amp; AA321,
       AA321)
)</f>
        <v/>
      </c>
      <c r="F321" s="206"/>
      <c r="G321" s="206"/>
      <c r="H321" s="206"/>
      <c r="I321" s="206"/>
      <c r="J321" s="206" t="str">
        <f t="shared" si="60"/>
        <v/>
      </c>
      <c r="K321" s="206" t="str">
        <f t="shared" si="62"/>
        <v/>
      </c>
      <c r="L321" s="206" t="str">
        <f t="shared" si="63"/>
        <v/>
      </c>
      <c r="M321" s="206" t="str">
        <f t="shared" si="64"/>
        <v/>
      </c>
      <c r="N321" s="206" t="str">
        <f t="shared" si="65"/>
        <v/>
      </c>
      <c r="O321" s="206" t="str">
        <f t="shared" si="66"/>
        <v/>
      </c>
      <c r="P321" s="84" t="str">
        <f t="shared" si="67"/>
        <v/>
      </c>
      <c r="Q321" s="205"/>
      <c r="R321" s="70" t="str">
        <f>IF(S321="IN",'BOM_Phan II'!$Y$3,"")</f>
        <v/>
      </c>
      <c r="S321" s="69" t="str">
        <f t="shared" si="59"/>
        <v/>
      </c>
      <c r="T321">
        <f t="shared" si="68"/>
        <v>3</v>
      </c>
      <c r="U321" t="str">
        <f t="shared" si="71"/>
        <v>KIỆN 14</v>
      </c>
      <c r="V321" t="str">
        <f t="shared" si="70"/>
        <v/>
      </c>
      <c r="W321" s="266"/>
      <c r="X321" s="266"/>
      <c r="Y321" s="266" t="str">
        <f t="shared" si="61"/>
        <v/>
      </c>
      <c r="Z321" s="266"/>
    </row>
    <row r="322" spans="1:26" ht="27" hidden="1" customHeight="1">
      <c r="A322" s="70" t="str">
        <f t="shared" si="57"/>
        <v/>
      </c>
      <c r="B322" s="70" t="str">
        <f t="shared" si="58"/>
        <v/>
      </c>
      <c r="C322" s="204" t="str" cm="1">
        <f t="array" ref="C322">IF(D322="","",
    IF(AND(ISNUMBER(D322), D322=INT(D322)),
        $V$6 &amp; " " &amp; (IFERROR(MAX($Y$12:$Y321), 0) + 1),
        IF(ISNUMBER(SEARCH(".", D322)), "", INDEX($C$12:$C322, MATCH(2, 1/($C$12:$C322 &lt;&gt; ""))))
    )
)</f>
        <v/>
      </c>
      <c r="D322" s="206"/>
      <c r="E322" s="206" t="str">
        <f>IF(AA322 = "", "",
    IF(ISNUMBER(SEARCH("Kiện", C322)),
       " GÓI " &amp; COUNTIF($C$13:C322, "*Kiện*") &amp; "/" &amp; COUNTIF($C$13:$C$1000, "*Kiện*") &amp; " " &amp; AA322,
       AA322)
)</f>
        <v/>
      </c>
      <c r="F322" s="206"/>
      <c r="G322" s="206"/>
      <c r="H322" s="206"/>
      <c r="I322" s="206"/>
      <c r="J322" s="206" t="str">
        <f t="shared" si="60"/>
        <v/>
      </c>
      <c r="K322" s="206" t="str">
        <f t="shared" si="62"/>
        <v/>
      </c>
      <c r="L322" s="206" t="str">
        <f t="shared" si="63"/>
        <v/>
      </c>
      <c r="M322" s="206" t="str">
        <f t="shared" si="64"/>
        <v/>
      </c>
      <c r="N322" s="206" t="str">
        <f t="shared" si="65"/>
        <v/>
      </c>
      <c r="O322" s="206" t="str">
        <f t="shared" si="66"/>
        <v/>
      </c>
      <c r="P322" s="84" t="str">
        <f t="shared" si="67"/>
        <v/>
      </c>
      <c r="Q322" s="205"/>
      <c r="R322" s="70" t="str">
        <f>IF(S322="IN",'BOM_Phan II'!$Y$3,"")</f>
        <v/>
      </c>
      <c r="S322" s="69" t="str">
        <f t="shared" si="59"/>
        <v/>
      </c>
      <c r="T322">
        <f t="shared" si="68"/>
        <v>3</v>
      </c>
      <c r="U322" t="str">
        <f t="shared" si="71"/>
        <v>KIỆN 14</v>
      </c>
      <c r="V322" t="str">
        <f t="shared" si="70"/>
        <v/>
      </c>
      <c r="W322" s="266"/>
      <c r="X322" s="266"/>
      <c r="Y322" s="266" t="str">
        <f t="shared" si="61"/>
        <v/>
      </c>
      <c r="Z322" s="266"/>
    </row>
    <row r="323" spans="1:26" ht="27" hidden="1" customHeight="1">
      <c r="A323" s="70" t="str">
        <f t="shared" si="57"/>
        <v/>
      </c>
      <c r="B323" s="70" t="str">
        <f t="shared" si="58"/>
        <v/>
      </c>
      <c r="C323" s="204" t="str" cm="1">
        <f t="array" ref="C323">IF(D323="","",
    IF(AND(ISNUMBER(D323), D323=INT(D323)),
        $V$6 &amp; " " &amp; (IFERROR(MAX($Y$12:$Y322), 0) + 1),
        IF(ISNUMBER(SEARCH(".", D323)), "", INDEX($C$12:$C323, MATCH(2, 1/($C$12:$C323 &lt;&gt; ""))))
    )
)</f>
        <v/>
      </c>
      <c r="D323" s="206"/>
      <c r="E323" s="206" t="str">
        <f>IF(AA323 = "", "",
    IF(ISNUMBER(SEARCH("Kiện", C323)),
       " GÓI " &amp; COUNTIF($C$13:C323, "*Kiện*") &amp; "/" &amp; COUNTIF($C$13:$C$1000, "*Kiện*") &amp; " " &amp; AA323,
       AA323)
)</f>
        <v/>
      </c>
      <c r="F323" s="206"/>
      <c r="G323" s="206"/>
      <c r="H323" s="206"/>
      <c r="I323" s="206"/>
      <c r="J323" s="206" t="str">
        <f t="shared" si="60"/>
        <v/>
      </c>
      <c r="K323" s="206" t="str">
        <f t="shared" si="62"/>
        <v/>
      </c>
      <c r="L323" s="206" t="str">
        <f t="shared" si="63"/>
        <v/>
      </c>
      <c r="M323" s="206" t="str">
        <f t="shared" si="64"/>
        <v/>
      </c>
      <c r="N323" s="206" t="str">
        <f t="shared" si="65"/>
        <v/>
      </c>
      <c r="O323" s="206" t="str">
        <f t="shared" si="66"/>
        <v/>
      </c>
      <c r="P323" s="84" t="str">
        <f t="shared" si="67"/>
        <v/>
      </c>
      <c r="Q323" s="205"/>
      <c r="R323" s="70" t="str">
        <f>IF(S323="IN",'BOM_Phan II'!$Y$3,"")</f>
        <v/>
      </c>
      <c r="S323" s="69" t="str">
        <f t="shared" si="59"/>
        <v/>
      </c>
      <c r="T323">
        <f t="shared" si="68"/>
        <v>3</v>
      </c>
      <c r="U323" t="str">
        <f t="shared" si="71"/>
        <v>KIỆN 14</v>
      </c>
      <c r="V323" t="str">
        <f t="shared" si="70"/>
        <v/>
      </c>
      <c r="W323" s="266"/>
      <c r="X323" s="266"/>
      <c r="Y323" s="266" t="str">
        <f t="shared" si="61"/>
        <v/>
      </c>
      <c r="Z323" s="266"/>
    </row>
    <row r="324" spans="1:26" ht="27" hidden="1" customHeight="1">
      <c r="A324" s="70" t="str">
        <f t="shared" si="57"/>
        <v/>
      </c>
      <c r="B324" s="70" t="str">
        <f t="shared" si="58"/>
        <v/>
      </c>
      <c r="C324" s="204" t="str" cm="1">
        <f t="array" ref="C324">IF(D324="","",
    IF(AND(ISNUMBER(D324), D324=INT(D324)),
        $V$6 &amp; " " &amp; (IFERROR(MAX($Y$12:$Y323), 0) + 1),
        IF(ISNUMBER(SEARCH(".", D324)), "", INDEX($C$12:$C324, MATCH(2, 1/($C$12:$C324 &lt;&gt; ""))))
    )
)</f>
        <v/>
      </c>
      <c r="D324" s="206"/>
      <c r="E324" s="206" t="str">
        <f>IF(AA324 = "", "",
    IF(ISNUMBER(SEARCH("Kiện", C324)),
       " GÓI " &amp; COUNTIF($C$13:C324, "*Kiện*") &amp; "/" &amp; COUNTIF($C$13:$C$1000, "*Kiện*") &amp; " " &amp; AA324,
       AA324)
)</f>
        <v/>
      </c>
      <c r="F324" s="206"/>
      <c r="G324" s="206"/>
      <c r="H324" s="206"/>
      <c r="I324" s="206"/>
      <c r="J324" s="206" t="str">
        <f t="shared" si="60"/>
        <v/>
      </c>
      <c r="K324" s="206" t="str">
        <f t="shared" si="62"/>
        <v/>
      </c>
      <c r="L324" s="206" t="str">
        <f t="shared" si="63"/>
        <v/>
      </c>
      <c r="M324" s="206" t="str">
        <f t="shared" si="64"/>
        <v/>
      </c>
      <c r="N324" s="206" t="str">
        <f t="shared" si="65"/>
        <v/>
      </c>
      <c r="O324" s="206" t="str">
        <f t="shared" si="66"/>
        <v/>
      </c>
      <c r="P324" s="84" t="str">
        <f t="shared" si="67"/>
        <v/>
      </c>
      <c r="Q324" s="205"/>
      <c r="R324" s="70" t="str">
        <f>IF(S324="IN",'BOM_Phan II'!$Y$3,"")</f>
        <v/>
      </c>
      <c r="S324" s="69" t="str">
        <f t="shared" si="59"/>
        <v/>
      </c>
      <c r="T324">
        <f t="shared" si="68"/>
        <v>3</v>
      </c>
      <c r="U324" t="str">
        <f t="shared" si="71"/>
        <v>KIỆN 14</v>
      </c>
      <c r="V324" t="str">
        <f t="shared" si="70"/>
        <v/>
      </c>
      <c r="W324" s="266"/>
      <c r="X324" s="266"/>
      <c r="Y324" s="266" t="str">
        <f t="shared" si="61"/>
        <v/>
      </c>
      <c r="Z324" s="266"/>
    </row>
    <row r="325" spans="1:26" ht="27" hidden="1" customHeight="1">
      <c r="A325" s="70" t="str">
        <f t="shared" si="57"/>
        <v/>
      </c>
      <c r="B325" s="70" t="str">
        <f t="shared" si="58"/>
        <v/>
      </c>
      <c r="C325" s="204" t="str" cm="1">
        <f t="array" ref="C325">IF(D325="","",
    IF(AND(ISNUMBER(D325), D325=INT(D325)),
        $V$6 &amp; " " &amp; (IFERROR(MAX($Y$12:$Y324), 0) + 1),
        IF(ISNUMBER(SEARCH(".", D325)), "", INDEX($C$12:$C325, MATCH(2, 1/($C$12:$C325 &lt;&gt; ""))))
    )
)</f>
        <v/>
      </c>
      <c r="D325" s="206"/>
      <c r="E325" s="206" t="str">
        <f>IF(AA325 = "", "",
    IF(ISNUMBER(SEARCH("Kiện", C325)),
       " GÓI " &amp; COUNTIF($C$13:C325, "*Kiện*") &amp; "/" &amp; COUNTIF($C$13:$C$1000, "*Kiện*") &amp; " " &amp; AA325,
       AA325)
)</f>
        <v/>
      </c>
      <c r="F325" s="206"/>
      <c r="G325" s="206"/>
      <c r="H325" s="206"/>
      <c r="I325" s="206"/>
      <c r="J325" s="206" t="str">
        <f t="shared" si="60"/>
        <v/>
      </c>
      <c r="K325" s="206" t="str">
        <f t="shared" si="62"/>
        <v/>
      </c>
      <c r="L325" s="206" t="str">
        <f t="shared" si="63"/>
        <v/>
      </c>
      <c r="M325" s="206" t="str">
        <f t="shared" si="64"/>
        <v/>
      </c>
      <c r="N325" s="206" t="str">
        <f t="shared" si="65"/>
        <v/>
      </c>
      <c r="O325" s="206" t="str">
        <f t="shared" si="66"/>
        <v/>
      </c>
      <c r="P325" s="84" t="str">
        <f t="shared" si="67"/>
        <v/>
      </c>
      <c r="Q325" s="205"/>
      <c r="R325" s="70" t="str">
        <f>IF(S325="IN",'BOM_Phan II'!$Y$3,"")</f>
        <v/>
      </c>
      <c r="S325" s="69" t="str">
        <f t="shared" si="59"/>
        <v/>
      </c>
      <c r="T325">
        <f t="shared" si="68"/>
        <v>3</v>
      </c>
      <c r="U325" t="str">
        <f t="shared" si="71"/>
        <v>KIỆN 14</v>
      </c>
      <c r="V325" t="str">
        <f t="shared" si="70"/>
        <v/>
      </c>
      <c r="W325" s="266"/>
      <c r="X325" s="266"/>
      <c r="Y325" s="266" t="str">
        <f t="shared" si="61"/>
        <v/>
      </c>
      <c r="Z325" s="266"/>
    </row>
    <row r="326" spans="1:26" ht="27" hidden="1" customHeight="1">
      <c r="A326" s="70" t="str">
        <f t="shared" si="57"/>
        <v/>
      </c>
      <c r="B326" s="70" t="str">
        <f t="shared" si="58"/>
        <v/>
      </c>
      <c r="C326" s="204" t="str" cm="1">
        <f t="array" ref="C326">IF(D326="","",
    IF(AND(ISNUMBER(D326), D326=INT(D326)),
        $V$6 &amp; " " &amp; (IFERROR(MAX($Y$12:$Y325), 0) + 1),
        IF(ISNUMBER(SEARCH(".", D326)), "", INDEX($C$12:$C326, MATCH(2, 1/($C$12:$C326 &lt;&gt; ""))))
    )
)</f>
        <v/>
      </c>
      <c r="D326" s="206"/>
      <c r="E326" s="206" t="str">
        <f>IF(AA326 = "", "",
    IF(ISNUMBER(SEARCH("Kiện", C326)),
       " GÓI " &amp; COUNTIF($C$13:C326, "*Kiện*") &amp; "/" &amp; COUNTIF($C$13:$C$1000, "*Kiện*") &amp; " " &amp; AA326,
       AA326)
)</f>
        <v/>
      </c>
      <c r="F326" s="206"/>
      <c r="G326" s="206"/>
      <c r="H326" s="206"/>
      <c r="I326" s="206"/>
      <c r="J326" s="206" t="str">
        <f t="shared" si="60"/>
        <v/>
      </c>
      <c r="K326" s="206" t="str">
        <f t="shared" si="62"/>
        <v/>
      </c>
      <c r="L326" s="206" t="str">
        <f t="shared" si="63"/>
        <v/>
      </c>
      <c r="M326" s="206" t="str">
        <f t="shared" si="64"/>
        <v/>
      </c>
      <c r="N326" s="206" t="str">
        <f t="shared" si="65"/>
        <v/>
      </c>
      <c r="O326" s="206" t="str">
        <f t="shared" si="66"/>
        <v/>
      </c>
      <c r="P326" s="84" t="str">
        <f t="shared" si="67"/>
        <v/>
      </c>
      <c r="Q326" s="205"/>
      <c r="R326" s="70" t="str">
        <f>IF(S326="IN",'BOM_Phan II'!$Y$3,"")</f>
        <v/>
      </c>
      <c r="S326" s="69" t="str">
        <f t="shared" si="59"/>
        <v/>
      </c>
      <c r="T326">
        <f t="shared" si="68"/>
        <v>3</v>
      </c>
      <c r="U326" t="str">
        <f t="shared" si="71"/>
        <v>KIỆN 14</v>
      </c>
      <c r="V326" t="str">
        <f t="shared" si="70"/>
        <v/>
      </c>
      <c r="W326" s="266"/>
      <c r="X326" s="266"/>
      <c r="Y326" s="266" t="str">
        <f t="shared" si="61"/>
        <v/>
      </c>
      <c r="Z326" s="266"/>
    </row>
    <row r="327" spans="1:26" ht="27" hidden="1" customHeight="1">
      <c r="A327" s="70" t="str">
        <f t="shared" si="57"/>
        <v/>
      </c>
      <c r="B327" s="70" t="str">
        <f t="shared" si="58"/>
        <v/>
      </c>
      <c r="C327" s="204" t="str" cm="1">
        <f t="array" ref="C327">IF(D327="","",
    IF(AND(ISNUMBER(D327), D327=INT(D327)),
        $V$6 &amp; " " &amp; (IFERROR(MAX($Y$12:$Y326), 0) + 1),
        IF(ISNUMBER(SEARCH(".", D327)), "", INDEX($C$12:$C327, MATCH(2, 1/($C$12:$C327 &lt;&gt; ""))))
    )
)</f>
        <v/>
      </c>
      <c r="D327" s="206"/>
      <c r="E327" s="206" t="str">
        <f>IF(AA327 = "", "",
    IF(ISNUMBER(SEARCH("Kiện", C327)),
       " GÓI " &amp; COUNTIF($C$13:C327, "*Kiện*") &amp; "/" &amp; COUNTIF($C$13:$C$1000, "*Kiện*") &amp; " " &amp; AA327,
       AA327)
)</f>
        <v/>
      </c>
      <c r="F327" s="206"/>
      <c r="G327" s="206"/>
      <c r="H327" s="206"/>
      <c r="I327" s="206"/>
      <c r="J327" s="206" t="str">
        <f t="shared" si="60"/>
        <v/>
      </c>
      <c r="K327" s="206" t="str">
        <f t="shared" si="62"/>
        <v/>
      </c>
      <c r="L327" s="206" t="str">
        <f t="shared" si="63"/>
        <v/>
      </c>
      <c r="M327" s="206" t="str">
        <f t="shared" si="64"/>
        <v/>
      </c>
      <c r="N327" s="206" t="str">
        <f t="shared" si="65"/>
        <v/>
      </c>
      <c r="O327" s="206" t="str">
        <f t="shared" si="66"/>
        <v/>
      </c>
      <c r="P327" s="84" t="str">
        <f t="shared" si="67"/>
        <v/>
      </c>
      <c r="Q327" s="205"/>
      <c r="R327" s="70" t="str">
        <f>IF(S327="IN",'BOM_Phan II'!$Y$3,"")</f>
        <v/>
      </c>
      <c r="S327" s="69" t="str">
        <f t="shared" si="59"/>
        <v/>
      </c>
      <c r="T327">
        <f t="shared" si="68"/>
        <v>3</v>
      </c>
      <c r="U327" t="str">
        <f t="shared" si="71"/>
        <v>KIỆN 14</v>
      </c>
      <c r="V327" t="str">
        <f t="shared" si="70"/>
        <v/>
      </c>
      <c r="W327" s="266"/>
      <c r="X327" s="266"/>
      <c r="Y327" s="266" t="str">
        <f t="shared" si="61"/>
        <v/>
      </c>
      <c r="Z327" s="266"/>
    </row>
    <row r="328" spans="1:26" ht="27" hidden="1" customHeight="1">
      <c r="A328" s="70" t="str">
        <f t="shared" si="57"/>
        <v/>
      </c>
      <c r="B328" s="70" t="str">
        <f t="shared" si="58"/>
        <v/>
      </c>
      <c r="C328" s="204" t="str" cm="1">
        <f t="array" ref="C328">IF(D328="","",
    IF(AND(ISNUMBER(D328), D328=INT(D328)),
        $V$6 &amp; " " &amp; (IFERROR(MAX($Y$12:$Y327), 0) + 1),
        IF(ISNUMBER(SEARCH(".", D328)), "", INDEX($C$12:$C328, MATCH(2, 1/($C$12:$C328 &lt;&gt; ""))))
    )
)</f>
        <v/>
      </c>
      <c r="D328" s="206"/>
      <c r="E328" s="206" t="str">
        <f>IF(AA328 = "", "",
    IF(ISNUMBER(SEARCH("Kiện", C328)),
       " GÓI " &amp; COUNTIF($C$13:C328, "*Kiện*") &amp; "/" &amp; COUNTIF($C$13:$C$1000, "*Kiện*") &amp; " " &amp; AA328,
       AA328)
)</f>
        <v/>
      </c>
      <c r="F328" s="206"/>
      <c r="G328" s="206"/>
      <c r="H328" s="206"/>
      <c r="I328" s="206"/>
      <c r="J328" s="206" t="str">
        <f t="shared" si="60"/>
        <v/>
      </c>
      <c r="K328" s="206" t="str">
        <f t="shared" si="62"/>
        <v/>
      </c>
      <c r="L328" s="206" t="str">
        <f t="shared" si="63"/>
        <v/>
      </c>
      <c r="M328" s="206" t="str">
        <f t="shared" si="64"/>
        <v/>
      </c>
      <c r="N328" s="206" t="str">
        <f t="shared" si="65"/>
        <v/>
      </c>
      <c r="O328" s="206" t="str">
        <f t="shared" si="66"/>
        <v/>
      </c>
      <c r="P328" s="84" t="str">
        <f t="shared" si="67"/>
        <v/>
      </c>
      <c r="Q328" s="205"/>
      <c r="R328" s="70" t="str">
        <f>IF(S328="IN",'BOM_Phan II'!$Y$3,"")</f>
        <v/>
      </c>
      <c r="S328" s="69" t="str">
        <f t="shared" si="59"/>
        <v/>
      </c>
      <c r="T328">
        <f t="shared" si="68"/>
        <v>3</v>
      </c>
      <c r="U328" t="str">
        <f t="shared" si="71"/>
        <v>KIỆN 14</v>
      </c>
      <c r="V328" t="str">
        <f t="shared" si="70"/>
        <v/>
      </c>
      <c r="W328" s="266"/>
      <c r="X328" s="266"/>
      <c r="Y328" s="266" t="str">
        <f t="shared" si="61"/>
        <v/>
      </c>
      <c r="Z328" s="266"/>
    </row>
    <row r="329" spans="1:26" ht="27" hidden="1" customHeight="1">
      <c r="A329" s="70" t="str">
        <f t="shared" si="57"/>
        <v/>
      </c>
      <c r="B329" s="70" t="str">
        <f t="shared" si="58"/>
        <v/>
      </c>
      <c r="C329" s="204" t="str" cm="1">
        <f t="array" ref="C329">IF(D329="","",
    IF(AND(ISNUMBER(D329), D329=INT(D329)),
        $V$6 &amp; " " &amp; (IFERROR(MAX($Y$12:$Y328), 0) + 1),
        IF(ISNUMBER(SEARCH(".", D329)), "", INDEX($C$12:$C329, MATCH(2, 1/($C$12:$C329 &lt;&gt; ""))))
    )
)</f>
        <v/>
      </c>
      <c r="D329" s="206"/>
      <c r="E329" s="206" t="str">
        <f>IF(AA329 = "", "",
    IF(ISNUMBER(SEARCH("Kiện", C329)),
       " GÓI " &amp; COUNTIF($C$13:C329, "*Kiện*") &amp; "/" &amp; COUNTIF($C$13:$C$1000, "*Kiện*") &amp; " " &amp; AA329,
       AA329)
)</f>
        <v/>
      </c>
      <c r="F329" s="206"/>
      <c r="G329" s="206"/>
      <c r="H329" s="206"/>
      <c r="I329" s="206"/>
      <c r="J329" s="206" t="str">
        <f t="shared" si="60"/>
        <v/>
      </c>
      <c r="K329" s="206" t="str">
        <f t="shared" si="62"/>
        <v/>
      </c>
      <c r="L329" s="206" t="str">
        <f t="shared" si="63"/>
        <v/>
      </c>
      <c r="M329" s="206" t="str">
        <f t="shared" si="64"/>
        <v/>
      </c>
      <c r="N329" s="206" t="str">
        <f t="shared" si="65"/>
        <v/>
      </c>
      <c r="O329" s="206" t="str">
        <f t="shared" si="66"/>
        <v/>
      </c>
      <c r="P329" s="84" t="str">
        <f t="shared" si="67"/>
        <v/>
      </c>
      <c r="Q329" s="205"/>
      <c r="R329" s="70" t="str">
        <f>IF(S329="IN",'BOM_Phan II'!$Y$3,"")</f>
        <v/>
      </c>
      <c r="S329" s="69" t="str">
        <f t="shared" si="59"/>
        <v/>
      </c>
      <c r="T329">
        <f t="shared" si="68"/>
        <v>3</v>
      </c>
      <c r="U329" t="str">
        <f t="shared" si="71"/>
        <v>KIỆN 14</v>
      </c>
      <c r="V329" t="str">
        <f t="shared" si="70"/>
        <v/>
      </c>
      <c r="W329" s="266"/>
      <c r="X329" s="266"/>
      <c r="Y329" s="266" t="str">
        <f t="shared" si="61"/>
        <v/>
      </c>
      <c r="Z329" s="266"/>
    </row>
    <row r="330" spans="1:26" ht="27" hidden="1" customHeight="1">
      <c r="A330" s="70" t="str">
        <f t="shared" si="57"/>
        <v/>
      </c>
      <c r="B330" s="70" t="str">
        <f t="shared" si="58"/>
        <v/>
      </c>
      <c r="C330" s="204" t="str" cm="1">
        <f t="array" ref="C330">IF(D330="","",
    IF(AND(ISNUMBER(D330), D330=INT(D330)),
        $V$6 &amp; " " &amp; (IFERROR(MAX($Y$12:$Y329), 0) + 1),
        IF(ISNUMBER(SEARCH(".", D330)), "", INDEX($C$12:$C330, MATCH(2, 1/($C$12:$C330 &lt;&gt; ""))))
    )
)</f>
        <v/>
      </c>
      <c r="D330" s="206"/>
      <c r="E330" s="206" t="str">
        <f>IF(AA330 = "", "",
    IF(ISNUMBER(SEARCH("Kiện", C330)),
       " GÓI " &amp; COUNTIF($C$13:C330, "*Kiện*") &amp; "/" &amp; COUNTIF($C$13:$C$1000, "*Kiện*") &amp; " " &amp; AA330,
       AA330)
)</f>
        <v/>
      </c>
      <c r="F330" s="206"/>
      <c r="G330" s="206"/>
      <c r="H330" s="206"/>
      <c r="I330" s="206"/>
      <c r="J330" s="206" t="str">
        <f t="shared" si="60"/>
        <v/>
      </c>
      <c r="K330" s="206" t="str">
        <f t="shared" si="62"/>
        <v/>
      </c>
      <c r="L330" s="206" t="str">
        <f t="shared" si="63"/>
        <v/>
      </c>
      <c r="M330" s="206" t="str">
        <f t="shared" si="64"/>
        <v/>
      </c>
      <c r="N330" s="206" t="str">
        <f t="shared" si="65"/>
        <v/>
      </c>
      <c r="O330" s="206" t="str">
        <f t="shared" si="66"/>
        <v/>
      </c>
      <c r="P330" s="84" t="str">
        <f t="shared" si="67"/>
        <v/>
      </c>
      <c r="Q330" s="205"/>
      <c r="R330" s="70" t="str">
        <f>IF(S330="IN",'BOM_Phan II'!$Y$3,"")</f>
        <v/>
      </c>
      <c r="S330" s="69" t="str">
        <f t="shared" si="59"/>
        <v/>
      </c>
      <c r="T330">
        <f t="shared" si="68"/>
        <v>3</v>
      </c>
      <c r="U330" t="str">
        <f t="shared" si="71"/>
        <v>KIỆN 14</v>
      </c>
      <c r="V330" t="str">
        <f t="shared" si="70"/>
        <v/>
      </c>
      <c r="W330" s="266"/>
      <c r="X330" s="266"/>
      <c r="Y330" s="266" t="str">
        <f t="shared" si="61"/>
        <v/>
      </c>
      <c r="Z330" s="266"/>
    </row>
    <row r="331" spans="1:26" ht="27" hidden="1" customHeight="1">
      <c r="A331" s="70" t="str">
        <f t="shared" si="57"/>
        <v/>
      </c>
      <c r="B331" s="70" t="str">
        <f t="shared" si="58"/>
        <v/>
      </c>
      <c r="C331" s="204" t="str" cm="1">
        <f t="array" ref="C331">IF(D331="","",
    IF(AND(ISNUMBER(D331), D331=INT(D331)),
        $V$6 &amp; " " &amp; (IFERROR(MAX($Y$12:$Y330), 0) + 1),
        IF(ISNUMBER(SEARCH(".", D331)), "", INDEX($C$12:$C331, MATCH(2, 1/($C$12:$C331 &lt;&gt; ""))))
    )
)</f>
        <v/>
      </c>
      <c r="D331" s="206"/>
      <c r="E331" s="206" t="str">
        <f>IF(AA331 = "", "",
    IF(ISNUMBER(SEARCH("Kiện", C331)),
       " GÓI " &amp; COUNTIF($C$13:C331, "*Kiện*") &amp; "/" &amp; COUNTIF($C$13:$C$1000, "*Kiện*") &amp; " " &amp; AA331,
       AA331)
)</f>
        <v/>
      </c>
      <c r="F331" s="206"/>
      <c r="G331" s="206"/>
      <c r="H331" s="206"/>
      <c r="I331" s="206"/>
      <c r="J331" s="206" t="str">
        <f t="shared" si="60"/>
        <v/>
      </c>
      <c r="K331" s="206" t="str">
        <f t="shared" si="62"/>
        <v/>
      </c>
      <c r="L331" s="206" t="str">
        <f t="shared" si="63"/>
        <v/>
      </c>
      <c r="M331" s="206" t="str">
        <f t="shared" si="64"/>
        <v/>
      </c>
      <c r="N331" s="206" t="str">
        <f t="shared" si="65"/>
        <v/>
      </c>
      <c r="O331" s="206" t="str">
        <f t="shared" si="66"/>
        <v/>
      </c>
      <c r="P331" s="84" t="str">
        <f t="shared" si="67"/>
        <v/>
      </c>
      <c r="Q331" s="205"/>
      <c r="R331" s="70" t="str">
        <f>IF(S331="IN",'BOM_Phan II'!$Y$3,"")</f>
        <v/>
      </c>
      <c r="S331" s="69" t="str">
        <f t="shared" si="59"/>
        <v/>
      </c>
      <c r="T331">
        <f t="shared" si="68"/>
        <v>3</v>
      </c>
      <c r="U331" t="str">
        <f t="shared" si="71"/>
        <v>KIỆN 14</v>
      </c>
      <c r="V331" t="str">
        <f t="shared" si="70"/>
        <v/>
      </c>
      <c r="W331" s="266"/>
      <c r="X331" s="266"/>
      <c r="Y331" s="266" t="str">
        <f t="shared" si="61"/>
        <v/>
      </c>
      <c r="Z331" s="266"/>
    </row>
    <row r="332" spans="1:26" ht="27" hidden="1" customHeight="1">
      <c r="A332" s="70" t="str">
        <f t="shared" ref="A332:A395" si="72">IF(S332="IN",$E$6,"")</f>
        <v/>
      </c>
      <c r="B332" s="70" t="str">
        <f t="shared" ref="B332:B395" si="73">IF(S332="IN","Muc "&amp;$E$7,"")</f>
        <v/>
      </c>
      <c r="C332" s="204" t="str" cm="1">
        <f t="array" ref="C332">IF(D332="","",
    IF(AND(ISNUMBER(D332), D332=INT(D332)),
        $V$6 &amp; " " &amp; (IFERROR(MAX($Y$12:$Y331), 0) + 1),
        IF(ISNUMBER(SEARCH(".", D332)), "", INDEX($C$12:$C332, MATCH(2, 1/($C$12:$C332 &lt;&gt; ""))))
    )
)</f>
        <v/>
      </c>
      <c r="D332" s="206"/>
      <c r="E332" s="206" t="str">
        <f>IF(AA332 = "", "",
    IF(ISNUMBER(SEARCH("Kiện", C332)),
       " GÓI " &amp; COUNTIF($C$13:C332, "*Kiện*") &amp; "/" &amp; COUNTIF($C$13:$C$1000, "*Kiện*") &amp; " " &amp; AA332,
       AA332)
)</f>
        <v/>
      </c>
      <c r="F332" s="206"/>
      <c r="G332" s="206"/>
      <c r="H332" s="206"/>
      <c r="I332" s="206"/>
      <c r="J332" s="206" t="str">
        <f t="shared" si="60"/>
        <v/>
      </c>
      <c r="K332" s="206" t="str">
        <f t="shared" si="62"/>
        <v/>
      </c>
      <c r="L332" s="206" t="str">
        <f t="shared" si="63"/>
        <v/>
      </c>
      <c r="M332" s="206" t="str">
        <f t="shared" si="64"/>
        <v/>
      </c>
      <c r="N332" s="206" t="str">
        <f t="shared" si="65"/>
        <v/>
      </c>
      <c r="O332" s="206" t="str">
        <f t="shared" si="66"/>
        <v/>
      </c>
      <c r="P332" s="84" t="str">
        <f t="shared" si="67"/>
        <v/>
      </c>
      <c r="Q332" s="205"/>
      <c r="R332" s="70" t="str">
        <f>IF(S332="IN",'BOM_Phan II'!$Y$3,"")</f>
        <v/>
      </c>
      <c r="S332" s="69" t="str">
        <f t="shared" ref="S332:S395" si="74">IF(OR(E332&lt;&gt;"",D332&lt;&gt;""),"IN","")</f>
        <v/>
      </c>
      <c r="T332">
        <f t="shared" si="68"/>
        <v>3</v>
      </c>
      <c r="U332" t="str">
        <f t="shared" si="71"/>
        <v>KIỆN 14</v>
      </c>
      <c r="V332" t="str">
        <f t="shared" si="70"/>
        <v/>
      </c>
      <c r="W332" s="266"/>
      <c r="X332" s="266"/>
      <c r="Y332" s="266" t="str">
        <f t="shared" si="61"/>
        <v/>
      </c>
      <c r="Z332" s="266"/>
    </row>
    <row r="333" spans="1:26" ht="27" hidden="1" customHeight="1">
      <c r="A333" s="70" t="str">
        <f t="shared" si="72"/>
        <v/>
      </c>
      <c r="B333" s="70" t="str">
        <f t="shared" si="73"/>
        <v/>
      </c>
      <c r="C333" s="204" t="str" cm="1">
        <f t="array" ref="C333">IF(D333="","",
    IF(AND(ISNUMBER(D333), D333=INT(D333)),
        $V$6 &amp; " " &amp; (IFERROR(MAX($Y$12:$Y332), 0) + 1),
        IF(ISNUMBER(SEARCH(".", D333)), "", INDEX($C$12:$C333, MATCH(2, 1/($C$12:$C333 &lt;&gt; ""))))
    )
)</f>
        <v/>
      </c>
      <c r="D333" s="206"/>
      <c r="E333" s="206" t="str">
        <f>IF(AA333 = "", "",
    IF(ISNUMBER(SEARCH("Kiện", C333)),
       " GÓI " &amp; COUNTIF($C$13:C333, "*Kiện*") &amp; "/" &amp; COUNTIF($C$13:$C$1000, "*Kiện*") &amp; " " &amp; AA333,
       AA333)
)</f>
        <v/>
      </c>
      <c r="F333" s="206"/>
      <c r="G333" s="206"/>
      <c r="H333" s="206"/>
      <c r="I333" s="206"/>
      <c r="J333" s="206" t="str">
        <f t="shared" ref="J333:J396" si="75">IF(C333&lt;&gt;"",C333&amp;"_"&amp;$E$6,"")</f>
        <v/>
      </c>
      <c r="K333" s="206" t="str">
        <f t="shared" si="62"/>
        <v/>
      </c>
      <c r="L333" s="206" t="str">
        <f t="shared" si="63"/>
        <v/>
      </c>
      <c r="M333" s="206" t="str">
        <f t="shared" si="64"/>
        <v/>
      </c>
      <c r="N333" s="206" t="str">
        <f t="shared" si="65"/>
        <v/>
      </c>
      <c r="O333" s="206" t="str">
        <f t="shared" si="66"/>
        <v/>
      </c>
      <c r="P333" s="84" t="str">
        <f t="shared" si="67"/>
        <v/>
      </c>
      <c r="Q333" s="205"/>
      <c r="R333" s="70" t="str">
        <f>IF(S333="IN",'BOM_Phan II'!$Y$3,"")</f>
        <v/>
      </c>
      <c r="S333" s="69" t="str">
        <f t="shared" si="74"/>
        <v/>
      </c>
      <c r="T333">
        <f t="shared" si="68"/>
        <v>3</v>
      </c>
      <c r="U333" t="str">
        <f t="shared" si="71"/>
        <v>KIỆN 14</v>
      </c>
      <c r="V333" t="str">
        <f t="shared" si="70"/>
        <v/>
      </c>
      <c r="W333" s="266"/>
      <c r="X333" s="266"/>
      <c r="Y333" s="266" t="str">
        <f t="shared" ref="Y333:Y396" si="76">IFERROR(VALUE(RIGHT(C333,LEN(C333)-5)),"")</f>
        <v/>
      </c>
      <c r="Z333" s="266"/>
    </row>
    <row r="334" spans="1:26" ht="27" hidden="1" customHeight="1">
      <c r="A334" s="70" t="str">
        <f t="shared" si="72"/>
        <v/>
      </c>
      <c r="B334" s="70" t="str">
        <f t="shared" si="73"/>
        <v/>
      </c>
      <c r="C334" s="204" t="str" cm="1">
        <f t="array" ref="C334">IF(D334="","",
    IF(AND(ISNUMBER(D334), D334=INT(D334)),
        $V$6 &amp; " " &amp; (IFERROR(MAX($Y$12:$Y333), 0) + 1),
        IF(ISNUMBER(SEARCH(".", D334)), "", INDEX($C$12:$C334, MATCH(2, 1/($C$12:$C334 &lt;&gt; ""))))
    )
)</f>
        <v/>
      </c>
      <c r="D334" s="206"/>
      <c r="E334" s="206" t="str">
        <f>IF(AA334 = "", "",
    IF(ISNUMBER(SEARCH("Kiện", C334)),
       " GÓI " &amp; COUNTIF($C$13:C334, "*Kiện*") &amp; "/" &amp; COUNTIF($C$13:$C$1000, "*Kiện*") &amp; " " &amp; AA334,
       AA334)
)</f>
        <v/>
      </c>
      <c r="F334" s="206"/>
      <c r="G334" s="206"/>
      <c r="H334" s="206"/>
      <c r="I334" s="206"/>
      <c r="J334" s="206" t="str">
        <f t="shared" si="75"/>
        <v/>
      </c>
      <c r="K334" s="206" t="str">
        <f t="shared" ref="K334:K397" si="77">IFERROR(IF($C334&lt;&gt;"",IF($T$13=1,F334+20,IF($T$13=2,F334+20,IF($T$13=3,F334+50,IF($T$13=4,F334+40,IF($T$13=5,F334+50,IF($T$13=51,F334+50,IF($T$13=6,F334+50,IF($T$13=7,F334+50,"")))))))),""),"")</f>
        <v/>
      </c>
      <c r="L334" s="206" t="str">
        <f t="shared" ref="L334:L397" si="78">IFERROR(IF($C334&lt;&gt;"",IF($T$13=1,G334+20,IF($T$13=2,G334+20,IF($T$13=3,G334+50,IF($T$13=4,G334+40,IF($T$13=5,G334+50,IF($T$13=51,G334+50,IF($T$13=6,G334+50,IF($T$13=7,G334+50,"")))))))),""),"")</f>
        <v/>
      </c>
      <c r="M334" s="206" t="str">
        <f t="shared" ref="M334:M397" si="79">IFERROR(IF($C334&lt;&gt;"",IF($T$13=1,H334+20,IF($T$13=2,H334+20,IF($T$13=3,H334+70,IF($T$13=4,H334+40,IF($T$13=5,H334+50,IF($T$13=51,H334+150,IF($T$13=6,H334+50,IF($T$13=7,H334+50,"")))))))),""),"")</f>
        <v/>
      </c>
      <c r="N334" s="206" t="str">
        <f t="shared" ref="N334:N397" si="80">IF(C334&lt;&gt;"",I334,"")</f>
        <v/>
      </c>
      <c r="O334" s="206" t="str">
        <f t="shared" ref="O334:O397" si="81">IF(C334&lt;&gt;"",$O$13,"")</f>
        <v/>
      </c>
      <c r="P334" s="84" t="str">
        <f t="shared" ref="P334:P397" si="82">IFERROR(IF(C334&lt;&gt;"",SUMIFS($V$13:$V$969,$U$13:$U$969,C334)*$S$6,V334*$S$6),"")</f>
        <v/>
      </c>
      <c r="Q334" s="205"/>
      <c r="R334" s="70" t="str">
        <f>IF(S334="IN",'BOM_Phan II'!$Y$3,"")</f>
        <v/>
      </c>
      <c r="S334" s="69" t="str">
        <f t="shared" si="74"/>
        <v/>
      </c>
      <c r="T334">
        <f t="shared" ref="T334:T397" si="83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3</v>
      </c>
      <c r="U334" t="str">
        <f t="shared" si="71"/>
        <v>KIỆN 14</v>
      </c>
      <c r="V334" t="str">
        <f t="shared" ref="V334:V397" si="84">IFERROR(IF(AND(C334="", OR($W334="1", $W334="2")), IF(I334="", "", F334*G334*H334*I334/10^9), ""), "")</f>
        <v/>
      </c>
      <c r="W334" s="266"/>
      <c r="X334" s="266"/>
      <c r="Y334" s="266" t="str">
        <f t="shared" si="76"/>
        <v/>
      </c>
      <c r="Z334" s="266"/>
    </row>
    <row r="335" spans="1:26" ht="27" hidden="1" customHeight="1">
      <c r="A335" s="70" t="str">
        <f t="shared" si="72"/>
        <v/>
      </c>
      <c r="B335" s="70" t="str">
        <f t="shared" si="73"/>
        <v/>
      </c>
      <c r="C335" s="204" t="str" cm="1">
        <f t="array" ref="C335">IF(D335="","",
    IF(AND(ISNUMBER(D335), D335=INT(D335)),
        $V$6 &amp; " " &amp; (IFERROR(MAX($Y$12:$Y334), 0) + 1),
        IF(ISNUMBER(SEARCH(".", D335)), "", INDEX($C$12:$C335, MATCH(2, 1/($C$12:$C335 &lt;&gt; ""))))
    )
)</f>
        <v/>
      </c>
      <c r="D335" s="206"/>
      <c r="E335" s="206" t="str">
        <f>IF(AA335 = "", "",
    IF(ISNUMBER(SEARCH("Kiện", C335)),
       " GÓI " &amp; COUNTIF($C$13:C335, "*Kiện*") &amp; "/" &amp; COUNTIF($C$13:$C$1000, "*Kiện*") &amp; " " &amp; AA335,
       AA335)
)</f>
        <v/>
      </c>
      <c r="F335" s="206"/>
      <c r="G335" s="206"/>
      <c r="H335" s="206"/>
      <c r="I335" s="206"/>
      <c r="J335" s="206" t="str">
        <f t="shared" si="75"/>
        <v/>
      </c>
      <c r="K335" s="206" t="str">
        <f t="shared" si="77"/>
        <v/>
      </c>
      <c r="L335" s="206" t="str">
        <f t="shared" si="78"/>
        <v/>
      </c>
      <c r="M335" s="206" t="str">
        <f t="shared" si="79"/>
        <v/>
      </c>
      <c r="N335" s="206" t="str">
        <f t="shared" si="80"/>
        <v/>
      </c>
      <c r="O335" s="206" t="str">
        <f t="shared" si="81"/>
        <v/>
      </c>
      <c r="P335" s="84" t="str">
        <f t="shared" si="82"/>
        <v/>
      </c>
      <c r="Q335" s="205"/>
      <c r="R335" s="70" t="str">
        <f>IF(S335="IN",'BOM_Phan II'!$Y$3,"")</f>
        <v/>
      </c>
      <c r="S335" s="69" t="str">
        <f t="shared" si="74"/>
        <v/>
      </c>
      <c r="T335">
        <f t="shared" si="83"/>
        <v>3</v>
      </c>
      <c r="U335" t="str">
        <f t="shared" si="71"/>
        <v>KIỆN 14</v>
      </c>
      <c r="V335" t="str">
        <f t="shared" si="84"/>
        <v/>
      </c>
      <c r="W335" s="266"/>
      <c r="X335" s="266"/>
      <c r="Y335" s="266" t="str">
        <f t="shared" si="76"/>
        <v/>
      </c>
      <c r="Z335" s="266"/>
    </row>
    <row r="336" spans="1:26" ht="27" hidden="1" customHeight="1">
      <c r="A336" s="70" t="str">
        <f t="shared" si="72"/>
        <v/>
      </c>
      <c r="B336" s="70" t="str">
        <f t="shared" si="73"/>
        <v/>
      </c>
      <c r="C336" s="204" t="str" cm="1">
        <f t="array" ref="C336">IF(D336="","",
    IF(AND(ISNUMBER(D336), D336=INT(D336)),
        $V$6 &amp; " " &amp; (IFERROR(MAX($Y$12:$Y335), 0) + 1),
        IF(ISNUMBER(SEARCH(".", D336)), "", INDEX($C$12:$C336, MATCH(2, 1/($C$12:$C336 &lt;&gt; ""))))
    )
)</f>
        <v/>
      </c>
      <c r="D336" s="206"/>
      <c r="E336" s="206" t="str">
        <f>IF(AA336 = "", "",
    IF(ISNUMBER(SEARCH("Kiện", C336)),
       " GÓI " &amp; COUNTIF($C$13:C336, "*Kiện*") &amp; "/" &amp; COUNTIF($C$13:$C$1000, "*Kiện*") &amp; " " &amp; AA336,
       AA336)
)</f>
        <v/>
      </c>
      <c r="F336" s="206"/>
      <c r="G336" s="206"/>
      <c r="H336" s="206"/>
      <c r="I336" s="206"/>
      <c r="J336" s="206" t="str">
        <f t="shared" si="75"/>
        <v/>
      </c>
      <c r="K336" s="206" t="str">
        <f t="shared" si="77"/>
        <v/>
      </c>
      <c r="L336" s="206" t="str">
        <f t="shared" si="78"/>
        <v/>
      </c>
      <c r="M336" s="206" t="str">
        <f t="shared" si="79"/>
        <v/>
      </c>
      <c r="N336" s="206" t="str">
        <f t="shared" si="80"/>
        <v/>
      </c>
      <c r="O336" s="206" t="str">
        <f t="shared" si="81"/>
        <v/>
      </c>
      <c r="P336" s="84" t="str">
        <f t="shared" si="82"/>
        <v/>
      </c>
      <c r="Q336" s="205"/>
      <c r="R336" s="70" t="str">
        <f>IF(S336="IN",'BOM_Phan II'!$Y$3,"")</f>
        <v/>
      </c>
      <c r="S336" s="69" t="str">
        <f t="shared" si="74"/>
        <v/>
      </c>
      <c r="T336">
        <f t="shared" si="83"/>
        <v>3</v>
      </c>
      <c r="U336" t="str">
        <f t="shared" si="71"/>
        <v>KIỆN 14</v>
      </c>
      <c r="V336" t="str">
        <f t="shared" si="84"/>
        <v/>
      </c>
      <c r="W336" s="266"/>
      <c r="X336" s="266"/>
      <c r="Y336" s="266" t="str">
        <f t="shared" si="76"/>
        <v/>
      </c>
      <c r="Z336" s="266"/>
    </row>
    <row r="337" spans="1:26" ht="27" hidden="1" customHeight="1">
      <c r="A337" s="70" t="str">
        <f t="shared" si="72"/>
        <v/>
      </c>
      <c r="B337" s="70" t="str">
        <f t="shared" si="73"/>
        <v/>
      </c>
      <c r="C337" s="204" t="str" cm="1">
        <f t="array" ref="C337">IF(D337="","",
    IF(AND(ISNUMBER(D337), D337=INT(D337)),
        $V$6 &amp; " " &amp; (IFERROR(MAX($Y$12:$Y336), 0) + 1),
        IF(ISNUMBER(SEARCH(".", D337)), "", INDEX($C$12:$C337, MATCH(2, 1/($C$12:$C337 &lt;&gt; ""))))
    )
)</f>
        <v/>
      </c>
      <c r="D337" s="206"/>
      <c r="E337" s="206" t="str">
        <f>IF(AA337 = "", "",
    IF(ISNUMBER(SEARCH("Kiện", C337)),
       " GÓI " &amp; COUNTIF($C$13:C337, "*Kiện*") &amp; "/" &amp; COUNTIF($C$13:$C$1000, "*Kiện*") &amp; " " &amp; AA337,
       AA337)
)</f>
        <v/>
      </c>
      <c r="F337" s="206"/>
      <c r="G337" s="206"/>
      <c r="H337" s="206"/>
      <c r="I337" s="206"/>
      <c r="J337" s="206" t="str">
        <f t="shared" si="75"/>
        <v/>
      </c>
      <c r="K337" s="206" t="str">
        <f t="shared" si="77"/>
        <v/>
      </c>
      <c r="L337" s="206" t="str">
        <f t="shared" si="78"/>
        <v/>
      </c>
      <c r="M337" s="206" t="str">
        <f t="shared" si="79"/>
        <v/>
      </c>
      <c r="N337" s="206" t="str">
        <f t="shared" si="80"/>
        <v/>
      </c>
      <c r="O337" s="206" t="str">
        <f t="shared" si="81"/>
        <v/>
      </c>
      <c r="P337" s="84" t="str">
        <f t="shared" si="82"/>
        <v/>
      </c>
      <c r="Q337" s="205"/>
      <c r="R337" s="70" t="str">
        <f>IF(S337="IN",'BOM_Phan II'!$Y$3,"")</f>
        <v/>
      </c>
      <c r="S337" s="69" t="str">
        <f t="shared" si="74"/>
        <v/>
      </c>
      <c r="T337">
        <f t="shared" si="83"/>
        <v>3</v>
      </c>
      <c r="U337" t="str">
        <f t="shared" ref="U337:U374" si="85">IF(C337="",U336,C337)</f>
        <v>KIỆN 14</v>
      </c>
      <c r="V337" t="str">
        <f t="shared" si="84"/>
        <v/>
      </c>
      <c r="W337" s="266"/>
      <c r="X337" s="266"/>
      <c r="Y337" s="266" t="str">
        <f t="shared" si="76"/>
        <v/>
      </c>
      <c r="Z337" s="266"/>
    </row>
    <row r="338" spans="1:26" ht="27" hidden="1" customHeight="1">
      <c r="A338" s="70" t="str">
        <f t="shared" si="72"/>
        <v/>
      </c>
      <c r="B338" s="70" t="str">
        <f t="shared" si="73"/>
        <v/>
      </c>
      <c r="C338" s="204" t="str" cm="1">
        <f t="array" ref="C338">IF(D338="","",
    IF(AND(ISNUMBER(D338), D338=INT(D338)),
        $V$6 &amp; " " &amp; (IFERROR(MAX($Y$12:$Y337), 0) + 1),
        IF(ISNUMBER(SEARCH(".", D338)), "", INDEX($C$12:$C338, MATCH(2, 1/($C$12:$C338 &lt;&gt; ""))))
    )
)</f>
        <v/>
      </c>
      <c r="D338" s="206"/>
      <c r="E338" s="206" t="str">
        <f>IF(AA338 = "", "",
    IF(ISNUMBER(SEARCH("Kiện", C338)),
       " GÓI " &amp; COUNTIF($C$13:C338, "*Kiện*") &amp; "/" &amp; COUNTIF($C$13:$C$1000, "*Kiện*") &amp; " " &amp; AA338,
       AA338)
)</f>
        <v/>
      </c>
      <c r="F338" s="206"/>
      <c r="G338" s="206"/>
      <c r="H338" s="206"/>
      <c r="I338" s="206"/>
      <c r="J338" s="206" t="str">
        <f t="shared" si="75"/>
        <v/>
      </c>
      <c r="K338" s="206" t="str">
        <f t="shared" si="77"/>
        <v/>
      </c>
      <c r="L338" s="206" t="str">
        <f t="shared" si="78"/>
        <v/>
      </c>
      <c r="M338" s="206" t="str">
        <f t="shared" si="79"/>
        <v/>
      </c>
      <c r="N338" s="206" t="str">
        <f t="shared" si="80"/>
        <v/>
      </c>
      <c r="O338" s="206" t="str">
        <f t="shared" si="81"/>
        <v/>
      </c>
      <c r="P338" s="84" t="str">
        <f t="shared" si="82"/>
        <v/>
      </c>
      <c r="Q338" s="205"/>
      <c r="R338" s="70" t="str">
        <f>IF(S338="IN",'BOM_Phan II'!$Y$3,"")</f>
        <v/>
      </c>
      <c r="S338" s="69" t="str">
        <f t="shared" si="74"/>
        <v/>
      </c>
      <c r="T338">
        <f t="shared" si="83"/>
        <v>3</v>
      </c>
      <c r="U338" t="str">
        <f t="shared" si="85"/>
        <v>KIỆN 14</v>
      </c>
      <c r="V338" t="str">
        <f t="shared" si="84"/>
        <v/>
      </c>
      <c r="W338" s="266"/>
      <c r="X338" s="266"/>
      <c r="Y338" s="266" t="str">
        <f t="shared" si="76"/>
        <v/>
      </c>
      <c r="Z338" s="266"/>
    </row>
    <row r="339" spans="1:26" ht="27" hidden="1" customHeight="1">
      <c r="A339" s="70" t="str">
        <f t="shared" si="72"/>
        <v/>
      </c>
      <c r="B339" s="70" t="str">
        <f t="shared" si="73"/>
        <v/>
      </c>
      <c r="C339" s="204" t="str" cm="1">
        <f t="array" ref="C339">IF(D339="","",
    IF(AND(ISNUMBER(D339), D339=INT(D339)),
        $V$6 &amp; " " &amp; (IFERROR(MAX($Y$12:$Y338), 0) + 1),
        IF(ISNUMBER(SEARCH(".", D339)), "", INDEX($C$12:$C339, MATCH(2, 1/($C$12:$C339 &lt;&gt; ""))))
    )
)</f>
        <v/>
      </c>
      <c r="D339" s="206"/>
      <c r="E339" s="206" t="str">
        <f>IF(AA339 = "", "",
    IF(ISNUMBER(SEARCH("Kiện", C339)),
       " GÓI " &amp; COUNTIF($C$13:C339, "*Kiện*") &amp; "/" &amp; COUNTIF($C$13:$C$1000, "*Kiện*") &amp; " " &amp; AA339,
       AA339)
)</f>
        <v/>
      </c>
      <c r="F339" s="206"/>
      <c r="G339" s="206"/>
      <c r="H339" s="206"/>
      <c r="I339" s="206"/>
      <c r="J339" s="206" t="str">
        <f t="shared" si="75"/>
        <v/>
      </c>
      <c r="K339" s="206" t="str">
        <f t="shared" si="77"/>
        <v/>
      </c>
      <c r="L339" s="206" t="str">
        <f t="shared" si="78"/>
        <v/>
      </c>
      <c r="M339" s="206" t="str">
        <f t="shared" si="79"/>
        <v/>
      </c>
      <c r="N339" s="206" t="str">
        <f t="shared" si="80"/>
        <v/>
      </c>
      <c r="O339" s="206" t="str">
        <f t="shared" si="81"/>
        <v/>
      </c>
      <c r="P339" s="84" t="str">
        <f t="shared" si="82"/>
        <v/>
      </c>
      <c r="Q339" s="205"/>
      <c r="R339" s="70" t="str">
        <f>IF(S339="IN",'BOM_Phan II'!$Y$3,"")</f>
        <v/>
      </c>
      <c r="S339" s="69" t="str">
        <f t="shared" si="74"/>
        <v/>
      </c>
      <c r="T339">
        <f t="shared" si="83"/>
        <v>3</v>
      </c>
      <c r="U339" t="str">
        <f t="shared" si="85"/>
        <v>KIỆN 14</v>
      </c>
      <c r="V339" t="str">
        <f t="shared" si="84"/>
        <v/>
      </c>
      <c r="W339" s="266"/>
      <c r="X339" s="266"/>
      <c r="Y339" s="266" t="str">
        <f t="shared" si="76"/>
        <v/>
      </c>
      <c r="Z339" s="266"/>
    </row>
    <row r="340" spans="1:26" ht="27" hidden="1" customHeight="1">
      <c r="A340" s="70" t="str">
        <f t="shared" si="72"/>
        <v/>
      </c>
      <c r="B340" s="70" t="str">
        <f t="shared" si="73"/>
        <v/>
      </c>
      <c r="C340" s="204" t="str" cm="1">
        <f t="array" ref="C340">IF(D340="","",
    IF(AND(ISNUMBER(D340), D340=INT(D340)),
        $V$6 &amp; " " &amp; (IFERROR(MAX($Y$12:$Y339), 0) + 1),
        IF(ISNUMBER(SEARCH(".", D340)), "", INDEX($C$12:$C340, MATCH(2, 1/($C$12:$C340 &lt;&gt; ""))))
    )
)</f>
        <v/>
      </c>
      <c r="D340" s="206"/>
      <c r="E340" s="206" t="str">
        <f>IF(AA340 = "", "",
    IF(ISNUMBER(SEARCH("Kiện", C340)),
       " GÓI " &amp; COUNTIF($C$13:C340, "*Kiện*") &amp; "/" &amp; COUNTIF($C$13:$C$1000, "*Kiện*") &amp; " " &amp; AA340,
       AA340)
)</f>
        <v/>
      </c>
      <c r="F340" s="206"/>
      <c r="G340" s="206"/>
      <c r="H340" s="206"/>
      <c r="I340" s="206"/>
      <c r="J340" s="206" t="str">
        <f t="shared" si="75"/>
        <v/>
      </c>
      <c r="K340" s="206" t="str">
        <f t="shared" si="77"/>
        <v/>
      </c>
      <c r="L340" s="206" t="str">
        <f t="shared" si="78"/>
        <v/>
      </c>
      <c r="M340" s="206" t="str">
        <f t="shared" si="79"/>
        <v/>
      </c>
      <c r="N340" s="206" t="str">
        <f t="shared" si="80"/>
        <v/>
      </c>
      <c r="O340" s="206" t="str">
        <f t="shared" si="81"/>
        <v/>
      </c>
      <c r="P340" s="84" t="str">
        <f t="shared" si="82"/>
        <v/>
      </c>
      <c r="Q340" s="205"/>
      <c r="R340" s="70" t="str">
        <f>IF(S340="IN",'BOM_Phan II'!$Y$3,"")</f>
        <v/>
      </c>
      <c r="S340" s="69" t="str">
        <f t="shared" si="74"/>
        <v/>
      </c>
      <c r="T340">
        <f t="shared" si="83"/>
        <v>3</v>
      </c>
      <c r="U340" t="str">
        <f t="shared" si="85"/>
        <v>KIỆN 14</v>
      </c>
      <c r="V340" t="str">
        <f t="shared" si="84"/>
        <v/>
      </c>
      <c r="W340" s="266"/>
      <c r="X340" s="266"/>
      <c r="Y340" s="266" t="str">
        <f t="shared" si="76"/>
        <v/>
      </c>
      <c r="Z340" s="266"/>
    </row>
    <row r="341" spans="1:26" ht="27" hidden="1" customHeight="1">
      <c r="A341" s="70" t="str">
        <f t="shared" si="72"/>
        <v/>
      </c>
      <c r="B341" s="70" t="str">
        <f t="shared" si="73"/>
        <v/>
      </c>
      <c r="C341" s="204" t="str" cm="1">
        <f t="array" ref="C341">IF(D341="","",
    IF(AND(ISNUMBER(D341), D341=INT(D341)),
        $V$6 &amp; " " &amp; (IFERROR(MAX($Y$12:$Y340), 0) + 1),
        IF(ISNUMBER(SEARCH(".", D341)), "", INDEX($C$12:$C341, MATCH(2, 1/($C$12:$C341 &lt;&gt; ""))))
    )
)</f>
        <v/>
      </c>
      <c r="D341" s="206"/>
      <c r="E341" s="206" t="str">
        <f>IF(AA341 = "", "",
    IF(ISNUMBER(SEARCH("Kiện", C341)),
       " GÓI " &amp; COUNTIF($C$13:C341, "*Kiện*") &amp; "/" &amp; COUNTIF($C$13:$C$1000, "*Kiện*") &amp; " " &amp; AA341,
       AA341)
)</f>
        <v/>
      </c>
      <c r="F341" s="206"/>
      <c r="G341" s="206"/>
      <c r="H341" s="206"/>
      <c r="I341" s="206"/>
      <c r="J341" s="206" t="str">
        <f t="shared" si="75"/>
        <v/>
      </c>
      <c r="K341" s="206" t="str">
        <f t="shared" si="77"/>
        <v/>
      </c>
      <c r="L341" s="206" t="str">
        <f t="shared" si="78"/>
        <v/>
      </c>
      <c r="M341" s="206" t="str">
        <f t="shared" si="79"/>
        <v/>
      </c>
      <c r="N341" s="206" t="str">
        <f t="shared" si="80"/>
        <v/>
      </c>
      <c r="O341" s="206" t="str">
        <f t="shared" si="81"/>
        <v/>
      </c>
      <c r="P341" s="84" t="str">
        <f t="shared" si="82"/>
        <v/>
      </c>
      <c r="Q341" s="205"/>
      <c r="R341" s="70" t="str">
        <f>IF(S341="IN",'BOM_Phan II'!$Y$3,"")</f>
        <v/>
      </c>
      <c r="S341" s="69" t="str">
        <f t="shared" si="74"/>
        <v/>
      </c>
      <c r="T341">
        <f t="shared" si="83"/>
        <v>3</v>
      </c>
      <c r="U341" t="str">
        <f t="shared" si="85"/>
        <v>KIỆN 14</v>
      </c>
      <c r="V341" t="str">
        <f t="shared" si="84"/>
        <v/>
      </c>
      <c r="W341" s="266"/>
      <c r="X341" s="266"/>
      <c r="Y341" s="266" t="str">
        <f t="shared" si="76"/>
        <v/>
      </c>
      <c r="Z341" s="266"/>
    </row>
    <row r="342" spans="1:26" ht="27" hidden="1" customHeight="1">
      <c r="A342" s="70" t="str">
        <f t="shared" si="72"/>
        <v/>
      </c>
      <c r="B342" s="70" t="str">
        <f t="shared" si="73"/>
        <v/>
      </c>
      <c r="C342" s="204" t="str" cm="1">
        <f t="array" ref="C342">IF(D342="","",
    IF(AND(ISNUMBER(D342), D342=INT(D342)),
        $V$6 &amp; " " &amp; (IFERROR(MAX($Y$12:$Y341), 0) + 1),
        IF(ISNUMBER(SEARCH(".", D342)), "", INDEX($C$12:$C342, MATCH(2, 1/($C$12:$C342 &lt;&gt; ""))))
    )
)</f>
        <v/>
      </c>
      <c r="D342" s="206"/>
      <c r="E342" s="206" t="str">
        <f>IF(AA342 = "", "",
    IF(ISNUMBER(SEARCH("Kiện", C342)),
       " GÓI " &amp; COUNTIF($C$13:C342, "*Kiện*") &amp; "/" &amp; COUNTIF($C$13:$C$1000, "*Kiện*") &amp; " " &amp; AA342,
       AA342)
)</f>
        <v/>
      </c>
      <c r="F342" s="206"/>
      <c r="G342" s="206"/>
      <c r="H342" s="206"/>
      <c r="I342" s="206"/>
      <c r="J342" s="206" t="str">
        <f t="shared" si="75"/>
        <v/>
      </c>
      <c r="K342" s="206" t="str">
        <f t="shared" si="77"/>
        <v/>
      </c>
      <c r="L342" s="206" t="str">
        <f t="shared" si="78"/>
        <v/>
      </c>
      <c r="M342" s="206" t="str">
        <f t="shared" si="79"/>
        <v/>
      </c>
      <c r="N342" s="206" t="str">
        <f t="shared" si="80"/>
        <v/>
      </c>
      <c r="O342" s="206" t="str">
        <f t="shared" si="81"/>
        <v/>
      </c>
      <c r="P342" s="84" t="str">
        <f t="shared" si="82"/>
        <v/>
      </c>
      <c r="Q342" s="205"/>
      <c r="R342" s="70" t="str">
        <f>IF(S342="IN",'BOM_Phan II'!$Y$3,"")</f>
        <v/>
      </c>
      <c r="S342" s="69" t="str">
        <f t="shared" si="74"/>
        <v/>
      </c>
      <c r="T342">
        <f t="shared" si="83"/>
        <v>3</v>
      </c>
      <c r="U342" t="str">
        <f t="shared" si="85"/>
        <v>KIỆN 14</v>
      </c>
      <c r="V342" t="str">
        <f t="shared" si="84"/>
        <v/>
      </c>
      <c r="W342" s="266"/>
      <c r="X342" s="266"/>
      <c r="Y342" s="266" t="str">
        <f t="shared" si="76"/>
        <v/>
      </c>
      <c r="Z342" s="266"/>
    </row>
    <row r="343" spans="1:26" ht="27" hidden="1" customHeight="1">
      <c r="A343" s="70" t="str">
        <f t="shared" si="72"/>
        <v/>
      </c>
      <c r="B343" s="70" t="str">
        <f t="shared" si="73"/>
        <v/>
      </c>
      <c r="C343" s="204" t="str" cm="1">
        <f t="array" ref="C343">IF(D343="","",
    IF(AND(ISNUMBER(D343), D343=INT(D343)),
        $V$6 &amp; " " &amp; (IFERROR(MAX($Y$12:$Y342), 0) + 1),
        IF(ISNUMBER(SEARCH(".", D343)), "", INDEX($C$12:$C343, MATCH(2, 1/($C$12:$C343 &lt;&gt; ""))))
    )
)</f>
        <v/>
      </c>
      <c r="D343" s="206"/>
      <c r="E343" s="206" t="str">
        <f>IF(AA343 = "", "",
    IF(ISNUMBER(SEARCH("Kiện", C343)),
       " GÓI " &amp; COUNTIF($C$13:C343, "*Kiện*") &amp; "/" &amp; COUNTIF($C$13:$C$1000, "*Kiện*") &amp; " " &amp; AA343,
       AA343)
)</f>
        <v/>
      </c>
      <c r="F343" s="206"/>
      <c r="G343" s="206"/>
      <c r="H343" s="206"/>
      <c r="I343" s="206"/>
      <c r="J343" s="206" t="str">
        <f t="shared" si="75"/>
        <v/>
      </c>
      <c r="K343" s="206" t="str">
        <f t="shared" si="77"/>
        <v/>
      </c>
      <c r="L343" s="206" t="str">
        <f t="shared" si="78"/>
        <v/>
      </c>
      <c r="M343" s="206" t="str">
        <f t="shared" si="79"/>
        <v/>
      </c>
      <c r="N343" s="206" t="str">
        <f t="shared" si="80"/>
        <v/>
      </c>
      <c r="O343" s="206" t="str">
        <f t="shared" si="81"/>
        <v/>
      </c>
      <c r="P343" s="84" t="str">
        <f t="shared" si="82"/>
        <v/>
      </c>
      <c r="Q343" s="205"/>
      <c r="R343" s="70" t="str">
        <f>IF(S343="IN",'BOM_Phan II'!$Y$3,"")</f>
        <v/>
      </c>
      <c r="S343" s="69" t="str">
        <f t="shared" si="74"/>
        <v/>
      </c>
      <c r="T343">
        <f t="shared" si="83"/>
        <v>3</v>
      </c>
      <c r="U343" t="str">
        <f t="shared" si="85"/>
        <v>KIỆN 14</v>
      </c>
      <c r="V343" t="str">
        <f t="shared" si="84"/>
        <v/>
      </c>
      <c r="W343" s="266"/>
      <c r="X343" s="266"/>
      <c r="Y343" s="266" t="str">
        <f t="shared" si="76"/>
        <v/>
      </c>
      <c r="Z343" s="266"/>
    </row>
    <row r="344" spans="1:26" ht="27" hidden="1" customHeight="1">
      <c r="A344" s="70" t="str">
        <f t="shared" si="72"/>
        <v/>
      </c>
      <c r="B344" s="70" t="str">
        <f t="shared" si="73"/>
        <v/>
      </c>
      <c r="C344" s="204" t="str" cm="1">
        <f t="array" ref="C344">IF(D344="","",
    IF(AND(ISNUMBER(D344), D344=INT(D344)),
        $V$6 &amp; " " &amp; (IFERROR(MAX($Y$12:$Y343), 0) + 1),
        IF(ISNUMBER(SEARCH(".", D344)), "", INDEX($C$12:$C344, MATCH(2, 1/($C$12:$C344 &lt;&gt; ""))))
    )
)</f>
        <v/>
      </c>
      <c r="D344" s="206"/>
      <c r="E344" s="206" t="str">
        <f>IF(AA344 = "", "",
    IF(ISNUMBER(SEARCH("Kiện", C344)),
       " GÓI " &amp; COUNTIF($C$13:C344, "*Kiện*") &amp; "/" &amp; COUNTIF($C$13:$C$1000, "*Kiện*") &amp; " " &amp; AA344,
       AA344)
)</f>
        <v/>
      </c>
      <c r="F344" s="206"/>
      <c r="G344" s="206"/>
      <c r="H344" s="206"/>
      <c r="I344" s="206"/>
      <c r="J344" s="206" t="str">
        <f t="shared" si="75"/>
        <v/>
      </c>
      <c r="K344" s="206" t="str">
        <f t="shared" si="77"/>
        <v/>
      </c>
      <c r="L344" s="206" t="str">
        <f t="shared" si="78"/>
        <v/>
      </c>
      <c r="M344" s="206" t="str">
        <f t="shared" si="79"/>
        <v/>
      </c>
      <c r="N344" s="206" t="str">
        <f t="shared" si="80"/>
        <v/>
      </c>
      <c r="O344" s="206" t="str">
        <f t="shared" si="81"/>
        <v/>
      </c>
      <c r="P344" s="84" t="str">
        <f t="shared" si="82"/>
        <v/>
      </c>
      <c r="Q344" s="205"/>
      <c r="R344" s="70" t="str">
        <f>IF(S344="IN",'BOM_Phan II'!$Y$3,"")</f>
        <v/>
      </c>
      <c r="S344" s="69" t="str">
        <f t="shared" si="74"/>
        <v/>
      </c>
      <c r="T344">
        <f t="shared" si="83"/>
        <v>3</v>
      </c>
      <c r="U344" t="str">
        <f t="shared" si="85"/>
        <v>KIỆN 14</v>
      </c>
      <c r="V344" t="str">
        <f t="shared" si="84"/>
        <v/>
      </c>
      <c r="W344" s="266"/>
      <c r="X344" s="266"/>
      <c r="Y344" s="266" t="str">
        <f t="shared" si="76"/>
        <v/>
      </c>
      <c r="Z344" s="266"/>
    </row>
    <row r="345" spans="1:26" ht="27" hidden="1" customHeight="1">
      <c r="A345" s="70" t="str">
        <f t="shared" si="72"/>
        <v/>
      </c>
      <c r="B345" s="70" t="str">
        <f t="shared" si="73"/>
        <v/>
      </c>
      <c r="C345" s="204" t="str" cm="1">
        <f t="array" ref="C345">IF(D345="","",
    IF(AND(ISNUMBER(D345), D345=INT(D345)),
        $V$6 &amp; " " &amp; (IFERROR(MAX($Y$12:$Y344), 0) + 1),
        IF(ISNUMBER(SEARCH(".", D345)), "", INDEX($C$12:$C345, MATCH(2, 1/($C$12:$C345 &lt;&gt; ""))))
    )
)</f>
        <v/>
      </c>
      <c r="D345" s="206"/>
      <c r="E345" s="206" t="str">
        <f>IF(AA345 = "", "",
    IF(ISNUMBER(SEARCH("Kiện", C345)),
       " GÓI " &amp; COUNTIF($C$13:C345, "*Kiện*") &amp; "/" &amp; COUNTIF($C$13:$C$1000, "*Kiện*") &amp; " " &amp; AA345,
       AA345)
)</f>
        <v/>
      </c>
      <c r="F345" s="206"/>
      <c r="G345" s="206"/>
      <c r="H345" s="206"/>
      <c r="I345" s="206"/>
      <c r="J345" s="206" t="str">
        <f t="shared" si="75"/>
        <v/>
      </c>
      <c r="K345" s="206" t="str">
        <f t="shared" si="77"/>
        <v/>
      </c>
      <c r="L345" s="206" t="str">
        <f t="shared" si="78"/>
        <v/>
      </c>
      <c r="M345" s="206" t="str">
        <f t="shared" si="79"/>
        <v/>
      </c>
      <c r="N345" s="206" t="str">
        <f t="shared" si="80"/>
        <v/>
      </c>
      <c r="O345" s="206" t="str">
        <f t="shared" si="81"/>
        <v/>
      </c>
      <c r="P345" s="84" t="str">
        <f t="shared" si="82"/>
        <v/>
      </c>
      <c r="Q345" s="205"/>
      <c r="R345" s="70" t="str">
        <f>IF(S345="IN",'BOM_Phan II'!$Y$3,"")</f>
        <v/>
      </c>
      <c r="S345" s="69" t="str">
        <f t="shared" si="74"/>
        <v/>
      </c>
      <c r="T345">
        <f t="shared" si="83"/>
        <v>3</v>
      </c>
      <c r="U345" t="str">
        <f t="shared" si="85"/>
        <v>KIỆN 14</v>
      </c>
      <c r="V345" t="str">
        <f t="shared" si="84"/>
        <v/>
      </c>
      <c r="W345" s="266"/>
      <c r="X345" s="266"/>
      <c r="Y345" s="266" t="str">
        <f t="shared" si="76"/>
        <v/>
      </c>
      <c r="Z345" s="266"/>
    </row>
    <row r="346" spans="1:26" ht="27" hidden="1" customHeight="1">
      <c r="A346" s="70" t="str">
        <f t="shared" si="72"/>
        <v/>
      </c>
      <c r="B346" s="70" t="str">
        <f t="shared" si="73"/>
        <v/>
      </c>
      <c r="C346" s="204" t="str" cm="1">
        <f t="array" ref="C346">IF(D346="","",
    IF(AND(ISNUMBER(D346), D346=INT(D346)),
        $V$6 &amp; " " &amp; (IFERROR(MAX($Y$12:$Y345), 0) + 1),
        IF(ISNUMBER(SEARCH(".", D346)), "", INDEX($C$12:$C346, MATCH(2, 1/($C$12:$C346 &lt;&gt; ""))))
    )
)</f>
        <v/>
      </c>
      <c r="D346" s="206"/>
      <c r="E346" s="206" t="str">
        <f>IF(AA346 = "", "",
    IF(ISNUMBER(SEARCH("Kiện", C346)),
       " GÓI " &amp; COUNTIF($C$13:C346, "*Kiện*") &amp; "/" &amp; COUNTIF($C$13:$C$1000, "*Kiện*") &amp; " " &amp; AA346,
       AA346)
)</f>
        <v/>
      </c>
      <c r="F346" s="206"/>
      <c r="G346" s="206"/>
      <c r="H346" s="206"/>
      <c r="I346" s="206"/>
      <c r="J346" s="206" t="str">
        <f t="shared" si="75"/>
        <v/>
      </c>
      <c r="K346" s="206" t="str">
        <f t="shared" si="77"/>
        <v/>
      </c>
      <c r="L346" s="206" t="str">
        <f t="shared" si="78"/>
        <v/>
      </c>
      <c r="M346" s="206" t="str">
        <f t="shared" si="79"/>
        <v/>
      </c>
      <c r="N346" s="206" t="str">
        <f t="shared" si="80"/>
        <v/>
      </c>
      <c r="O346" s="206" t="str">
        <f t="shared" si="81"/>
        <v/>
      </c>
      <c r="P346" s="84" t="str">
        <f t="shared" si="82"/>
        <v/>
      </c>
      <c r="Q346" s="205"/>
      <c r="R346" s="70" t="str">
        <f>IF(S346="IN",'BOM_Phan II'!$Y$3,"")</f>
        <v/>
      </c>
      <c r="S346" s="69" t="str">
        <f t="shared" si="74"/>
        <v/>
      </c>
      <c r="T346">
        <f t="shared" si="83"/>
        <v>3</v>
      </c>
      <c r="U346" t="str">
        <f t="shared" si="85"/>
        <v>KIỆN 14</v>
      </c>
      <c r="V346" t="str">
        <f t="shared" si="84"/>
        <v/>
      </c>
      <c r="W346" s="266"/>
      <c r="X346" s="266"/>
      <c r="Y346" s="266" t="str">
        <f t="shared" si="76"/>
        <v/>
      </c>
      <c r="Z346" s="266"/>
    </row>
    <row r="347" spans="1:26" ht="27" hidden="1" customHeight="1">
      <c r="A347" s="70" t="str">
        <f t="shared" si="72"/>
        <v/>
      </c>
      <c r="B347" s="70" t="str">
        <f t="shared" si="73"/>
        <v/>
      </c>
      <c r="C347" s="204" t="str" cm="1">
        <f t="array" ref="C347">IF(D347="","",
    IF(AND(ISNUMBER(D347), D347=INT(D347)),
        $V$6 &amp; " " &amp; (IFERROR(MAX($Y$12:$Y346), 0) + 1),
        IF(ISNUMBER(SEARCH(".", D347)), "", INDEX($C$12:$C347, MATCH(2, 1/($C$12:$C347 &lt;&gt; ""))))
    )
)</f>
        <v/>
      </c>
      <c r="D347" s="206"/>
      <c r="E347" s="206" t="str">
        <f>IF(AA347 = "", "",
    IF(ISNUMBER(SEARCH("Kiện", C347)),
       " GÓI " &amp; COUNTIF($C$13:C347, "*Kiện*") &amp; "/" &amp; COUNTIF($C$13:$C$1000, "*Kiện*") &amp; " " &amp; AA347,
       AA347)
)</f>
        <v/>
      </c>
      <c r="F347" s="206"/>
      <c r="G347" s="206"/>
      <c r="H347" s="206"/>
      <c r="I347" s="206"/>
      <c r="J347" s="206" t="str">
        <f t="shared" si="75"/>
        <v/>
      </c>
      <c r="K347" s="206" t="str">
        <f t="shared" si="77"/>
        <v/>
      </c>
      <c r="L347" s="206" t="str">
        <f t="shared" si="78"/>
        <v/>
      </c>
      <c r="M347" s="206" t="str">
        <f t="shared" si="79"/>
        <v/>
      </c>
      <c r="N347" s="206" t="str">
        <f t="shared" si="80"/>
        <v/>
      </c>
      <c r="O347" s="206" t="str">
        <f t="shared" si="81"/>
        <v/>
      </c>
      <c r="P347" s="84" t="str">
        <f t="shared" si="82"/>
        <v/>
      </c>
      <c r="Q347" s="205"/>
      <c r="R347" s="70" t="str">
        <f>IF(S347="IN",'BOM_Phan II'!$Y$3,"")</f>
        <v/>
      </c>
      <c r="S347" s="69" t="str">
        <f t="shared" si="74"/>
        <v/>
      </c>
      <c r="T347">
        <f t="shared" si="83"/>
        <v>3</v>
      </c>
      <c r="U347" t="str">
        <f t="shared" si="85"/>
        <v>KIỆN 14</v>
      </c>
      <c r="V347" t="str">
        <f t="shared" si="84"/>
        <v/>
      </c>
      <c r="W347" s="266"/>
      <c r="X347" s="266"/>
      <c r="Y347" s="266" t="str">
        <f t="shared" si="76"/>
        <v/>
      </c>
      <c r="Z347" s="266"/>
    </row>
    <row r="348" spans="1:26" ht="27" hidden="1" customHeight="1">
      <c r="A348" s="70" t="str">
        <f t="shared" si="72"/>
        <v/>
      </c>
      <c r="B348" s="70" t="str">
        <f t="shared" si="73"/>
        <v/>
      </c>
      <c r="C348" s="204" t="str" cm="1">
        <f t="array" ref="C348">IF(D348="","",
    IF(AND(ISNUMBER(D348), D348=INT(D348)),
        $V$6 &amp; " " &amp; (IFERROR(MAX($Y$12:$Y347), 0) + 1),
        IF(ISNUMBER(SEARCH(".", D348)), "", INDEX($C$12:$C348, MATCH(2, 1/($C$12:$C348 &lt;&gt; ""))))
    )
)</f>
        <v/>
      </c>
      <c r="D348" s="206"/>
      <c r="E348" s="206" t="str">
        <f>IF(AA348 = "", "",
    IF(ISNUMBER(SEARCH("Kiện", C348)),
       " GÓI " &amp; COUNTIF($C$13:C348, "*Kiện*") &amp; "/" &amp; COUNTIF($C$13:$C$1000, "*Kiện*") &amp; " " &amp; AA348,
       AA348)
)</f>
        <v/>
      </c>
      <c r="F348" s="206"/>
      <c r="G348" s="206"/>
      <c r="H348" s="206"/>
      <c r="I348" s="206"/>
      <c r="J348" s="206" t="str">
        <f t="shared" si="75"/>
        <v/>
      </c>
      <c r="K348" s="206" t="str">
        <f t="shared" si="77"/>
        <v/>
      </c>
      <c r="L348" s="206" t="str">
        <f t="shared" si="78"/>
        <v/>
      </c>
      <c r="M348" s="206" t="str">
        <f t="shared" si="79"/>
        <v/>
      </c>
      <c r="N348" s="206" t="str">
        <f t="shared" si="80"/>
        <v/>
      </c>
      <c r="O348" s="206" t="str">
        <f t="shared" si="81"/>
        <v/>
      </c>
      <c r="P348" s="84" t="str">
        <f t="shared" si="82"/>
        <v/>
      </c>
      <c r="Q348" s="205"/>
      <c r="R348" s="70" t="str">
        <f>IF(S348="IN",'BOM_Phan II'!$Y$3,"")</f>
        <v/>
      </c>
      <c r="S348" s="69" t="str">
        <f t="shared" si="74"/>
        <v/>
      </c>
      <c r="T348">
        <f t="shared" si="83"/>
        <v>3</v>
      </c>
      <c r="U348" t="str">
        <f t="shared" si="85"/>
        <v>KIỆN 14</v>
      </c>
      <c r="V348" t="str">
        <f t="shared" si="84"/>
        <v/>
      </c>
      <c r="W348" s="266"/>
      <c r="X348" s="266"/>
      <c r="Y348" s="266" t="str">
        <f t="shared" si="76"/>
        <v/>
      </c>
      <c r="Z348" s="266"/>
    </row>
    <row r="349" spans="1:26" ht="27" hidden="1" customHeight="1">
      <c r="A349" s="70" t="str">
        <f t="shared" si="72"/>
        <v/>
      </c>
      <c r="B349" s="70" t="str">
        <f t="shared" si="73"/>
        <v/>
      </c>
      <c r="C349" s="204" t="str" cm="1">
        <f t="array" ref="C349">IF(D349="","",
    IF(AND(ISNUMBER(D349), D349=INT(D349)),
        $V$6 &amp; " " &amp; (IFERROR(MAX($Y$12:$Y348), 0) + 1),
        IF(ISNUMBER(SEARCH(".", D349)), "", INDEX($C$12:$C349, MATCH(2, 1/($C$12:$C349 &lt;&gt; ""))))
    )
)</f>
        <v/>
      </c>
      <c r="D349" s="206"/>
      <c r="E349" s="206" t="str">
        <f>IF(AA349 = "", "",
    IF(ISNUMBER(SEARCH("Kiện", C349)),
       " GÓI " &amp; COUNTIF($C$13:C349, "*Kiện*") &amp; "/" &amp; COUNTIF($C$13:$C$1000, "*Kiện*") &amp; " " &amp; AA349,
       AA349)
)</f>
        <v/>
      </c>
      <c r="F349" s="206"/>
      <c r="G349" s="206"/>
      <c r="H349" s="206"/>
      <c r="I349" s="206"/>
      <c r="J349" s="206" t="str">
        <f t="shared" si="75"/>
        <v/>
      </c>
      <c r="K349" s="206" t="str">
        <f t="shared" si="77"/>
        <v/>
      </c>
      <c r="L349" s="206" t="str">
        <f t="shared" si="78"/>
        <v/>
      </c>
      <c r="M349" s="206" t="str">
        <f t="shared" si="79"/>
        <v/>
      </c>
      <c r="N349" s="206" t="str">
        <f t="shared" si="80"/>
        <v/>
      </c>
      <c r="O349" s="206" t="str">
        <f t="shared" si="81"/>
        <v/>
      </c>
      <c r="P349" s="84" t="str">
        <f t="shared" si="82"/>
        <v/>
      </c>
      <c r="Q349" s="205"/>
      <c r="R349" s="70" t="str">
        <f>IF(S349="IN",'BOM_Phan II'!$Y$3,"")</f>
        <v/>
      </c>
      <c r="S349" s="69" t="str">
        <f t="shared" si="74"/>
        <v/>
      </c>
      <c r="T349">
        <f t="shared" si="83"/>
        <v>3</v>
      </c>
      <c r="U349" t="str">
        <f t="shared" si="85"/>
        <v>KIỆN 14</v>
      </c>
      <c r="V349" t="str">
        <f t="shared" si="84"/>
        <v/>
      </c>
      <c r="W349" s="266"/>
      <c r="X349" s="266"/>
      <c r="Y349" s="266" t="str">
        <f t="shared" si="76"/>
        <v/>
      </c>
      <c r="Z349" s="266"/>
    </row>
    <row r="350" spans="1:26" ht="27" hidden="1" customHeight="1">
      <c r="A350" s="70" t="str">
        <f t="shared" si="72"/>
        <v/>
      </c>
      <c r="B350" s="70" t="str">
        <f t="shared" si="73"/>
        <v/>
      </c>
      <c r="C350" s="204" t="str" cm="1">
        <f t="array" ref="C350">IF(D350="","",
    IF(AND(ISNUMBER(D350), D350=INT(D350)),
        $V$6 &amp; " " &amp; (IFERROR(MAX($Y$12:$Y349), 0) + 1),
        IF(ISNUMBER(SEARCH(".", D350)), "", INDEX($C$12:$C350, MATCH(2, 1/($C$12:$C350 &lt;&gt; ""))))
    )
)</f>
        <v/>
      </c>
      <c r="D350" s="206"/>
      <c r="E350" s="206" t="str">
        <f>IF(AA350 = "", "",
    IF(ISNUMBER(SEARCH("Kiện", C350)),
       " GÓI " &amp; COUNTIF($C$13:C350, "*Kiện*") &amp; "/" &amp; COUNTIF($C$13:$C$1000, "*Kiện*") &amp; " " &amp; AA350,
       AA350)
)</f>
        <v/>
      </c>
      <c r="F350" s="206"/>
      <c r="G350" s="206"/>
      <c r="H350" s="206"/>
      <c r="I350" s="206"/>
      <c r="J350" s="206" t="str">
        <f t="shared" si="75"/>
        <v/>
      </c>
      <c r="K350" s="206" t="str">
        <f t="shared" si="77"/>
        <v/>
      </c>
      <c r="L350" s="206" t="str">
        <f t="shared" si="78"/>
        <v/>
      </c>
      <c r="M350" s="206" t="str">
        <f t="shared" si="79"/>
        <v/>
      </c>
      <c r="N350" s="206" t="str">
        <f t="shared" si="80"/>
        <v/>
      </c>
      <c r="O350" s="206" t="str">
        <f t="shared" si="81"/>
        <v/>
      </c>
      <c r="P350" s="84" t="str">
        <f t="shared" si="82"/>
        <v/>
      </c>
      <c r="Q350" s="205"/>
      <c r="R350" s="70" t="str">
        <f>IF(S350="IN",'BOM_Phan II'!$Y$3,"")</f>
        <v/>
      </c>
      <c r="S350" s="69" t="str">
        <f t="shared" si="74"/>
        <v/>
      </c>
      <c r="T350">
        <f t="shared" si="83"/>
        <v>3</v>
      </c>
      <c r="U350" t="str">
        <f t="shared" si="85"/>
        <v>KIỆN 14</v>
      </c>
      <c r="V350" t="str">
        <f t="shared" si="84"/>
        <v/>
      </c>
      <c r="W350" s="266"/>
      <c r="X350" s="266"/>
      <c r="Y350" s="266" t="str">
        <f t="shared" si="76"/>
        <v/>
      </c>
      <c r="Z350" s="266"/>
    </row>
    <row r="351" spans="1:26" ht="27" hidden="1" customHeight="1">
      <c r="A351" s="70" t="str">
        <f t="shared" si="72"/>
        <v/>
      </c>
      <c r="B351" s="70" t="str">
        <f t="shared" si="73"/>
        <v/>
      </c>
      <c r="C351" s="204" t="str" cm="1">
        <f t="array" ref="C351">IF(D351="","",
    IF(AND(ISNUMBER(D351), D351=INT(D351)),
        $V$6 &amp; " " &amp; (IFERROR(MAX($Y$12:$Y350), 0) + 1),
        IF(ISNUMBER(SEARCH(".", D351)), "", INDEX($C$12:$C351, MATCH(2, 1/($C$12:$C351 &lt;&gt; ""))))
    )
)</f>
        <v/>
      </c>
      <c r="D351" s="206"/>
      <c r="E351" s="206" t="str">
        <f>IF(AA351 = "", "",
    IF(ISNUMBER(SEARCH("Kiện", C351)),
       " GÓI " &amp; COUNTIF($C$13:C351, "*Kiện*") &amp; "/" &amp; COUNTIF($C$13:$C$1000, "*Kiện*") &amp; " " &amp; AA351,
       AA351)
)</f>
        <v/>
      </c>
      <c r="F351" s="206"/>
      <c r="G351" s="206"/>
      <c r="H351" s="206"/>
      <c r="I351" s="206"/>
      <c r="J351" s="206" t="str">
        <f t="shared" si="75"/>
        <v/>
      </c>
      <c r="K351" s="206" t="str">
        <f t="shared" si="77"/>
        <v/>
      </c>
      <c r="L351" s="206" t="str">
        <f t="shared" si="78"/>
        <v/>
      </c>
      <c r="M351" s="206" t="str">
        <f t="shared" si="79"/>
        <v/>
      </c>
      <c r="N351" s="206" t="str">
        <f t="shared" si="80"/>
        <v/>
      </c>
      <c r="O351" s="206" t="str">
        <f t="shared" si="81"/>
        <v/>
      </c>
      <c r="P351" s="84" t="str">
        <f t="shared" si="82"/>
        <v/>
      </c>
      <c r="Q351" s="205"/>
      <c r="R351" s="70" t="str">
        <f>IF(S351="IN",'BOM_Phan II'!$Y$3,"")</f>
        <v/>
      </c>
      <c r="S351" s="69" t="str">
        <f t="shared" si="74"/>
        <v/>
      </c>
      <c r="T351">
        <f t="shared" si="83"/>
        <v>3</v>
      </c>
      <c r="U351" t="str">
        <f t="shared" si="85"/>
        <v>KIỆN 14</v>
      </c>
      <c r="V351" t="str">
        <f t="shared" si="84"/>
        <v/>
      </c>
      <c r="W351" s="266"/>
      <c r="X351" s="266"/>
      <c r="Y351" s="266" t="str">
        <f t="shared" si="76"/>
        <v/>
      </c>
      <c r="Z351" s="266"/>
    </row>
    <row r="352" spans="1:26" ht="27" hidden="1" customHeight="1">
      <c r="A352" s="70" t="str">
        <f t="shared" si="72"/>
        <v/>
      </c>
      <c r="B352" s="70" t="str">
        <f t="shared" si="73"/>
        <v/>
      </c>
      <c r="C352" s="204" t="str" cm="1">
        <f t="array" ref="C352">IF(D352="","",
    IF(AND(ISNUMBER(D352), D352=INT(D352)),
        $V$6 &amp; " " &amp; (IFERROR(MAX($Y$12:$Y351), 0) + 1),
        IF(ISNUMBER(SEARCH(".", D352)), "", INDEX($C$12:$C352, MATCH(2, 1/($C$12:$C352 &lt;&gt; ""))))
    )
)</f>
        <v/>
      </c>
      <c r="D352" s="206"/>
      <c r="E352" s="206" t="str">
        <f>IF(AA352 = "", "",
    IF(ISNUMBER(SEARCH("Kiện", C352)),
       " GÓI " &amp; COUNTIF($C$13:C352, "*Kiện*") &amp; "/" &amp; COUNTIF($C$13:$C$1000, "*Kiện*") &amp; " " &amp; AA352,
       AA352)
)</f>
        <v/>
      </c>
      <c r="F352" s="206"/>
      <c r="G352" s="206"/>
      <c r="H352" s="206"/>
      <c r="I352" s="206"/>
      <c r="J352" s="206" t="str">
        <f t="shared" si="75"/>
        <v/>
      </c>
      <c r="K352" s="206" t="str">
        <f t="shared" si="77"/>
        <v/>
      </c>
      <c r="L352" s="206" t="str">
        <f t="shared" si="78"/>
        <v/>
      </c>
      <c r="M352" s="206" t="str">
        <f t="shared" si="79"/>
        <v/>
      </c>
      <c r="N352" s="206" t="str">
        <f t="shared" si="80"/>
        <v/>
      </c>
      <c r="O352" s="206" t="str">
        <f t="shared" si="81"/>
        <v/>
      </c>
      <c r="P352" s="84" t="str">
        <f t="shared" si="82"/>
        <v/>
      </c>
      <c r="Q352" s="205"/>
      <c r="R352" s="70" t="str">
        <f>IF(S352="IN",'BOM_Phan II'!$Y$3,"")</f>
        <v/>
      </c>
      <c r="S352" s="69" t="str">
        <f t="shared" si="74"/>
        <v/>
      </c>
      <c r="T352">
        <f t="shared" si="83"/>
        <v>3</v>
      </c>
      <c r="U352" t="str">
        <f t="shared" si="85"/>
        <v>KIỆN 14</v>
      </c>
      <c r="V352" t="str">
        <f t="shared" si="84"/>
        <v/>
      </c>
      <c r="W352" s="266"/>
      <c r="X352" s="266"/>
      <c r="Y352" s="266" t="str">
        <f t="shared" si="76"/>
        <v/>
      </c>
      <c r="Z352" s="266"/>
    </row>
    <row r="353" spans="1:26" ht="27" hidden="1" customHeight="1">
      <c r="A353" s="70" t="str">
        <f t="shared" si="72"/>
        <v/>
      </c>
      <c r="B353" s="70" t="str">
        <f t="shared" si="73"/>
        <v/>
      </c>
      <c r="C353" s="204" t="str" cm="1">
        <f t="array" ref="C353">IF(D353="","",
    IF(AND(ISNUMBER(D353), D353=INT(D353)),
        $V$6 &amp; " " &amp; (IFERROR(MAX($Y$12:$Y352), 0) + 1),
        IF(ISNUMBER(SEARCH(".", D353)), "", INDEX($C$12:$C353, MATCH(2, 1/($C$12:$C353 &lt;&gt; ""))))
    )
)</f>
        <v/>
      </c>
      <c r="D353" s="206"/>
      <c r="E353" s="206" t="str">
        <f>IF(AA353 = "", "",
    IF(ISNUMBER(SEARCH("Kiện", C353)),
       " GÓI " &amp; COUNTIF($C$13:C353, "*Kiện*") &amp; "/" &amp; COUNTIF($C$13:$C$1000, "*Kiện*") &amp; " " &amp; AA353,
       AA353)
)</f>
        <v/>
      </c>
      <c r="F353" s="206"/>
      <c r="G353" s="206"/>
      <c r="H353" s="206"/>
      <c r="I353" s="206"/>
      <c r="J353" s="206" t="str">
        <f t="shared" si="75"/>
        <v/>
      </c>
      <c r="K353" s="206" t="str">
        <f t="shared" si="77"/>
        <v/>
      </c>
      <c r="L353" s="206" t="str">
        <f t="shared" si="78"/>
        <v/>
      </c>
      <c r="M353" s="206" t="str">
        <f t="shared" si="79"/>
        <v/>
      </c>
      <c r="N353" s="206" t="str">
        <f t="shared" si="80"/>
        <v/>
      </c>
      <c r="O353" s="206" t="str">
        <f t="shared" si="81"/>
        <v/>
      </c>
      <c r="P353" s="84" t="str">
        <f t="shared" si="82"/>
        <v/>
      </c>
      <c r="Q353" s="205"/>
      <c r="R353" s="70" t="str">
        <f>IF(S353="IN",'BOM_Phan II'!$Y$3,"")</f>
        <v/>
      </c>
      <c r="S353" s="69" t="str">
        <f t="shared" si="74"/>
        <v/>
      </c>
      <c r="T353">
        <f t="shared" si="83"/>
        <v>3</v>
      </c>
      <c r="U353" t="str">
        <f t="shared" si="85"/>
        <v>KIỆN 14</v>
      </c>
      <c r="V353" t="str">
        <f t="shared" si="84"/>
        <v/>
      </c>
      <c r="W353" s="266"/>
      <c r="X353" s="266"/>
      <c r="Y353" s="266" t="str">
        <f t="shared" si="76"/>
        <v/>
      </c>
      <c r="Z353" s="266"/>
    </row>
    <row r="354" spans="1:26" ht="27" hidden="1" customHeight="1">
      <c r="A354" s="70" t="str">
        <f t="shared" si="72"/>
        <v/>
      </c>
      <c r="B354" s="70" t="str">
        <f t="shared" si="73"/>
        <v/>
      </c>
      <c r="C354" s="204" t="str" cm="1">
        <f t="array" ref="C354">IF(D354="","",
    IF(AND(ISNUMBER(D354), D354=INT(D354)),
        $V$6 &amp; " " &amp; (IFERROR(MAX($Y$12:$Y353), 0) + 1),
        IF(ISNUMBER(SEARCH(".", D354)), "", INDEX($C$12:$C354, MATCH(2, 1/($C$12:$C354 &lt;&gt; ""))))
    )
)</f>
        <v/>
      </c>
      <c r="D354" s="206"/>
      <c r="E354" s="206" t="str">
        <f>IF(AA354 = "", "",
    IF(ISNUMBER(SEARCH("Kiện", C354)),
       " GÓI " &amp; COUNTIF($C$13:C354, "*Kiện*") &amp; "/" &amp; COUNTIF($C$13:$C$1000, "*Kiện*") &amp; " " &amp; AA354,
       AA354)
)</f>
        <v/>
      </c>
      <c r="F354" s="206"/>
      <c r="G354" s="206"/>
      <c r="H354" s="206"/>
      <c r="I354" s="206"/>
      <c r="J354" s="206" t="str">
        <f t="shared" si="75"/>
        <v/>
      </c>
      <c r="K354" s="206" t="str">
        <f t="shared" si="77"/>
        <v/>
      </c>
      <c r="L354" s="206" t="str">
        <f t="shared" si="78"/>
        <v/>
      </c>
      <c r="M354" s="206" t="str">
        <f t="shared" si="79"/>
        <v/>
      </c>
      <c r="N354" s="206" t="str">
        <f t="shared" si="80"/>
        <v/>
      </c>
      <c r="O354" s="206" t="str">
        <f t="shared" si="81"/>
        <v/>
      </c>
      <c r="P354" s="84" t="str">
        <f t="shared" si="82"/>
        <v/>
      </c>
      <c r="Q354" s="205"/>
      <c r="R354" s="70" t="str">
        <f>IF(S354="IN",'BOM_Phan II'!$Y$3,"")</f>
        <v/>
      </c>
      <c r="S354" s="69" t="str">
        <f t="shared" si="74"/>
        <v/>
      </c>
      <c r="T354">
        <f t="shared" si="83"/>
        <v>3</v>
      </c>
      <c r="U354" t="str">
        <f t="shared" si="85"/>
        <v>KIỆN 14</v>
      </c>
      <c r="V354" t="str">
        <f t="shared" si="84"/>
        <v/>
      </c>
      <c r="W354" s="266"/>
      <c r="X354" s="266"/>
      <c r="Y354" s="266" t="str">
        <f t="shared" si="76"/>
        <v/>
      </c>
      <c r="Z354" s="266"/>
    </row>
    <row r="355" spans="1:26" ht="27" hidden="1" customHeight="1">
      <c r="A355" s="70" t="str">
        <f t="shared" si="72"/>
        <v/>
      </c>
      <c r="B355" s="70" t="str">
        <f t="shared" si="73"/>
        <v/>
      </c>
      <c r="C355" s="204" t="str" cm="1">
        <f t="array" ref="C355">IF(D355="","",
    IF(AND(ISNUMBER(D355), D355=INT(D355)),
        $V$6 &amp; " " &amp; (IFERROR(MAX($Y$12:$Y354), 0) + 1),
        IF(ISNUMBER(SEARCH(".", D355)), "", INDEX($C$12:$C355, MATCH(2, 1/($C$12:$C355 &lt;&gt; ""))))
    )
)</f>
        <v/>
      </c>
      <c r="D355" s="206"/>
      <c r="E355" s="206" t="str">
        <f>IF(AA355 = "", "",
    IF(ISNUMBER(SEARCH("Kiện", C355)),
       " GÓI " &amp; COUNTIF($C$13:C355, "*Kiện*") &amp; "/" &amp; COUNTIF($C$13:$C$1000, "*Kiện*") &amp; " " &amp; AA355,
       AA355)
)</f>
        <v/>
      </c>
      <c r="F355" s="206"/>
      <c r="G355" s="206"/>
      <c r="H355" s="206"/>
      <c r="I355" s="206"/>
      <c r="J355" s="206" t="str">
        <f t="shared" si="75"/>
        <v/>
      </c>
      <c r="K355" s="206" t="str">
        <f t="shared" si="77"/>
        <v/>
      </c>
      <c r="L355" s="206" t="str">
        <f t="shared" si="78"/>
        <v/>
      </c>
      <c r="M355" s="206" t="str">
        <f t="shared" si="79"/>
        <v/>
      </c>
      <c r="N355" s="206" t="str">
        <f t="shared" si="80"/>
        <v/>
      </c>
      <c r="O355" s="206" t="str">
        <f t="shared" si="81"/>
        <v/>
      </c>
      <c r="P355" s="84" t="str">
        <f t="shared" si="82"/>
        <v/>
      </c>
      <c r="Q355" s="205"/>
      <c r="R355" s="70" t="str">
        <f>IF(S355="IN",'BOM_Phan II'!$Y$3,"")</f>
        <v/>
      </c>
      <c r="S355" s="69" t="str">
        <f t="shared" si="74"/>
        <v/>
      </c>
      <c r="T355">
        <f t="shared" si="83"/>
        <v>3</v>
      </c>
      <c r="U355" t="str">
        <f t="shared" si="85"/>
        <v>KIỆN 14</v>
      </c>
      <c r="V355" t="str">
        <f t="shared" si="84"/>
        <v/>
      </c>
      <c r="W355" s="266"/>
      <c r="X355" s="266"/>
      <c r="Y355" s="266" t="str">
        <f t="shared" si="76"/>
        <v/>
      </c>
      <c r="Z355" s="266"/>
    </row>
    <row r="356" spans="1:26" ht="27" hidden="1" customHeight="1">
      <c r="A356" s="70" t="str">
        <f t="shared" si="72"/>
        <v/>
      </c>
      <c r="B356" s="70" t="str">
        <f t="shared" si="73"/>
        <v/>
      </c>
      <c r="C356" s="204" t="str" cm="1">
        <f t="array" ref="C356">IF(D356="","",
    IF(AND(ISNUMBER(D356), D356=INT(D356)),
        $V$6 &amp; " " &amp; (IFERROR(MAX($Y$12:$Y355), 0) + 1),
        IF(ISNUMBER(SEARCH(".", D356)), "", INDEX($C$12:$C356, MATCH(2, 1/($C$12:$C356 &lt;&gt; ""))))
    )
)</f>
        <v/>
      </c>
      <c r="D356" s="206"/>
      <c r="E356" s="206" t="str">
        <f>IF(AA356 = "", "",
    IF(ISNUMBER(SEARCH("Kiện", C356)),
       " GÓI " &amp; COUNTIF($C$13:C356, "*Kiện*") &amp; "/" &amp; COUNTIF($C$13:$C$1000, "*Kiện*") &amp; " " &amp; AA356,
       AA356)
)</f>
        <v/>
      </c>
      <c r="F356" s="206"/>
      <c r="G356" s="206"/>
      <c r="H356" s="206"/>
      <c r="I356" s="206"/>
      <c r="J356" s="206" t="str">
        <f t="shared" si="75"/>
        <v/>
      </c>
      <c r="K356" s="206" t="str">
        <f t="shared" si="77"/>
        <v/>
      </c>
      <c r="L356" s="206" t="str">
        <f t="shared" si="78"/>
        <v/>
      </c>
      <c r="M356" s="206" t="str">
        <f t="shared" si="79"/>
        <v/>
      </c>
      <c r="N356" s="206" t="str">
        <f t="shared" si="80"/>
        <v/>
      </c>
      <c r="O356" s="206" t="str">
        <f t="shared" si="81"/>
        <v/>
      </c>
      <c r="P356" s="84" t="str">
        <f t="shared" si="82"/>
        <v/>
      </c>
      <c r="Q356" s="205"/>
      <c r="R356" s="70" t="str">
        <f>IF(S356="IN",'BOM_Phan II'!$Y$3,"")</f>
        <v/>
      </c>
      <c r="S356" s="69" t="str">
        <f t="shared" si="74"/>
        <v/>
      </c>
      <c r="T356">
        <f t="shared" si="83"/>
        <v>3</v>
      </c>
      <c r="U356" t="str">
        <f t="shared" si="85"/>
        <v>KIỆN 14</v>
      </c>
      <c r="V356" t="str">
        <f t="shared" si="84"/>
        <v/>
      </c>
      <c r="W356" s="266"/>
      <c r="X356" s="266"/>
      <c r="Y356" s="266" t="str">
        <f t="shared" si="76"/>
        <v/>
      </c>
      <c r="Z356" s="266"/>
    </row>
    <row r="357" spans="1:26" ht="27" hidden="1" customHeight="1">
      <c r="A357" s="70" t="str">
        <f t="shared" si="72"/>
        <v/>
      </c>
      <c r="B357" s="70" t="str">
        <f t="shared" si="73"/>
        <v/>
      </c>
      <c r="C357" s="204" t="str" cm="1">
        <f t="array" ref="C357">IF(D357="","",
    IF(AND(ISNUMBER(D357), D357=INT(D357)),
        $V$6 &amp; " " &amp; (IFERROR(MAX($Y$12:$Y356), 0) + 1),
        IF(ISNUMBER(SEARCH(".", D357)), "", INDEX($C$12:$C357, MATCH(2, 1/($C$12:$C357 &lt;&gt; ""))))
    )
)</f>
        <v/>
      </c>
      <c r="D357" s="206"/>
      <c r="E357" s="206" t="str">
        <f>IF(AA357 = "", "",
    IF(ISNUMBER(SEARCH("Kiện", C357)),
       " GÓI " &amp; COUNTIF($C$13:C357, "*Kiện*") &amp; "/" &amp; COUNTIF($C$13:$C$1000, "*Kiện*") &amp; " " &amp; AA357,
       AA357)
)</f>
        <v/>
      </c>
      <c r="F357" s="206"/>
      <c r="G357" s="206"/>
      <c r="H357" s="206"/>
      <c r="I357" s="206"/>
      <c r="J357" s="206" t="str">
        <f t="shared" si="75"/>
        <v/>
      </c>
      <c r="K357" s="206" t="str">
        <f t="shared" si="77"/>
        <v/>
      </c>
      <c r="L357" s="206" t="str">
        <f t="shared" si="78"/>
        <v/>
      </c>
      <c r="M357" s="206" t="str">
        <f t="shared" si="79"/>
        <v/>
      </c>
      <c r="N357" s="206" t="str">
        <f t="shared" si="80"/>
        <v/>
      </c>
      <c r="O357" s="206" t="str">
        <f t="shared" si="81"/>
        <v/>
      </c>
      <c r="P357" s="84" t="str">
        <f t="shared" si="82"/>
        <v/>
      </c>
      <c r="Q357" s="205"/>
      <c r="R357" s="70" t="str">
        <f>IF(S357="IN",'BOM_Phan II'!$Y$3,"")</f>
        <v/>
      </c>
      <c r="S357" s="69" t="str">
        <f t="shared" si="74"/>
        <v/>
      </c>
      <c r="T357">
        <f t="shared" si="83"/>
        <v>3</v>
      </c>
      <c r="U357" t="str">
        <f t="shared" si="85"/>
        <v>KIỆN 14</v>
      </c>
      <c r="V357" t="str">
        <f t="shared" si="84"/>
        <v/>
      </c>
      <c r="W357" s="266"/>
      <c r="X357" s="266"/>
      <c r="Y357" s="266" t="str">
        <f t="shared" si="76"/>
        <v/>
      </c>
      <c r="Z357" s="266"/>
    </row>
    <row r="358" spans="1:26" ht="27" hidden="1" customHeight="1">
      <c r="A358" s="70" t="str">
        <f t="shared" si="72"/>
        <v/>
      </c>
      <c r="B358" s="70" t="str">
        <f t="shared" si="73"/>
        <v/>
      </c>
      <c r="C358" s="204" t="str" cm="1">
        <f t="array" ref="C358">IF(D358="","",
    IF(AND(ISNUMBER(D358), D358=INT(D358)),
        $V$6 &amp; " " &amp; (IFERROR(MAX($Y$12:$Y357), 0) + 1),
        IF(ISNUMBER(SEARCH(".", D358)), "", INDEX($C$12:$C358, MATCH(2, 1/($C$12:$C358 &lt;&gt; ""))))
    )
)</f>
        <v/>
      </c>
      <c r="D358" s="206"/>
      <c r="E358" s="206" t="str">
        <f>IF(AA358 = "", "",
    IF(ISNUMBER(SEARCH("Kiện", C358)),
       " GÓI " &amp; COUNTIF($C$13:C358, "*Kiện*") &amp; "/" &amp; COUNTIF($C$13:$C$1000, "*Kiện*") &amp; " " &amp; AA358,
       AA358)
)</f>
        <v/>
      </c>
      <c r="F358" s="206"/>
      <c r="G358" s="206"/>
      <c r="H358" s="206"/>
      <c r="I358" s="206"/>
      <c r="J358" s="206" t="str">
        <f t="shared" si="75"/>
        <v/>
      </c>
      <c r="K358" s="206" t="str">
        <f t="shared" si="77"/>
        <v/>
      </c>
      <c r="L358" s="206" t="str">
        <f t="shared" si="78"/>
        <v/>
      </c>
      <c r="M358" s="206" t="str">
        <f t="shared" si="79"/>
        <v/>
      </c>
      <c r="N358" s="206" t="str">
        <f t="shared" si="80"/>
        <v/>
      </c>
      <c r="O358" s="206" t="str">
        <f t="shared" si="81"/>
        <v/>
      </c>
      <c r="P358" s="84" t="str">
        <f t="shared" si="82"/>
        <v/>
      </c>
      <c r="Q358" s="205"/>
      <c r="R358" s="70" t="str">
        <f>IF(S358="IN",'BOM_Phan II'!$Y$3,"")</f>
        <v/>
      </c>
      <c r="S358" s="69" t="str">
        <f t="shared" si="74"/>
        <v/>
      </c>
      <c r="T358">
        <f t="shared" si="83"/>
        <v>3</v>
      </c>
      <c r="U358" t="str">
        <f t="shared" si="85"/>
        <v>KIỆN 14</v>
      </c>
      <c r="V358" t="str">
        <f t="shared" si="84"/>
        <v/>
      </c>
      <c r="W358" s="266"/>
      <c r="X358" s="266"/>
      <c r="Y358" s="266" t="str">
        <f t="shared" si="76"/>
        <v/>
      </c>
      <c r="Z358" s="266"/>
    </row>
    <row r="359" spans="1:26" ht="27" hidden="1" customHeight="1">
      <c r="A359" s="70" t="str">
        <f t="shared" si="72"/>
        <v/>
      </c>
      <c r="B359" s="70" t="str">
        <f t="shared" si="73"/>
        <v/>
      </c>
      <c r="C359" s="204" t="str" cm="1">
        <f t="array" ref="C359">IF(D359="","",
    IF(AND(ISNUMBER(D359), D359=INT(D359)),
        $V$6 &amp; " " &amp; (IFERROR(MAX($Y$12:$Y358), 0) + 1),
        IF(ISNUMBER(SEARCH(".", D359)), "", INDEX($C$12:$C359, MATCH(2, 1/($C$12:$C359 &lt;&gt; ""))))
    )
)</f>
        <v/>
      </c>
      <c r="D359" s="206"/>
      <c r="E359" s="206" t="str">
        <f>IF(AA359 = "", "",
    IF(ISNUMBER(SEARCH("Kiện", C359)),
       " GÓI " &amp; COUNTIF($C$13:C359, "*Kiện*") &amp; "/" &amp; COUNTIF($C$13:$C$1000, "*Kiện*") &amp; " " &amp; AA359,
       AA359)
)</f>
        <v/>
      </c>
      <c r="F359" s="206"/>
      <c r="G359" s="206"/>
      <c r="H359" s="206"/>
      <c r="I359" s="206"/>
      <c r="J359" s="206" t="str">
        <f t="shared" si="75"/>
        <v/>
      </c>
      <c r="K359" s="206" t="str">
        <f t="shared" si="77"/>
        <v/>
      </c>
      <c r="L359" s="206" t="str">
        <f t="shared" si="78"/>
        <v/>
      </c>
      <c r="M359" s="206" t="str">
        <f t="shared" si="79"/>
        <v/>
      </c>
      <c r="N359" s="206" t="str">
        <f t="shared" si="80"/>
        <v/>
      </c>
      <c r="O359" s="206" t="str">
        <f t="shared" si="81"/>
        <v/>
      </c>
      <c r="P359" s="84" t="str">
        <f t="shared" si="82"/>
        <v/>
      </c>
      <c r="Q359" s="205"/>
      <c r="R359" s="70" t="str">
        <f>IF(S359="IN",'BOM_Phan II'!$Y$3,"")</f>
        <v/>
      </c>
      <c r="S359" s="69" t="str">
        <f t="shared" si="74"/>
        <v/>
      </c>
      <c r="T359">
        <f t="shared" si="83"/>
        <v>3</v>
      </c>
      <c r="U359" t="str">
        <f t="shared" si="85"/>
        <v>KIỆN 14</v>
      </c>
      <c r="V359" t="str">
        <f t="shared" si="84"/>
        <v/>
      </c>
      <c r="W359" s="266"/>
      <c r="X359" s="266"/>
      <c r="Y359" s="266" t="str">
        <f t="shared" si="76"/>
        <v/>
      </c>
      <c r="Z359" s="266"/>
    </row>
    <row r="360" spans="1:26" ht="27" hidden="1" customHeight="1">
      <c r="A360" s="70" t="str">
        <f t="shared" si="72"/>
        <v/>
      </c>
      <c r="B360" s="70" t="str">
        <f t="shared" si="73"/>
        <v/>
      </c>
      <c r="C360" s="204" t="str" cm="1">
        <f t="array" ref="C360">IF(D360="","",
    IF(AND(ISNUMBER(D360), D360=INT(D360)),
        $V$6 &amp; " " &amp; (IFERROR(MAX($Y$12:$Y359), 0) + 1),
        IF(ISNUMBER(SEARCH(".", D360)), "", INDEX($C$12:$C360, MATCH(2, 1/($C$12:$C360 &lt;&gt; ""))))
    )
)</f>
        <v/>
      </c>
      <c r="D360" s="206"/>
      <c r="E360" s="206" t="str">
        <f>IF(AA360 = "", "",
    IF(ISNUMBER(SEARCH("Kiện", C360)),
       " GÓI " &amp; COUNTIF($C$13:C360, "*Kiện*") &amp; "/" &amp; COUNTIF($C$13:$C$1000, "*Kiện*") &amp; " " &amp; AA360,
       AA360)
)</f>
        <v/>
      </c>
      <c r="F360" s="206"/>
      <c r="G360" s="206"/>
      <c r="H360" s="206"/>
      <c r="I360" s="206"/>
      <c r="J360" s="206" t="str">
        <f t="shared" si="75"/>
        <v/>
      </c>
      <c r="K360" s="206" t="str">
        <f t="shared" si="77"/>
        <v/>
      </c>
      <c r="L360" s="206" t="str">
        <f t="shared" si="78"/>
        <v/>
      </c>
      <c r="M360" s="206" t="str">
        <f t="shared" si="79"/>
        <v/>
      </c>
      <c r="N360" s="206" t="str">
        <f t="shared" si="80"/>
        <v/>
      </c>
      <c r="O360" s="206" t="str">
        <f t="shared" si="81"/>
        <v/>
      </c>
      <c r="P360" s="84" t="str">
        <f t="shared" si="82"/>
        <v/>
      </c>
      <c r="Q360" s="205"/>
      <c r="R360" s="70" t="str">
        <f>IF(S360="IN",'BOM_Phan II'!$Y$3,"")</f>
        <v/>
      </c>
      <c r="S360" s="69" t="str">
        <f t="shared" si="74"/>
        <v/>
      </c>
      <c r="T360">
        <f t="shared" si="83"/>
        <v>3</v>
      </c>
      <c r="U360" t="str">
        <f t="shared" si="85"/>
        <v>KIỆN 14</v>
      </c>
      <c r="V360" t="str">
        <f t="shared" si="84"/>
        <v/>
      </c>
      <c r="W360" s="266"/>
      <c r="X360" s="266"/>
      <c r="Y360" s="266" t="str">
        <f t="shared" si="76"/>
        <v/>
      </c>
      <c r="Z360" s="266"/>
    </row>
    <row r="361" spans="1:26" ht="27" hidden="1" customHeight="1">
      <c r="A361" s="70" t="str">
        <f t="shared" si="72"/>
        <v/>
      </c>
      <c r="B361" s="70" t="str">
        <f t="shared" si="73"/>
        <v/>
      </c>
      <c r="C361" s="204" t="str" cm="1">
        <f t="array" ref="C361">IF(D361="","",
    IF(AND(ISNUMBER(D361), D361=INT(D361)),
        $V$6 &amp; " " &amp; (IFERROR(MAX($Y$12:$Y360), 0) + 1),
        IF(ISNUMBER(SEARCH(".", D361)), "", INDEX($C$12:$C361, MATCH(2, 1/($C$12:$C361 &lt;&gt; ""))))
    )
)</f>
        <v/>
      </c>
      <c r="D361" s="206"/>
      <c r="E361" s="206" t="str">
        <f>IF(AA361 = "", "",
    IF(ISNUMBER(SEARCH("Kiện", C361)),
       " GÓI " &amp; COUNTIF($C$13:C361, "*Kiện*") &amp; "/" &amp; COUNTIF($C$13:$C$1000, "*Kiện*") &amp; " " &amp; AA361,
       AA361)
)</f>
        <v/>
      </c>
      <c r="F361" s="206"/>
      <c r="G361" s="206"/>
      <c r="H361" s="206"/>
      <c r="I361" s="206"/>
      <c r="J361" s="206" t="str">
        <f t="shared" si="75"/>
        <v/>
      </c>
      <c r="K361" s="206" t="str">
        <f t="shared" si="77"/>
        <v/>
      </c>
      <c r="L361" s="206" t="str">
        <f t="shared" si="78"/>
        <v/>
      </c>
      <c r="M361" s="206" t="str">
        <f t="shared" si="79"/>
        <v/>
      </c>
      <c r="N361" s="206" t="str">
        <f t="shared" si="80"/>
        <v/>
      </c>
      <c r="O361" s="206" t="str">
        <f t="shared" si="81"/>
        <v/>
      </c>
      <c r="P361" s="84" t="str">
        <f t="shared" si="82"/>
        <v/>
      </c>
      <c r="Q361" s="205"/>
      <c r="R361" s="70" t="str">
        <f>IF(S361="IN",'BOM_Phan II'!$Y$3,"")</f>
        <v/>
      </c>
      <c r="S361" s="69" t="str">
        <f t="shared" si="74"/>
        <v/>
      </c>
      <c r="T361">
        <f t="shared" si="83"/>
        <v>3</v>
      </c>
      <c r="U361" t="str">
        <f t="shared" si="85"/>
        <v>KIỆN 14</v>
      </c>
      <c r="V361" t="str">
        <f t="shared" si="84"/>
        <v/>
      </c>
      <c r="W361" s="266"/>
      <c r="X361" s="266"/>
      <c r="Y361" s="266" t="str">
        <f t="shared" si="76"/>
        <v/>
      </c>
      <c r="Z361" s="266"/>
    </row>
    <row r="362" spans="1:26" ht="27" hidden="1" customHeight="1">
      <c r="A362" s="70" t="str">
        <f t="shared" si="72"/>
        <v/>
      </c>
      <c r="B362" s="70" t="str">
        <f t="shared" si="73"/>
        <v/>
      </c>
      <c r="C362" s="204" t="str" cm="1">
        <f t="array" ref="C362">IF(D362="","",
    IF(AND(ISNUMBER(D362), D362=INT(D362)),
        $V$6 &amp; " " &amp; (IFERROR(MAX($Y$12:$Y361), 0) + 1),
        IF(ISNUMBER(SEARCH(".", D362)), "", INDEX($C$12:$C362, MATCH(2, 1/($C$12:$C362 &lt;&gt; ""))))
    )
)</f>
        <v/>
      </c>
      <c r="D362" s="206"/>
      <c r="E362" s="206" t="str">
        <f>IF(AA362 = "", "",
    IF(ISNUMBER(SEARCH("Kiện", C362)),
       " GÓI " &amp; COUNTIF($C$13:C362, "*Kiện*") &amp; "/" &amp; COUNTIF($C$13:$C$1000, "*Kiện*") &amp; " " &amp; AA362,
       AA362)
)</f>
        <v/>
      </c>
      <c r="F362" s="206"/>
      <c r="G362" s="206"/>
      <c r="H362" s="206"/>
      <c r="I362" s="206"/>
      <c r="J362" s="206" t="str">
        <f t="shared" si="75"/>
        <v/>
      </c>
      <c r="K362" s="206" t="str">
        <f t="shared" si="77"/>
        <v/>
      </c>
      <c r="L362" s="206" t="str">
        <f t="shared" si="78"/>
        <v/>
      </c>
      <c r="M362" s="206" t="str">
        <f t="shared" si="79"/>
        <v/>
      </c>
      <c r="N362" s="206" t="str">
        <f t="shared" si="80"/>
        <v/>
      </c>
      <c r="O362" s="206" t="str">
        <f t="shared" si="81"/>
        <v/>
      </c>
      <c r="P362" s="84" t="str">
        <f t="shared" si="82"/>
        <v/>
      </c>
      <c r="Q362" s="205"/>
      <c r="R362" s="70" t="str">
        <f>IF(S362="IN",'BOM_Phan II'!$Y$3,"")</f>
        <v/>
      </c>
      <c r="S362" s="69" t="str">
        <f t="shared" si="74"/>
        <v/>
      </c>
      <c r="T362">
        <f t="shared" si="83"/>
        <v>3</v>
      </c>
      <c r="U362" t="str">
        <f t="shared" si="85"/>
        <v>KIỆN 14</v>
      </c>
      <c r="V362" t="str">
        <f t="shared" si="84"/>
        <v/>
      </c>
      <c r="W362" s="266"/>
      <c r="X362" s="266"/>
      <c r="Y362" s="266" t="str">
        <f t="shared" si="76"/>
        <v/>
      </c>
      <c r="Z362" s="266"/>
    </row>
    <row r="363" spans="1:26" ht="27" hidden="1" customHeight="1">
      <c r="A363" s="70" t="str">
        <f t="shared" si="72"/>
        <v/>
      </c>
      <c r="B363" s="70" t="str">
        <f t="shared" si="73"/>
        <v/>
      </c>
      <c r="C363" s="204" t="str" cm="1">
        <f t="array" ref="C363">IF(D363="","",
    IF(AND(ISNUMBER(D363), D363=INT(D363)),
        $V$6 &amp; " " &amp; (IFERROR(MAX($Y$12:$Y362), 0) + 1),
        IF(ISNUMBER(SEARCH(".", D363)), "", INDEX($C$12:$C363, MATCH(2, 1/($C$12:$C363 &lt;&gt; ""))))
    )
)</f>
        <v/>
      </c>
      <c r="D363" s="206"/>
      <c r="E363" s="206" t="str">
        <f>IF(AA363 = "", "",
    IF(ISNUMBER(SEARCH("Kiện", C363)),
       " GÓI " &amp; COUNTIF($C$13:C363, "*Kiện*") &amp; "/" &amp; COUNTIF($C$13:$C$1000, "*Kiện*") &amp; " " &amp; AA363,
       AA363)
)</f>
        <v/>
      </c>
      <c r="F363" s="206"/>
      <c r="G363" s="206"/>
      <c r="H363" s="206"/>
      <c r="I363" s="206"/>
      <c r="J363" s="206" t="str">
        <f t="shared" si="75"/>
        <v/>
      </c>
      <c r="K363" s="206" t="str">
        <f t="shared" si="77"/>
        <v/>
      </c>
      <c r="L363" s="206" t="str">
        <f t="shared" si="78"/>
        <v/>
      </c>
      <c r="M363" s="206" t="str">
        <f t="shared" si="79"/>
        <v/>
      </c>
      <c r="N363" s="206" t="str">
        <f t="shared" si="80"/>
        <v/>
      </c>
      <c r="O363" s="206" t="str">
        <f t="shared" si="81"/>
        <v/>
      </c>
      <c r="P363" s="84" t="str">
        <f t="shared" si="82"/>
        <v/>
      </c>
      <c r="Q363" s="205"/>
      <c r="R363" s="70" t="str">
        <f>IF(S363="IN",'BOM_Phan II'!$Y$3,"")</f>
        <v/>
      </c>
      <c r="S363" s="69" t="str">
        <f t="shared" si="74"/>
        <v/>
      </c>
      <c r="T363">
        <f t="shared" si="83"/>
        <v>3</v>
      </c>
      <c r="U363" t="str">
        <f t="shared" si="85"/>
        <v>KIỆN 14</v>
      </c>
      <c r="V363" t="str">
        <f t="shared" si="84"/>
        <v/>
      </c>
      <c r="W363" s="266"/>
      <c r="X363" s="266"/>
      <c r="Y363" s="266" t="str">
        <f t="shared" si="76"/>
        <v/>
      </c>
      <c r="Z363" s="266"/>
    </row>
    <row r="364" spans="1:26" ht="27" hidden="1" customHeight="1">
      <c r="A364" s="70" t="str">
        <f t="shared" si="72"/>
        <v/>
      </c>
      <c r="B364" s="70" t="str">
        <f t="shared" si="73"/>
        <v/>
      </c>
      <c r="C364" s="204" t="str" cm="1">
        <f t="array" ref="C364">IF(D364="","",
    IF(AND(ISNUMBER(D364), D364=INT(D364)),
        $V$6 &amp; " " &amp; (IFERROR(MAX($Y$12:$Y363), 0) + 1),
        IF(ISNUMBER(SEARCH(".", D364)), "", INDEX($C$12:$C364, MATCH(2, 1/($C$12:$C364 &lt;&gt; ""))))
    )
)</f>
        <v/>
      </c>
      <c r="D364" s="206"/>
      <c r="E364" s="206" t="str">
        <f>IF(AA364 = "", "",
    IF(ISNUMBER(SEARCH("Kiện", C364)),
       " GÓI " &amp; COUNTIF($C$13:C364, "*Kiện*") &amp; "/" &amp; COUNTIF($C$13:$C$1000, "*Kiện*") &amp; " " &amp; AA364,
       AA364)
)</f>
        <v/>
      </c>
      <c r="F364" s="206"/>
      <c r="G364" s="206"/>
      <c r="H364" s="206"/>
      <c r="I364" s="206"/>
      <c r="J364" s="206" t="str">
        <f t="shared" si="75"/>
        <v/>
      </c>
      <c r="K364" s="206" t="str">
        <f t="shared" si="77"/>
        <v/>
      </c>
      <c r="L364" s="206" t="str">
        <f t="shared" si="78"/>
        <v/>
      </c>
      <c r="M364" s="206" t="str">
        <f t="shared" si="79"/>
        <v/>
      </c>
      <c r="N364" s="206" t="str">
        <f t="shared" si="80"/>
        <v/>
      </c>
      <c r="O364" s="206" t="str">
        <f t="shared" si="81"/>
        <v/>
      </c>
      <c r="P364" s="84" t="str">
        <f t="shared" si="82"/>
        <v/>
      </c>
      <c r="Q364" s="205"/>
      <c r="R364" s="70" t="str">
        <f>IF(S364="IN",'BOM_Phan II'!$Y$3,"")</f>
        <v/>
      </c>
      <c r="S364" s="69" t="str">
        <f t="shared" si="74"/>
        <v/>
      </c>
      <c r="T364">
        <f t="shared" si="83"/>
        <v>3</v>
      </c>
      <c r="U364" t="str">
        <f t="shared" si="85"/>
        <v>KIỆN 14</v>
      </c>
      <c r="V364" t="str">
        <f t="shared" si="84"/>
        <v/>
      </c>
      <c r="W364" s="266"/>
      <c r="X364" s="266"/>
      <c r="Y364" s="266" t="str">
        <f t="shared" si="76"/>
        <v/>
      </c>
      <c r="Z364" s="266"/>
    </row>
    <row r="365" spans="1:26" ht="27" hidden="1" customHeight="1">
      <c r="A365" s="70" t="str">
        <f t="shared" si="72"/>
        <v/>
      </c>
      <c r="B365" s="70" t="str">
        <f t="shared" si="73"/>
        <v/>
      </c>
      <c r="C365" s="204" t="str" cm="1">
        <f t="array" ref="C365">IF(D365="","",
    IF(AND(ISNUMBER(D365), D365=INT(D365)),
        $V$6 &amp; " " &amp; (IFERROR(MAX($Y$12:$Y364), 0) + 1),
        IF(ISNUMBER(SEARCH(".", D365)), "", INDEX($C$12:$C365, MATCH(2, 1/($C$12:$C365 &lt;&gt; ""))))
    )
)</f>
        <v/>
      </c>
      <c r="D365" s="206"/>
      <c r="E365" s="206" t="str">
        <f>IF(AA365 = "", "",
    IF(ISNUMBER(SEARCH("Kiện", C365)),
       " GÓI " &amp; COUNTIF($C$13:C365, "*Kiện*") &amp; "/" &amp; COUNTIF($C$13:$C$1000, "*Kiện*") &amp; " " &amp; AA365,
       AA365)
)</f>
        <v/>
      </c>
      <c r="F365" s="206"/>
      <c r="G365" s="206"/>
      <c r="H365" s="206"/>
      <c r="I365" s="206"/>
      <c r="J365" s="206" t="str">
        <f t="shared" si="75"/>
        <v/>
      </c>
      <c r="K365" s="206" t="str">
        <f t="shared" si="77"/>
        <v/>
      </c>
      <c r="L365" s="206" t="str">
        <f t="shared" si="78"/>
        <v/>
      </c>
      <c r="M365" s="206" t="str">
        <f t="shared" si="79"/>
        <v/>
      </c>
      <c r="N365" s="206" t="str">
        <f t="shared" si="80"/>
        <v/>
      </c>
      <c r="O365" s="206" t="str">
        <f t="shared" si="81"/>
        <v/>
      </c>
      <c r="P365" s="84" t="str">
        <f t="shared" si="82"/>
        <v/>
      </c>
      <c r="Q365" s="205"/>
      <c r="R365" s="70" t="str">
        <f>IF(S365="IN",'BOM_Phan II'!$Y$3,"")</f>
        <v/>
      </c>
      <c r="S365" s="69" t="str">
        <f t="shared" si="74"/>
        <v/>
      </c>
      <c r="T365">
        <f t="shared" si="83"/>
        <v>3</v>
      </c>
      <c r="U365" t="str">
        <f t="shared" si="85"/>
        <v>KIỆN 14</v>
      </c>
      <c r="V365" t="str">
        <f t="shared" si="84"/>
        <v/>
      </c>
      <c r="W365" s="266"/>
      <c r="X365" s="266"/>
      <c r="Y365" s="266" t="str">
        <f t="shared" si="76"/>
        <v/>
      </c>
      <c r="Z365" s="266"/>
    </row>
    <row r="366" spans="1:26" ht="27" hidden="1" customHeight="1">
      <c r="A366" s="70" t="str">
        <f t="shared" si="72"/>
        <v/>
      </c>
      <c r="B366" s="70" t="str">
        <f t="shared" si="73"/>
        <v/>
      </c>
      <c r="C366" s="204" t="str" cm="1">
        <f t="array" ref="C366">IF(D366="","",
    IF(AND(ISNUMBER(D366), D366=INT(D366)),
        $V$6 &amp; " " &amp; (IFERROR(MAX($Y$12:$Y365), 0) + 1),
        IF(ISNUMBER(SEARCH(".", D366)), "", INDEX($C$12:$C366, MATCH(2, 1/($C$12:$C366 &lt;&gt; ""))))
    )
)</f>
        <v/>
      </c>
      <c r="D366" s="206"/>
      <c r="E366" s="206" t="str">
        <f>IF(AA366 = "", "",
    IF(ISNUMBER(SEARCH("Kiện", C366)),
       " GÓI " &amp; COUNTIF($C$13:C366, "*Kiện*") &amp; "/" &amp; COUNTIF($C$13:$C$1000, "*Kiện*") &amp; " " &amp; AA366,
       AA366)
)</f>
        <v/>
      </c>
      <c r="F366" s="206"/>
      <c r="G366" s="206"/>
      <c r="H366" s="206"/>
      <c r="I366" s="206"/>
      <c r="J366" s="206" t="str">
        <f t="shared" si="75"/>
        <v/>
      </c>
      <c r="K366" s="206" t="str">
        <f t="shared" si="77"/>
        <v/>
      </c>
      <c r="L366" s="206" t="str">
        <f t="shared" si="78"/>
        <v/>
      </c>
      <c r="M366" s="206" t="str">
        <f t="shared" si="79"/>
        <v/>
      </c>
      <c r="N366" s="206" t="str">
        <f t="shared" si="80"/>
        <v/>
      </c>
      <c r="O366" s="206" t="str">
        <f t="shared" si="81"/>
        <v/>
      </c>
      <c r="P366" s="84" t="str">
        <f t="shared" si="82"/>
        <v/>
      </c>
      <c r="Q366" s="205"/>
      <c r="R366" s="70" t="str">
        <f>IF(S366="IN",'BOM_Phan II'!$Y$3,"")</f>
        <v/>
      </c>
      <c r="S366" s="69" t="str">
        <f t="shared" si="74"/>
        <v/>
      </c>
      <c r="T366">
        <f t="shared" si="83"/>
        <v>3</v>
      </c>
      <c r="U366" t="str">
        <f t="shared" si="85"/>
        <v>KIỆN 14</v>
      </c>
      <c r="V366" t="str">
        <f t="shared" si="84"/>
        <v/>
      </c>
      <c r="W366" s="266"/>
      <c r="X366" s="266"/>
      <c r="Y366" s="266" t="str">
        <f t="shared" si="76"/>
        <v/>
      </c>
      <c r="Z366" s="266"/>
    </row>
    <row r="367" spans="1:26" ht="27" hidden="1" customHeight="1">
      <c r="A367" s="70" t="str">
        <f t="shared" si="72"/>
        <v/>
      </c>
      <c r="B367" s="70" t="str">
        <f t="shared" si="73"/>
        <v/>
      </c>
      <c r="C367" s="204" t="str" cm="1">
        <f t="array" ref="C367">IF(D367="","",
    IF(AND(ISNUMBER(D367), D367=INT(D367)),
        $V$6 &amp; " " &amp; (IFERROR(MAX($Y$12:$Y366), 0) + 1),
        IF(ISNUMBER(SEARCH(".", D367)), "", INDEX($C$12:$C367, MATCH(2, 1/($C$12:$C367 &lt;&gt; ""))))
    )
)</f>
        <v/>
      </c>
      <c r="D367" s="206"/>
      <c r="E367" s="206" t="str">
        <f>IF(AA367 = "", "",
    IF(ISNUMBER(SEARCH("Kiện", C367)),
       " GÓI " &amp; COUNTIF($C$13:C367, "*Kiện*") &amp; "/" &amp; COUNTIF($C$13:$C$1000, "*Kiện*") &amp; " " &amp; AA367,
       AA367)
)</f>
        <v/>
      </c>
      <c r="F367" s="206"/>
      <c r="G367" s="206"/>
      <c r="H367" s="206"/>
      <c r="I367" s="206"/>
      <c r="J367" s="206" t="str">
        <f t="shared" si="75"/>
        <v/>
      </c>
      <c r="K367" s="206" t="str">
        <f t="shared" si="77"/>
        <v/>
      </c>
      <c r="L367" s="206" t="str">
        <f t="shared" si="78"/>
        <v/>
      </c>
      <c r="M367" s="206" t="str">
        <f t="shared" si="79"/>
        <v/>
      </c>
      <c r="N367" s="206" t="str">
        <f t="shared" si="80"/>
        <v/>
      </c>
      <c r="O367" s="206" t="str">
        <f t="shared" si="81"/>
        <v/>
      </c>
      <c r="P367" s="84" t="str">
        <f t="shared" si="82"/>
        <v/>
      </c>
      <c r="Q367" s="205"/>
      <c r="R367" s="70" t="str">
        <f>IF(S367="IN",'BOM_Phan II'!$Y$3,"")</f>
        <v/>
      </c>
      <c r="S367" s="69" t="str">
        <f t="shared" si="74"/>
        <v/>
      </c>
      <c r="T367">
        <f t="shared" si="83"/>
        <v>3</v>
      </c>
      <c r="U367" t="str">
        <f t="shared" si="85"/>
        <v>KIỆN 14</v>
      </c>
      <c r="V367" t="str">
        <f t="shared" si="84"/>
        <v/>
      </c>
      <c r="W367" s="266"/>
      <c r="X367" s="266"/>
      <c r="Y367" s="266" t="str">
        <f t="shared" si="76"/>
        <v/>
      </c>
      <c r="Z367" s="266"/>
    </row>
    <row r="368" spans="1:26" ht="27" hidden="1" customHeight="1">
      <c r="A368" s="70" t="str">
        <f t="shared" si="72"/>
        <v/>
      </c>
      <c r="B368" s="70" t="str">
        <f t="shared" si="73"/>
        <v/>
      </c>
      <c r="C368" s="204" t="str" cm="1">
        <f t="array" ref="C368">IF(D368="","",
    IF(AND(ISNUMBER(D368), D368=INT(D368)),
        $V$6 &amp; " " &amp; (IFERROR(MAX($Y$12:$Y367), 0) + 1),
        IF(ISNUMBER(SEARCH(".", D368)), "", INDEX($C$12:$C368, MATCH(2, 1/($C$12:$C368 &lt;&gt; ""))))
    )
)</f>
        <v/>
      </c>
      <c r="D368" s="206"/>
      <c r="E368" s="206" t="str">
        <f>IF(AA368 = "", "",
    IF(ISNUMBER(SEARCH("Kiện", C368)),
       " GÓI " &amp; COUNTIF($C$13:C368, "*Kiện*") &amp; "/" &amp; COUNTIF($C$13:$C$1000, "*Kiện*") &amp; " " &amp; AA368,
       AA368)
)</f>
        <v/>
      </c>
      <c r="F368" s="206"/>
      <c r="G368" s="206"/>
      <c r="H368" s="206"/>
      <c r="I368" s="206"/>
      <c r="J368" s="206" t="str">
        <f t="shared" si="75"/>
        <v/>
      </c>
      <c r="K368" s="206" t="str">
        <f t="shared" si="77"/>
        <v/>
      </c>
      <c r="L368" s="206" t="str">
        <f t="shared" si="78"/>
        <v/>
      </c>
      <c r="M368" s="206" t="str">
        <f t="shared" si="79"/>
        <v/>
      </c>
      <c r="N368" s="206" t="str">
        <f t="shared" si="80"/>
        <v/>
      </c>
      <c r="O368" s="206" t="str">
        <f t="shared" si="81"/>
        <v/>
      </c>
      <c r="P368" s="84" t="str">
        <f t="shared" si="82"/>
        <v/>
      </c>
      <c r="Q368" s="205"/>
      <c r="R368" s="70" t="str">
        <f>IF(S368="IN",'BOM_Phan II'!$Y$3,"")</f>
        <v/>
      </c>
      <c r="S368" s="69" t="str">
        <f t="shared" si="74"/>
        <v/>
      </c>
      <c r="T368">
        <f t="shared" si="83"/>
        <v>3</v>
      </c>
      <c r="U368" t="str">
        <f t="shared" si="85"/>
        <v>KIỆN 14</v>
      </c>
      <c r="V368" t="str">
        <f t="shared" si="84"/>
        <v/>
      </c>
      <c r="W368" s="266"/>
      <c r="X368" s="266"/>
      <c r="Y368" s="266" t="str">
        <f t="shared" si="76"/>
        <v/>
      </c>
      <c r="Z368" s="266"/>
    </row>
    <row r="369" spans="1:26" ht="27" hidden="1" customHeight="1">
      <c r="A369" s="70" t="str">
        <f t="shared" si="72"/>
        <v/>
      </c>
      <c r="B369" s="70" t="str">
        <f t="shared" si="73"/>
        <v/>
      </c>
      <c r="C369" s="204" t="str" cm="1">
        <f t="array" ref="C369">IF(D369="","",
    IF(AND(ISNUMBER(D369), D369=INT(D369)),
        $V$6 &amp; " " &amp; (IFERROR(MAX($Y$12:$Y368), 0) + 1),
        IF(ISNUMBER(SEARCH(".", D369)), "", INDEX($C$12:$C369, MATCH(2, 1/($C$12:$C369 &lt;&gt; ""))))
    )
)</f>
        <v/>
      </c>
      <c r="D369" s="206"/>
      <c r="E369" s="206" t="str">
        <f>IF(AA369 = "", "",
    IF(ISNUMBER(SEARCH("Kiện", C369)),
       " GÓI " &amp; COUNTIF($C$13:C369, "*Kiện*") &amp; "/" &amp; COUNTIF($C$13:$C$1000, "*Kiện*") &amp; " " &amp; AA369,
       AA369)
)</f>
        <v/>
      </c>
      <c r="F369" s="206"/>
      <c r="G369" s="206"/>
      <c r="H369" s="206"/>
      <c r="I369" s="206"/>
      <c r="J369" s="206" t="str">
        <f t="shared" si="75"/>
        <v/>
      </c>
      <c r="K369" s="206" t="str">
        <f t="shared" si="77"/>
        <v/>
      </c>
      <c r="L369" s="206" t="str">
        <f t="shared" si="78"/>
        <v/>
      </c>
      <c r="M369" s="206" t="str">
        <f t="shared" si="79"/>
        <v/>
      </c>
      <c r="N369" s="206" t="str">
        <f t="shared" si="80"/>
        <v/>
      </c>
      <c r="O369" s="206" t="str">
        <f t="shared" si="81"/>
        <v/>
      </c>
      <c r="P369" s="84" t="str">
        <f t="shared" si="82"/>
        <v/>
      </c>
      <c r="Q369" s="205"/>
      <c r="R369" s="70" t="str">
        <f>IF(S369="IN",'BOM_Phan II'!$Y$3,"")</f>
        <v/>
      </c>
      <c r="S369" s="69" t="str">
        <f t="shared" si="74"/>
        <v/>
      </c>
      <c r="T369">
        <f t="shared" si="83"/>
        <v>3</v>
      </c>
      <c r="U369" t="str">
        <f t="shared" si="85"/>
        <v>KIỆN 14</v>
      </c>
      <c r="V369" t="str">
        <f t="shared" si="84"/>
        <v/>
      </c>
      <c r="W369" s="266"/>
      <c r="X369" s="266"/>
      <c r="Y369" s="266" t="str">
        <f t="shared" si="76"/>
        <v/>
      </c>
      <c r="Z369" s="266"/>
    </row>
    <row r="370" spans="1:26" ht="27" hidden="1" customHeight="1">
      <c r="A370" s="70" t="str">
        <f t="shared" si="72"/>
        <v/>
      </c>
      <c r="B370" s="70" t="str">
        <f t="shared" si="73"/>
        <v/>
      </c>
      <c r="C370" s="204" t="str" cm="1">
        <f t="array" ref="C370">IF(D370="","",
    IF(AND(ISNUMBER(D370), D370=INT(D370)),
        $V$6 &amp; " " &amp; (IFERROR(MAX($Y$12:$Y369), 0) + 1),
        IF(ISNUMBER(SEARCH(".", D370)), "", INDEX($C$12:$C370, MATCH(2, 1/($C$12:$C370 &lt;&gt; ""))))
    )
)</f>
        <v/>
      </c>
      <c r="D370" s="206"/>
      <c r="E370" s="206" t="str">
        <f>IF(AA370 = "", "",
    IF(ISNUMBER(SEARCH("Kiện", C370)),
       " GÓI " &amp; COUNTIF($C$13:C370, "*Kiện*") &amp; "/" &amp; COUNTIF($C$13:$C$1000, "*Kiện*") &amp; " " &amp; AA370,
       AA370)
)</f>
        <v/>
      </c>
      <c r="F370" s="206"/>
      <c r="G370" s="206"/>
      <c r="H370" s="206"/>
      <c r="I370" s="206"/>
      <c r="J370" s="206" t="str">
        <f t="shared" si="75"/>
        <v/>
      </c>
      <c r="K370" s="206" t="str">
        <f t="shared" si="77"/>
        <v/>
      </c>
      <c r="L370" s="206" t="str">
        <f t="shared" si="78"/>
        <v/>
      </c>
      <c r="M370" s="206" t="str">
        <f t="shared" si="79"/>
        <v/>
      </c>
      <c r="N370" s="206" t="str">
        <f t="shared" si="80"/>
        <v/>
      </c>
      <c r="O370" s="206" t="str">
        <f t="shared" si="81"/>
        <v/>
      </c>
      <c r="P370" s="84" t="str">
        <f t="shared" si="82"/>
        <v/>
      </c>
      <c r="Q370" s="205"/>
      <c r="R370" s="70" t="str">
        <f>IF(S370="IN",'BOM_Phan II'!$Y$3,"")</f>
        <v/>
      </c>
      <c r="S370" s="69" t="str">
        <f t="shared" si="74"/>
        <v/>
      </c>
      <c r="T370">
        <f t="shared" si="83"/>
        <v>3</v>
      </c>
      <c r="U370" t="str">
        <f t="shared" si="85"/>
        <v>KIỆN 14</v>
      </c>
      <c r="V370" t="str">
        <f t="shared" si="84"/>
        <v/>
      </c>
      <c r="W370" s="266"/>
      <c r="X370" s="266"/>
      <c r="Y370" s="266" t="str">
        <f t="shared" si="76"/>
        <v/>
      </c>
      <c r="Z370" s="266"/>
    </row>
    <row r="371" spans="1:26" ht="27" hidden="1" customHeight="1">
      <c r="A371" s="70" t="str">
        <f t="shared" si="72"/>
        <v/>
      </c>
      <c r="B371" s="70" t="str">
        <f t="shared" si="73"/>
        <v/>
      </c>
      <c r="C371" s="204" t="str" cm="1">
        <f t="array" ref="C371">IF(D371="","",
    IF(AND(ISNUMBER(D371), D371=INT(D371)),
        $V$6 &amp; " " &amp; (IFERROR(MAX($Y$12:$Y370), 0) + 1),
        IF(ISNUMBER(SEARCH(".", D371)), "", INDEX($C$12:$C371, MATCH(2, 1/($C$12:$C371 &lt;&gt; ""))))
    )
)</f>
        <v/>
      </c>
      <c r="D371" s="206"/>
      <c r="E371" s="206" t="str">
        <f>IF(AA371 = "", "",
    IF(ISNUMBER(SEARCH("Kiện", C371)),
       " GÓI " &amp; COUNTIF($C$13:C371, "*Kiện*") &amp; "/" &amp; COUNTIF($C$13:$C$1000, "*Kiện*") &amp; " " &amp; AA371,
       AA371)
)</f>
        <v/>
      </c>
      <c r="F371" s="206"/>
      <c r="G371" s="206"/>
      <c r="H371" s="206"/>
      <c r="I371" s="206"/>
      <c r="J371" s="206" t="str">
        <f t="shared" si="75"/>
        <v/>
      </c>
      <c r="K371" s="206" t="str">
        <f t="shared" si="77"/>
        <v/>
      </c>
      <c r="L371" s="206" t="str">
        <f t="shared" si="78"/>
        <v/>
      </c>
      <c r="M371" s="206" t="str">
        <f t="shared" si="79"/>
        <v/>
      </c>
      <c r="N371" s="206" t="str">
        <f t="shared" si="80"/>
        <v/>
      </c>
      <c r="O371" s="206" t="str">
        <f t="shared" si="81"/>
        <v/>
      </c>
      <c r="P371" s="84" t="str">
        <f t="shared" si="82"/>
        <v/>
      </c>
      <c r="Q371" s="205"/>
      <c r="R371" s="70" t="str">
        <f>IF(S371="IN",'BOM_Phan II'!$Y$3,"")</f>
        <v/>
      </c>
      <c r="S371" s="69" t="str">
        <f t="shared" si="74"/>
        <v/>
      </c>
      <c r="T371">
        <f t="shared" si="83"/>
        <v>3</v>
      </c>
      <c r="U371" t="str">
        <f t="shared" si="85"/>
        <v>KIỆN 14</v>
      </c>
      <c r="V371" t="str">
        <f t="shared" si="84"/>
        <v/>
      </c>
      <c r="W371" s="266"/>
      <c r="X371" s="266"/>
      <c r="Y371" s="266" t="str">
        <f t="shared" si="76"/>
        <v/>
      </c>
      <c r="Z371" s="266"/>
    </row>
    <row r="372" spans="1:26" ht="27" hidden="1" customHeight="1">
      <c r="A372" s="70" t="str">
        <f t="shared" si="72"/>
        <v/>
      </c>
      <c r="B372" s="70" t="str">
        <f t="shared" si="73"/>
        <v/>
      </c>
      <c r="C372" s="204" t="str" cm="1">
        <f t="array" ref="C372">IF(D372="","",
    IF(AND(ISNUMBER(D372), D372=INT(D372)),
        $V$6 &amp; " " &amp; (IFERROR(MAX($Y$12:$Y371), 0) + 1),
        IF(ISNUMBER(SEARCH(".", D372)), "", INDEX($C$12:$C372, MATCH(2, 1/($C$12:$C372 &lt;&gt; ""))))
    )
)</f>
        <v/>
      </c>
      <c r="D372" s="206"/>
      <c r="E372" s="206" t="str">
        <f>IF(AA372 = "", "",
    IF(ISNUMBER(SEARCH("Kiện", C372)),
       " GÓI " &amp; COUNTIF($C$13:C372, "*Kiện*") &amp; "/" &amp; COUNTIF($C$13:$C$1000, "*Kiện*") &amp; " " &amp; AA372,
       AA372)
)</f>
        <v/>
      </c>
      <c r="F372" s="206"/>
      <c r="G372" s="206"/>
      <c r="H372" s="206"/>
      <c r="I372" s="206"/>
      <c r="J372" s="206" t="str">
        <f t="shared" si="75"/>
        <v/>
      </c>
      <c r="K372" s="206" t="str">
        <f t="shared" si="77"/>
        <v/>
      </c>
      <c r="L372" s="206" t="str">
        <f t="shared" si="78"/>
        <v/>
      </c>
      <c r="M372" s="206" t="str">
        <f t="shared" si="79"/>
        <v/>
      </c>
      <c r="N372" s="206" t="str">
        <f t="shared" si="80"/>
        <v/>
      </c>
      <c r="O372" s="206" t="str">
        <f t="shared" si="81"/>
        <v/>
      </c>
      <c r="P372" s="84" t="str">
        <f t="shared" si="82"/>
        <v/>
      </c>
      <c r="Q372" s="205"/>
      <c r="R372" s="70" t="str">
        <f>IF(S372="IN",'BOM_Phan II'!$Y$3,"")</f>
        <v/>
      </c>
      <c r="S372" s="69" t="str">
        <f t="shared" si="74"/>
        <v/>
      </c>
      <c r="T372">
        <f t="shared" si="83"/>
        <v>3</v>
      </c>
      <c r="U372" t="str">
        <f t="shared" si="85"/>
        <v>KIỆN 14</v>
      </c>
      <c r="V372" t="str">
        <f t="shared" si="84"/>
        <v/>
      </c>
      <c r="W372" s="266"/>
      <c r="X372" s="266"/>
      <c r="Y372" s="266" t="str">
        <f t="shared" si="76"/>
        <v/>
      </c>
      <c r="Z372" s="266"/>
    </row>
    <row r="373" spans="1:26" ht="27" hidden="1" customHeight="1">
      <c r="A373" s="70" t="str">
        <f t="shared" si="72"/>
        <v/>
      </c>
      <c r="B373" s="70" t="str">
        <f t="shared" si="73"/>
        <v/>
      </c>
      <c r="C373" s="204" t="str" cm="1">
        <f t="array" ref="C373">IF(D373="","",
    IF(AND(ISNUMBER(D373), D373=INT(D373)),
        $V$6 &amp; " " &amp; (IFERROR(MAX($Y$12:$Y372), 0) + 1),
        IF(ISNUMBER(SEARCH(".", D373)), "", INDEX($C$12:$C373, MATCH(2, 1/($C$12:$C373 &lt;&gt; ""))))
    )
)</f>
        <v/>
      </c>
      <c r="D373" s="206"/>
      <c r="E373" s="206" t="str">
        <f>IF(AA373 = "", "",
    IF(ISNUMBER(SEARCH("Kiện", C373)),
       " GÓI " &amp; COUNTIF($C$13:C373, "*Kiện*") &amp; "/" &amp; COUNTIF($C$13:$C$1000, "*Kiện*") &amp; " " &amp; AA373,
       AA373)
)</f>
        <v/>
      </c>
      <c r="F373" s="206"/>
      <c r="G373" s="206"/>
      <c r="H373" s="206"/>
      <c r="I373" s="206"/>
      <c r="J373" s="206" t="str">
        <f t="shared" si="75"/>
        <v/>
      </c>
      <c r="K373" s="206" t="str">
        <f t="shared" si="77"/>
        <v/>
      </c>
      <c r="L373" s="206" t="str">
        <f t="shared" si="78"/>
        <v/>
      </c>
      <c r="M373" s="206" t="str">
        <f t="shared" si="79"/>
        <v/>
      </c>
      <c r="N373" s="206" t="str">
        <f t="shared" si="80"/>
        <v/>
      </c>
      <c r="O373" s="206" t="str">
        <f t="shared" si="81"/>
        <v/>
      </c>
      <c r="P373" s="84" t="str">
        <f t="shared" si="82"/>
        <v/>
      </c>
      <c r="Q373" s="205"/>
      <c r="R373" s="70" t="str">
        <f>IF(S373="IN",'BOM_Phan II'!$Y$3,"")</f>
        <v/>
      </c>
      <c r="S373" s="69" t="str">
        <f t="shared" si="74"/>
        <v/>
      </c>
      <c r="T373">
        <f t="shared" si="83"/>
        <v>3</v>
      </c>
      <c r="U373" t="str">
        <f t="shared" si="85"/>
        <v>KIỆN 14</v>
      </c>
      <c r="V373" t="str">
        <f t="shared" si="84"/>
        <v/>
      </c>
      <c r="W373" s="266"/>
      <c r="X373" s="266"/>
      <c r="Y373" s="266" t="str">
        <f t="shared" si="76"/>
        <v/>
      </c>
      <c r="Z373" s="266"/>
    </row>
    <row r="374" spans="1:26" ht="27" hidden="1" customHeight="1">
      <c r="A374" s="70" t="str">
        <f t="shared" si="72"/>
        <v/>
      </c>
      <c r="B374" s="70" t="str">
        <f t="shared" si="73"/>
        <v/>
      </c>
      <c r="C374" s="204" t="str" cm="1">
        <f t="array" ref="C374">IF(D374="","",
    IF(AND(ISNUMBER(D374), D374=INT(D374)),
        $V$6 &amp; " " &amp; (IFERROR(MAX($Y$12:$Y373), 0) + 1),
        IF(ISNUMBER(SEARCH(".", D374)), "", INDEX($C$12:$C374, MATCH(2, 1/($C$12:$C374 &lt;&gt; ""))))
    )
)</f>
        <v/>
      </c>
      <c r="D374" s="206"/>
      <c r="E374" s="206" t="str">
        <f>IF(AA374 = "", "",
    IF(ISNUMBER(SEARCH("Kiện", C374)),
       " GÓI " &amp; COUNTIF($C$13:C374, "*Kiện*") &amp; "/" &amp; COUNTIF($C$13:$C$1000, "*Kiện*") &amp; " " &amp; AA374,
       AA374)
)</f>
        <v/>
      </c>
      <c r="F374" s="206"/>
      <c r="G374" s="206"/>
      <c r="H374" s="206"/>
      <c r="I374" s="206"/>
      <c r="J374" s="206" t="str">
        <f t="shared" si="75"/>
        <v/>
      </c>
      <c r="K374" s="206" t="str">
        <f t="shared" si="77"/>
        <v/>
      </c>
      <c r="L374" s="206" t="str">
        <f t="shared" si="78"/>
        <v/>
      </c>
      <c r="M374" s="206" t="str">
        <f t="shared" si="79"/>
        <v/>
      </c>
      <c r="N374" s="206" t="str">
        <f t="shared" si="80"/>
        <v/>
      </c>
      <c r="O374" s="206" t="str">
        <f t="shared" si="81"/>
        <v/>
      </c>
      <c r="P374" s="84" t="str">
        <f t="shared" si="82"/>
        <v/>
      </c>
      <c r="Q374" s="205"/>
      <c r="R374" s="70" t="str">
        <f>IF(S374="IN",'BOM_Phan II'!$Y$3,"")</f>
        <v/>
      </c>
      <c r="S374" s="69" t="str">
        <f t="shared" si="74"/>
        <v/>
      </c>
      <c r="T374">
        <f t="shared" si="83"/>
        <v>3</v>
      </c>
      <c r="U374" t="str">
        <f t="shared" si="85"/>
        <v>KIỆN 14</v>
      </c>
      <c r="V374" t="str">
        <f t="shared" si="84"/>
        <v/>
      </c>
      <c r="W374" s="266"/>
      <c r="X374" s="266"/>
      <c r="Y374" s="266" t="str">
        <f t="shared" si="76"/>
        <v/>
      </c>
      <c r="Z374" s="266"/>
    </row>
    <row r="375" spans="1:26" ht="27" hidden="1" customHeight="1">
      <c r="A375" s="70" t="str">
        <f t="shared" si="72"/>
        <v/>
      </c>
      <c r="B375" s="70" t="str">
        <f t="shared" si="73"/>
        <v/>
      </c>
      <c r="C375" s="204" t="str" cm="1">
        <f t="array" ref="C375">IF(D375="","",
    IF(AND(ISNUMBER(D375), D375=INT(D375)),
        $V$6 &amp; " " &amp; (IFERROR(MAX($Y$12:$Y374), 0) + 1),
        IF(ISNUMBER(SEARCH(".", D375)), "", INDEX($C$12:$C375, MATCH(2, 1/($C$12:$C375 &lt;&gt; ""))))
    )
)</f>
        <v/>
      </c>
      <c r="D375" s="206"/>
      <c r="E375" s="206" t="str">
        <f>IF(AA375 = "", "",
    IF(ISNUMBER(SEARCH("Kiện", C375)),
       " GÓI " &amp; COUNTIF($C$13:C375, "*Kiện*") &amp; "/" &amp; COUNTIF($C$13:$C$1000, "*Kiện*") &amp; " " &amp; AA375,
       AA375)
)</f>
        <v/>
      </c>
      <c r="F375" s="206"/>
      <c r="G375" s="206"/>
      <c r="H375" s="206"/>
      <c r="I375" s="206"/>
      <c r="J375" s="206" t="str">
        <f t="shared" si="75"/>
        <v/>
      </c>
      <c r="K375" s="206" t="str">
        <f t="shared" si="77"/>
        <v/>
      </c>
      <c r="L375" s="206" t="str">
        <f t="shared" si="78"/>
        <v/>
      </c>
      <c r="M375" s="206" t="str">
        <f t="shared" si="79"/>
        <v/>
      </c>
      <c r="N375" s="206" t="str">
        <f t="shared" si="80"/>
        <v/>
      </c>
      <c r="O375" s="206" t="str">
        <f t="shared" si="81"/>
        <v/>
      </c>
      <c r="P375" s="84" t="str">
        <f t="shared" si="82"/>
        <v/>
      </c>
      <c r="Q375" s="205"/>
      <c r="R375" s="70" t="str">
        <f>IF(S375="IN",'BOM_Phan II'!$Y$3,"")</f>
        <v/>
      </c>
      <c r="S375" s="69" t="str">
        <f t="shared" si="74"/>
        <v/>
      </c>
      <c r="T375">
        <f t="shared" si="83"/>
        <v>3</v>
      </c>
      <c r="U375" t="str">
        <f t="shared" ref="U375:U405" si="86">IF(C375="",U374,C375)</f>
        <v>KIỆN 14</v>
      </c>
      <c r="V375" t="str">
        <f t="shared" si="84"/>
        <v/>
      </c>
      <c r="W375" s="266"/>
      <c r="X375" s="266"/>
      <c r="Y375" s="266" t="str">
        <f t="shared" si="76"/>
        <v/>
      </c>
      <c r="Z375" s="266"/>
    </row>
    <row r="376" spans="1:26" ht="27" hidden="1" customHeight="1">
      <c r="A376" s="70" t="str">
        <f t="shared" si="72"/>
        <v/>
      </c>
      <c r="B376" s="70" t="str">
        <f t="shared" si="73"/>
        <v/>
      </c>
      <c r="C376" s="204" t="str" cm="1">
        <f t="array" ref="C376">IF(D376="","",
    IF(AND(ISNUMBER(D376), D376=INT(D376)),
        $V$6 &amp; " " &amp; (IFERROR(MAX($Y$12:$Y375), 0) + 1),
        IF(ISNUMBER(SEARCH(".", D376)), "", INDEX($C$12:$C376, MATCH(2, 1/($C$12:$C376 &lt;&gt; ""))))
    )
)</f>
        <v/>
      </c>
      <c r="D376" s="206"/>
      <c r="E376" s="206" t="str">
        <f>IF(AA376 = "", "",
    IF(ISNUMBER(SEARCH("Kiện", C376)),
       " GÓI " &amp; COUNTIF($C$13:C376, "*Kiện*") &amp; "/" &amp; COUNTIF($C$13:$C$1000, "*Kiện*") &amp; " " &amp; AA376,
       AA376)
)</f>
        <v/>
      </c>
      <c r="F376" s="206"/>
      <c r="G376" s="206"/>
      <c r="H376" s="206"/>
      <c r="I376" s="206"/>
      <c r="J376" s="206" t="str">
        <f t="shared" si="75"/>
        <v/>
      </c>
      <c r="K376" s="206" t="str">
        <f t="shared" si="77"/>
        <v/>
      </c>
      <c r="L376" s="206" t="str">
        <f t="shared" si="78"/>
        <v/>
      </c>
      <c r="M376" s="206" t="str">
        <f t="shared" si="79"/>
        <v/>
      </c>
      <c r="N376" s="206" t="str">
        <f t="shared" si="80"/>
        <v/>
      </c>
      <c r="O376" s="206" t="str">
        <f t="shared" si="81"/>
        <v/>
      </c>
      <c r="P376" s="84" t="str">
        <f t="shared" si="82"/>
        <v/>
      </c>
      <c r="Q376" s="205"/>
      <c r="R376" s="70" t="str">
        <f>IF(S376="IN",'BOM_Phan II'!$Y$3,"")</f>
        <v/>
      </c>
      <c r="S376" s="69" t="str">
        <f t="shared" si="74"/>
        <v/>
      </c>
      <c r="T376">
        <f t="shared" si="83"/>
        <v>3</v>
      </c>
      <c r="U376" t="str">
        <f t="shared" si="86"/>
        <v>KIỆN 14</v>
      </c>
      <c r="V376" t="str">
        <f t="shared" si="84"/>
        <v/>
      </c>
      <c r="W376" s="266"/>
      <c r="X376" s="266"/>
      <c r="Y376" s="266" t="str">
        <f t="shared" si="76"/>
        <v/>
      </c>
      <c r="Z376" s="266"/>
    </row>
    <row r="377" spans="1:26" ht="27" hidden="1" customHeight="1">
      <c r="A377" s="70" t="str">
        <f t="shared" si="72"/>
        <v/>
      </c>
      <c r="B377" s="70" t="str">
        <f t="shared" si="73"/>
        <v/>
      </c>
      <c r="C377" s="204" t="str" cm="1">
        <f t="array" ref="C377">IF(D377="","",
    IF(AND(ISNUMBER(D377), D377=INT(D377)),
        $V$6 &amp; " " &amp; (IFERROR(MAX($Y$12:$Y376), 0) + 1),
        IF(ISNUMBER(SEARCH(".", D377)), "", INDEX($C$12:$C377, MATCH(2, 1/($C$12:$C377 &lt;&gt; ""))))
    )
)</f>
        <v/>
      </c>
      <c r="D377" s="206"/>
      <c r="E377" s="206" t="str">
        <f>IF(AA377 = "", "",
    IF(ISNUMBER(SEARCH("Kiện", C377)),
       " GÓI " &amp; COUNTIF($C$13:C377, "*Kiện*") &amp; "/" &amp; COUNTIF($C$13:$C$1000, "*Kiện*") &amp; " " &amp; AA377,
       AA377)
)</f>
        <v/>
      </c>
      <c r="F377" s="206"/>
      <c r="G377" s="206"/>
      <c r="H377" s="206"/>
      <c r="I377" s="206"/>
      <c r="J377" s="206" t="str">
        <f t="shared" si="75"/>
        <v/>
      </c>
      <c r="K377" s="206" t="str">
        <f t="shared" si="77"/>
        <v/>
      </c>
      <c r="L377" s="206" t="str">
        <f t="shared" si="78"/>
        <v/>
      </c>
      <c r="M377" s="206" t="str">
        <f t="shared" si="79"/>
        <v/>
      </c>
      <c r="N377" s="206" t="str">
        <f t="shared" si="80"/>
        <v/>
      </c>
      <c r="O377" s="206" t="str">
        <f t="shared" si="81"/>
        <v/>
      </c>
      <c r="P377" s="84" t="str">
        <f t="shared" si="82"/>
        <v/>
      </c>
      <c r="Q377" s="205"/>
      <c r="R377" s="70" t="str">
        <f>IF(S377="IN",'BOM_Phan II'!$Y$3,"")</f>
        <v/>
      </c>
      <c r="S377" s="69" t="str">
        <f t="shared" si="74"/>
        <v/>
      </c>
      <c r="T377">
        <f t="shared" si="83"/>
        <v>3</v>
      </c>
      <c r="U377" t="str">
        <f t="shared" si="86"/>
        <v>KIỆN 14</v>
      </c>
      <c r="V377" t="str">
        <f t="shared" si="84"/>
        <v/>
      </c>
      <c r="W377" s="266"/>
      <c r="X377" s="266"/>
      <c r="Y377" s="266" t="str">
        <f t="shared" si="76"/>
        <v/>
      </c>
      <c r="Z377" s="266"/>
    </row>
    <row r="378" spans="1:26" ht="27" hidden="1" customHeight="1">
      <c r="A378" s="70" t="str">
        <f t="shared" si="72"/>
        <v/>
      </c>
      <c r="B378" s="70" t="str">
        <f t="shared" si="73"/>
        <v/>
      </c>
      <c r="C378" s="204" t="str" cm="1">
        <f t="array" ref="C378">IF(D378="","",
    IF(AND(ISNUMBER(D378), D378=INT(D378)),
        $V$6 &amp; " " &amp; (IFERROR(MAX($Y$12:$Y377), 0) + 1),
        IF(ISNUMBER(SEARCH(".", D378)), "", INDEX($C$12:$C378, MATCH(2, 1/($C$12:$C378 &lt;&gt; ""))))
    )
)</f>
        <v/>
      </c>
      <c r="D378" s="206"/>
      <c r="E378" s="206" t="str">
        <f>IF(AA378 = "", "",
    IF(ISNUMBER(SEARCH("Kiện", C378)),
       " GÓI " &amp; COUNTIF($C$13:C378, "*Kiện*") &amp; "/" &amp; COUNTIF($C$13:$C$1000, "*Kiện*") &amp; " " &amp; AA378,
       AA378)
)</f>
        <v/>
      </c>
      <c r="F378" s="206"/>
      <c r="G378" s="206"/>
      <c r="H378" s="206"/>
      <c r="I378" s="206"/>
      <c r="J378" s="206" t="str">
        <f t="shared" si="75"/>
        <v/>
      </c>
      <c r="K378" s="206" t="str">
        <f t="shared" si="77"/>
        <v/>
      </c>
      <c r="L378" s="206" t="str">
        <f t="shared" si="78"/>
        <v/>
      </c>
      <c r="M378" s="206" t="str">
        <f t="shared" si="79"/>
        <v/>
      </c>
      <c r="N378" s="206" t="str">
        <f t="shared" si="80"/>
        <v/>
      </c>
      <c r="O378" s="206" t="str">
        <f t="shared" si="81"/>
        <v/>
      </c>
      <c r="P378" s="84" t="str">
        <f t="shared" si="82"/>
        <v/>
      </c>
      <c r="Q378" s="205"/>
      <c r="R378" s="70" t="str">
        <f>IF(S378="IN",'BOM_Phan II'!$Y$3,"")</f>
        <v/>
      </c>
      <c r="S378" s="69" t="str">
        <f t="shared" si="74"/>
        <v/>
      </c>
      <c r="T378">
        <f t="shared" si="83"/>
        <v>3</v>
      </c>
      <c r="U378" t="str">
        <f t="shared" si="86"/>
        <v>KIỆN 14</v>
      </c>
      <c r="V378" t="str">
        <f t="shared" si="84"/>
        <v/>
      </c>
      <c r="W378" s="266"/>
      <c r="X378" s="266"/>
      <c r="Y378" s="266" t="str">
        <f t="shared" si="76"/>
        <v/>
      </c>
      <c r="Z378" s="266"/>
    </row>
    <row r="379" spans="1:26" ht="27" hidden="1" customHeight="1">
      <c r="A379" s="70" t="str">
        <f t="shared" si="72"/>
        <v/>
      </c>
      <c r="B379" s="70" t="str">
        <f t="shared" si="73"/>
        <v/>
      </c>
      <c r="C379" s="204" t="str" cm="1">
        <f t="array" ref="C379">IF(D379="","",
    IF(AND(ISNUMBER(D379), D379=INT(D379)),
        $V$6 &amp; " " &amp; (IFERROR(MAX($Y$12:$Y378), 0) + 1),
        IF(ISNUMBER(SEARCH(".", D379)), "", INDEX($C$12:$C379, MATCH(2, 1/($C$12:$C379 &lt;&gt; ""))))
    )
)</f>
        <v/>
      </c>
      <c r="D379" s="206"/>
      <c r="E379" s="206" t="str">
        <f>IF(AA379 = "", "",
    IF(ISNUMBER(SEARCH("Kiện", C379)),
       " GÓI " &amp; COUNTIF($C$13:C379, "*Kiện*") &amp; "/" &amp; COUNTIF($C$13:$C$1000, "*Kiện*") &amp; " " &amp; AA379,
       AA379)
)</f>
        <v/>
      </c>
      <c r="F379" s="206"/>
      <c r="G379" s="206"/>
      <c r="H379" s="206"/>
      <c r="I379" s="206"/>
      <c r="J379" s="206" t="str">
        <f t="shared" si="75"/>
        <v/>
      </c>
      <c r="K379" s="206" t="str">
        <f t="shared" si="77"/>
        <v/>
      </c>
      <c r="L379" s="206" t="str">
        <f t="shared" si="78"/>
        <v/>
      </c>
      <c r="M379" s="206" t="str">
        <f t="shared" si="79"/>
        <v/>
      </c>
      <c r="N379" s="206" t="str">
        <f t="shared" si="80"/>
        <v/>
      </c>
      <c r="O379" s="206" t="str">
        <f t="shared" si="81"/>
        <v/>
      </c>
      <c r="P379" s="84" t="str">
        <f t="shared" si="82"/>
        <v/>
      </c>
      <c r="Q379" s="205"/>
      <c r="R379" s="70" t="str">
        <f>IF(S379="IN",'BOM_Phan II'!$Y$3,"")</f>
        <v/>
      </c>
      <c r="S379" s="69" t="str">
        <f t="shared" si="74"/>
        <v/>
      </c>
      <c r="T379">
        <f t="shared" si="83"/>
        <v>3</v>
      </c>
      <c r="U379" t="str">
        <f t="shared" si="86"/>
        <v>KIỆN 14</v>
      </c>
      <c r="V379" t="str">
        <f t="shared" si="84"/>
        <v/>
      </c>
      <c r="W379" s="266"/>
      <c r="X379" s="266"/>
      <c r="Y379" s="266" t="str">
        <f t="shared" si="76"/>
        <v/>
      </c>
      <c r="Z379" s="266"/>
    </row>
    <row r="380" spans="1:26" ht="27" hidden="1" customHeight="1">
      <c r="A380" s="70" t="str">
        <f t="shared" si="72"/>
        <v/>
      </c>
      <c r="B380" s="70" t="str">
        <f t="shared" si="73"/>
        <v/>
      </c>
      <c r="C380" s="204" t="str" cm="1">
        <f t="array" ref="C380">IF(D380="","",
    IF(AND(ISNUMBER(D380), D380=INT(D380)),
        $V$6 &amp; " " &amp; (IFERROR(MAX($Y$12:$Y379), 0) + 1),
        IF(ISNUMBER(SEARCH(".", D380)), "", INDEX($C$12:$C380, MATCH(2, 1/($C$12:$C380 &lt;&gt; ""))))
    )
)</f>
        <v/>
      </c>
      <c r="D380" s="206"/>
      <c r="E380" s="206" t="str">
        <f>IF(AA380 = "", "",
    IF(ISNUMBER(SEARCH("Kiện", C380)),
       " GÓI " &amp; COUNTIF($C$13:C380, "*Kiện*") &amp; "/" &amp; COUNTIF($C$13:$C$1000, "*Kiện*") &amp; " " &amp; AA380,
       AA380)
)</f>
        <v/>
      </c>
      <c r="F380" s="206"/>
      <c r="G380" s="206"/>
      <c r="H380" s="206"/>
      <c r="I380" s="206"/>
      <c r="J380" s="206" t="str">
        <f t="shared" si="75"/>
        <v/>
      </c>
      <c r="K380" s="206" t="str">
        <f t="shared" si="77"/>
        <v/>
      </c>
      <c r="L380" s="206" t="str">
        <f t="shared" si="78"/>
        <v/>
      </c>
      <c r="M380" s="206" t="str">
        <f t="shared" si="79"/>
        <v/>
      </c>
      <c r="N380" s="206" t="str">
        <f t="shared" si="80"/>
        <v/>
      </c>
      <c r="O380" s="206" t="str">
        <f t="shared" si="81"/>
        <v/>
      </c>
      <c r="P380" s="84" t="str">
        <f t="shared" si="82"/>
        <v/>
      </c>
      <c r="Q380" s="205"/>
      <c r="R380" s="70" t="str">
        <f>IF(S380="IN",'BOM_Phan II'!$Y$3,"")</f>
        <v/>
      </c>
      <c r="S380" s="69" t="str">
        <f t="shared" si="74"/>
        <v/>
      </c>
      <c r="T380">
        <f t="shared" si="83"/>
        <v>3</v>
      </c>
      <c r="U380" t="str">
        <f t="shared" si="86"/>
        <v>KIỆN 14</v>
      </c>
      <c r="V380" t="str">
        <f t="shared" si="84"/>
        <v/>
      </c>
      <c r="W380" s="266"/>
      <c r="X380" s="266"/>
      <c r="Y380" s="266" t="str">
        <f t="shared" si="76"/>
        <v/>
      </c>
      <c r="Z380" s="266"/>
    </row>
    <row r="381" spans="1:26" ht="27" hidden="1" customHeight="1">
      <c r="A381" s="70" t="str">
        <f t="shared" si="72"/>
        <v/>
      </c>
      <c r="B381" s="70" t="str">
        <f t="shared" si="73"/>
        <v/>
      </c>
      <c r="C381" s="204" t="str" cm="1">
        <f t="array" ref="C381">IF(D381="","",
    IF(AND(ISNUMBER(D381), D381=INT(D381)),
        $V$6 &amp; " " &amp; (IFERROR(MAX($Y$12:$Y380), 0) + 1),
        IF(ISNUMBER(SEARCH(".", D381)), "", INDEX($C$12:$C381, MATCH(2, 1/($C$12:$C381 &lt;&gt; ""))))
    )
)</f>
        <v/>
      </c>
      <c r="D381" s="206"/>
      <c r="E381" s="206" t="str">
        <f>IF(AA381 = "", "",
    IF(ISNUMBER(SEARCH("Kiện", C381)),
       " GÓI " &amp; COUNTIF($C$13:C381, "*Kiện*") &amp; "/" &amp; COUNTIF($C$13:$C$1000, "*Kiện*") &amp; " " &amp; AA381,
       AA381)
)</f>
        <v/>
      </c>
      <c r="F381" s="206"/>
      <c r="G381" s="206"/>
      <c r="H381" s="206"/>
      <c r="I381" s="206"/>
      <c r="J381" s="206" t="str">
        <f t="shared" si="75"/>
        <v/>
      </c>
      <c r="K381" s="206" t="str">
        <f t="shared" si="77"/>
        <v/>
      </c>
      <c r="L381" s="206" t="str">
        <f t="shared" si="78"/>
        <v/>
      </c>
      <c r="M381" s="206" t="str">
        <f t="shared" si="79"/>
        <v/>
      </c>
      <c r="N381" s="206" t="str">
        <f t="shared" si="80"/>
        <v/>
      </c>
      <c r="O381" s="206" t="str">
        <f t="shared" si="81"/>
        <v/>
      </c>
      <c r="P381" s="84" t="str">
        <f t="shared" si="82"/>
        <v/>
      </c>
      <c r="Q381" s="205"/>
      <c r="R381" s="70" t="str">
        <f>IF(S381="IN",'BOM_Phan II'!$Y$3,"")</f>
        <v/>
      </c>
      <c r="S381" s="69" t="str">
        <f t="shared" si="74"/>
        <v/>
      </c>
      <c r="T381">
        <f t="shared" si="83"/>
        <v>3</v>
      </c>
      <c r="U381" t="str">
        <f t="shared" si="86"/>
        <v>KIỆN 14</v>
      </c>
      <c r="V381" t="str">
        <f t="shared" si="84"/>
        <v/>
      </c>
      <c r="W381" s="266"/>
      <c r="X381" s="266"/>
      <c r="Y381" s="266" t="str">
        <f t="shared" si="76"/>
        <v/>
      </c>
      <c r="Z381" s="266"/>
    </row>
    <row r="382" spans="1:26" ht="27" hidden="1" customHeight="1">
      <c r="A382" s="70" t="str">
        <f t="shared" si="72"/>
        <v/>
      </c>
      <c r="B382" s="70" t="str">
        <f t="shared" si="73"/>
        <v/>
      </c>
      <c r="C382" s="204" t="str" cm="1">
        <f t="array" ref="C382">IF(D382="","",
    IF(AND(ISNUMBER(D382), D382=INT(D382)),
        $V$6 &amp; " " &amp; (IFERROR(MAX($Y$12:$Y381), 0) + 1),
        IF(ISNUMBER(SEARCH(".", D382)), "", INDEX($C$12:$C382, MATCH(2, 1/($C$12:$C382 &lt;&gt; ""))))
    )
)</f>
        <v/>
      </c>
      <c r="D382" s="206"/>
      <c r="E382" s="206" t="str">
        <f>IF(AA382 = "", "",
    IF(ISNUMBER(SEARCH("Kiện", C382)),
       " GÓI " &amp; COUNTIF($C$13:C382, "*Kiện*") &amp; "/" &amp; COUNTIF($C$13:$C$1000, "*Kiện*") &amp; " " &amp; AA382,
       AA382)
)</f>
        <v/>
      </c>
      <c r="F382" s="206"/>
      <c r="G382" s="206"/>
      <c r="H382" s="206"/>
      <c r="I382" s="206"/>
      <c r="J382" s="206" t="str">
        <f t="shared" si="75"/>
        <v/>
      </c>
      <c r="K382" s="206" t="str">
        <f t="shared" si="77"/>
        <v/>
      </c>
      <c r="L382" s="206" t="str">
        <f t="shared" si="78"/>
        <v/>
      </c>
      <c r="M382" s="206" t="str">
        <f t="shared" si="79"/>
        <v/>
      </c>
      <c r="N382" s="206" t="str">
        <f t="shared" si="80"/>
        <v/>
      </c>
      <c r="O382" s="206" t="str">
        <f t="shared" si="81"/>
        <v/>
      </c>
      <c r="P382" s="84" t="str">
        <f t="shared" si="82"/>
        <v/>
      </c>
      <c r="Q382" s="205"/>
      <c r="R382" s="70" t="str">
        <f>IF(S382="IN",'BOM_Phan II'!$Y$3,"")</f>
        <v/>
      </c>
      <c r="S382" s="69" t="str">
        <f t="shared" si="74"/>
        <v/>
      </c>
      <c r="T382">
        <f t="shared" si="83"/>
        <v>3</v>
      </c>
      <c r="U382" t="str">
        <f t="shared" si="86"/>
        <v>KIỆN 14</v>
      </c>
      <c r="V382" t="str">
        <f t="shared" si="84"/>
        <v/>
      </c>
      <c r="W382" s="266"/>
      <c r="X382" s="266"/>
      <c r="Y382" s="266" t="str">
        <f t="shared" si="76"/>
        <v/>
      </c>
      <c r="Z382" s="266"/>
    </row>
    <row r="383" spans="1:26" ht="27" hidden="1" customHeight="1">
      <c r="A383" s="70" t="str">
        <f t="shared" si="72"/>
        <v/>
      </c>
      <c r="B383" s="70" t="str">
        <f t="shared" si="73"/>
        <v/>
      </c>
      <c r="C383" s="204" t="str" cm="1">
        <f t="array" ref="C383">IF(D383="","",
    IF(AND(ISNUMBER(D383), D383=INT(D383)),
        $V$6 &amp; " " &amp; (IFERROR(MAX($Y$12:$Y382), 0) + 1),
        IF(ISNUMBER(SEARCH(".", D383)), "", INDEX($C$12:$C383, MATCH(2, 1/($C$12:$C383 &lt;&gt; ""))))
    )
)</f>
        <v/>
      </c>
      <c r="D383" s="206"/>
      <c r="E383" s="206" t="str">
        <f>IF(AA383 = "", "",
    IF(ISNUMBER(SEARCH("Kiện", C383)),
       " GÓI " &amp; COUNTIF($C$13:C383, "*Kiện*") &amp; "/" &amp; COUNTIF($C$13:$C$1000, "*Kiện*") &amp; " " &amp; AA383,
       AA383)
)</f>
        <v/>
      </c>
      <c r="F383" s="206"/>
      <c r="G383" s="206"/>
      <c r="H383" s="206"/>
      <c r="I383" s="206"/>
      <c r="J383" s="206" t="str">
        <f t="shared" si="75"/>
        <v/>
      </c>
      <c r="K383" s="206" t="str">
        <f t="shared" si="77"/>
        <v/>
      </c>
      <c r="L383" s="206" t="str">
        <f t="shared" si="78"/>
        <v/>
      </c>
      <c r="M383" s="206" t="str">
        <f t="shared" si="79"/>
        <v/>
      </c>
      <c r="N383" s="206" t="str">
        <f t="shared" si="80"/>
        <v/>
      </c>
      <c r="O383" s="206" t="str">
        <f t="shared" si="81"/>
        <v/>
      </c>
      <c r="P383" s="84" t="str">
        <f t="shared" si="82"/>
        <v/>
      </c>
      <c r="Q383" s="205"/>
      <c r="R383" s="70" t="str">
        <f>IF(S383="IN",'BOM_Phan II'!$Y$3,"")</f>
        <v/>
      </c>
      <c r="S383" s="69" t="str">
        <f t="shared" si="74"/>
        <v/>
      </c>
      <c r="T383">
        <f t="shared" si="83"/>
        <v>3</v>
      </c>
      <c r="U383" t="str">
        <f t="shared" si="86"/>
        <v>KIỆN 14</v>
      </c>
      <c r="V383" t="str">
        <f t="shared" si="84"/>
        <v/>
      </c>
      <c r="W383" s="266"/>
      <c r="X383" s="266"/>
      <c r="Y383" s="266" t="str">
        <f t="shared" si="76"/>
        <v/>
      </c>
      <c r="Z383" s="266"/>
    </row>
    <row r="384" spans="1:26" ht="27" hidden="1" customHeight="1">
      <c r="A384" s="70" t="str">
        <f t="shared" si="72"/>
        <v/>
      </c>
      <c r="B384" s="70" t="str">
        <f t="shared" si="73"/>
        <v/>
      </c>
      <c r="C384" s="204" t="str" cm="1">
        <f t="array" ref="C384">IF(D384="","",
    IF(AND(ISNUMBER(D384), D384=INT(D384)),
        $V$6 &amp; " " &amp; (IFERROR(MAX($Y$12:$Y383), 0) + 1),
        IF(ISNUMBER(SEARCH(".", D384)), "", INDEX($C$12:$C384, MATCH(2, 1/($C$12:$C384 &lt;&gt; ""))))
    )
)</f>
        <v/>
      </c>
      <c r="D384" s="206"/>
      <c r="E384" s="206" t="str">
        <f>IF(AA384 = "", "",
    IF(ISNUMBER(SEARCH("Kiện", C384)),
       " GÓI " &amp; COUNTIF($C$13:C384, "*Kiện*") &amp; "/" &amp; COUNTIF($C$13:$C$1000, "*Kiện*") &amp; " " &amp; AA384,
       AA384)
)</f>
        <v/>
      </c>
      <c r="F384" s="206"/>
      <c r="G384" s="206"/>
      <c r="H384" s="206"/>
      <c r="I384" s="206"/>
      <c r="J384" s="206" t="str">
        <f t="shared" si="75"/>
        <v/>
      </c>
      <c r="K384" s="206" t="str">
        <f t="shared" si="77"/>
        <v/>
      </c>
      <c r="L384" s="206" t="str">
        <f t="shared" si="78"/>
        <v/>
      </c>
      <c r="M384" s="206" t="str">
        <f t="shared" si="79"/>
        <v/>
      </c>
      <c r="N384" s="206" t="str">
        <f t="shared" si="80"/>
        <v/>
      </c>
      <c r="O384" s="206" t="str">
        <f t="shared" si="81"/>
        <v/>
      </c>
      <c r="P384" s="84" t="str">
        <f t="shared" si="82"/>
        <v/>
      </c>
      <c r="Q384" s="205"/>
      <c r="R384" s="70" t="str">
        <f>IF(S384="IN",'BOM_Phan II'!$Y$3,"")</f>
        <v/>
      </c>
      <c r="S384" s="69" t="str">
        <f t="shared" si="74"/>
        <v/>
      </c>
      <c r="T384">
        <f t="shared" si="83"/>
        <v>3</v>
      </c>
      <c r="U384" t="str">
        <f t="shared" si="86"/>
        <v>KIỆN 14</v>
      </c>
      <c r="V384" t="str">
        <f t="shared" si="84"/>
        <v/>
      </c>
      <c r="W384" s="266"/>
      <c r="X384" s="266"/>
      <c r="Y384" s="266" t="str">
        <f t="shared" si="76"/>
        <v/>
      </c>
      <c r="Z384" s="266"/>
    </row>
    <row r="385" spans="1:26" ht="27" hidden="1" customHeight="1">
      <c r="A385" s="70" t="str">
        <f t="shared" si="72"/>
        <v/>
      </c>
      <c r="B385" s="70" t="str">
        <f t="shared" si="73"/>
        <v/>
      </c>
      <c r="C385" s="204" t="str" cm="1">
        <f t="array" ref="C385">IF(D385="","",
    IF(AND(ISNUMBER(D385), D385=INT(D385)),
        $V$6 &amp; " " &amp; (IFERROR(MAX($Y$12:$Y384), 0) + 1),
        IF(ISNUMBER(SEARCH(".", D385)), "", INDEX($C$12:$C385, MATCH(2, 1/($C$12:$C385 &lt;&gt; ""))))
    )
)</f>
        <v/>
      </c>
      <c r="D385" s="206"/>
      <c r="E385" s="206" t="str">
        <f>IF(AA385 = "", "",
    IF(ISNUMBER(SEARCH("Kiện", C385)),
       " GÓI " &amp; COUNTIF($C$13:C385, "*Kiện*") &amp; "/" &amp; COUNTIF($C$13:$C$1000, "*Kiện*") &amp; " " &amp; AA385,
       AA385)
)</f>
        <v/>
      </c>
      <c r="F385" s="206"/>
      <c r="G385" s="206"/>
      <c r="H385" s="206"/>
      <c r="I385" s="206"/>
      <c r="J385" s="206" t="str">
        <f t="shared" si="75"/>
        <v/>
      </c>
      <c r="K385" s="206" t="str">
        <f t="shared" si="77"/>
        <v/>
      </c>
      <c r="L385" s="206" t="str">
        <f t="shared" si="78"/>
        <v/>
      </c>
      <c r="M385" s="206" t="str">
        <f t="shared" si="79"/>
        <v/>
      </c>
      <c r="N385" s="206" t="str">
        <f t="shared" si="80"/>
        <v/>
      </c>
      <c r="O385" s="206" t="str">
        <f t="shared" si="81"/>
        <v/>
      </c>
      <c r="P385" s="84" t="str">
        <f t="shared" si="82"/>
        <v/>
      </c>
      <c r="Q385" s="205"/>
      <c r="R385" s="70" t="str">
        <f>IF(S385="IN",'BOM_Phan II'!$Y$3,"")</f>
        <v/>
      </c>
      <c r="S385" s="69" t="str">
        <f t="shared" si="74"/>
        <v/>
      </c>
      <c r="T385">
        <f t="shared" si="83"/>
        <v>3</v>
      </c>
      <c r="U385" t="str">
        <f t="shared" si="86"/>
        <v>KIỆN 14</v>
      </c>
      <c r="V385" t="str">
        <f t="shared" si="84"/>
        <v/>
      </c>
      <c r="W385" s="266"/>
      <c r="X385" s="266"/>
      <c r="Y385" s="266" t="str">
        <f t="shared" si="76"/>
        <v/>
      </c>
      <c r="Z385" s="266"/>
    </row>
    <row r="386" spans="1:26" ht="27" hidden="1" customHeight="1">
      <c r="A386" s="70" t="str">
        <f t="shared" si="72"/>
        <v/>
      </c>
      <c r="B386" s="70" t="str">
        <f t="shared" si="73"/>
        <v/>
      </c>
      <c r="C386" s="204" t="str" cm="1">
        <f t="array" ref="C386">IF(D386="","",
    IF(AND(ISNUMBER(D386), D386=INT(D386)),
        $V$6 &amp; " " &amp; (IFERROR(MAX($Y$12:$Y385), 0) + 1),
        IF(ISNUMBER(SEARCH(".", D386)), "", INDEX($C$12:$C386, MATCH(2, 1/($C$12:$C386 &lt;&gt; ""))))
    )
)</f>
        <v/>
      </c>
      <c r="D386" s="206"/>
      <c r="E386" s="206" t="str">
        <f>IF(AA386 = "", "",
    IF(ISNUMBER(SEARCH("Kiện", C386)),
       " GÓI " &amp; COUNTIF($C$13:C386, "*Kiện*") &amp; "/" &amp; COUNTIF($C$13:$C$1000, "*Kiện*") &amp; " " &amp; AA386,
       AA386)
)</f>
        <v/>
      </c>
      <c r="F386" s="206"/>
      <c r="G386" s="206"/>
      <c r="H386" s="206"/>
      <c r="I386" s="206"/>
      <c r="J386" s="206" t="str">
        <f t="shared" si="75"/>
        <v/>
      </c>
      <c r="K386" s="206" t="str">
        <f t="shared" si="77"/>
        <v/>
      </c>
      <c r="L386" s="206" t="str">
        <f t="shared" si="78"/>
        <v/>
      </c>
      <c r="M386" s="206" t="str">
        <f t="shared" si="79"/>
        <v/>
      </c>
      <c r="N386" s="206" t="str">
        <f t="shared" si="80"/>
        <v/>
      </c>
      <c r="O386" s="206" t="str">
        <f t="shared" si="81"/>
        <v/>
      </c>
      <c r="P386" s="84" t="str">
        <f t="shared" si="82"/>
        <v/>
      </c>
      <c r="Q386" s="205"/>
      <c r="R386" s="70" t="str">
        <f>IF(S386="IN",'BOM_Phan II'!$Y$3,"")</f>
        <v/>
      </c>
      <c r="S386" s="69" t="str">
        <f t="shared" si="74"/>
        <v/>
      </c>
      <c r="T386">
        <f t="shared" si="83"/>
        <v>3</v>
      </c>
      <c r="U386" t="str">
        <f t="shared" si="86"/>
        <v>KIỆN 14</v>
      </c>
      <c r="V386" t="str">
        <f t="shared" si="84"/>
        <v/>
      </c>
      <c r="W386" s="266"/>
      <c r="X386" s="266"/>
      <c r="Y386" s="266" t="str">
        <f t="shared" si="76"/>
        <v/>
      </c>
      <c r="Z386" s="266"/>
    </row>
    <row r="387" spans="1:26" ht="27" hidden="1" customHeight="1">
      <c r="A387" s="70" t="str">
        <f t="shared" si="72"/>
        <v/>
      </c>
      <c r="B387" s="70" t="str">
        <f t="shared" si="73"/>
        <v/>
      </c>
      <c r="C387" s="204" t="str" cm="1">
        <f t="array" ref="C387">IF(D387="","",
    IF(AND(ISNUMBER(D387), D387=INT(D387)),
        $V$6 &amp; " " &amp; (IFERROR(MAX($Y$12:$Y386), 0) + 1),
        IF(ISNUMBER(SEARCH(".", D387)), "", INDEX($C$12:$C387, MATCH(2, 1/($C$12:$C387 &lt;&gt; ""))))
    )
)</f>
        <v/>
      </c>
      <c r="D387" s="206"/>
      <c r="E387" s="206" t="str">
        <f>IF(AA387 = "", "",
    IF(ISNUMBER(SEARCH("Kiện", C387)),
       " GÓI " &amp; COUNTIF($C$13:C387, "*Kiện*") &amp; "/" &amp; COUNTIF($C$13:$C$1000, "*Kiện*") &amp; " " &amp; AA387,
       AA387)
)</f>
        <v/>
      </c>
      <c r="F387" s="206"/>
      <c r="G387" s="206"/>
      <c r="H387" s="206"/>
      <c r="I387" s="206"/>
      <c r="J387" s="206" t="str">
        <f t="shared" si="75"/>
        <v/>
      </c>
      <c r="K387" s="206" t="str">
        <f t="shared" si="77"/>
        <v/>
      </c>
      <c r="L387" s="206" t="str">
        <f t="shared" si="78"/>
        <v/>
      </c>
      <c r="M387" s="206" t="str">
        <f t="shared" si="79"/>
        <v/>
      </c>
      <c r="N387" s="206" t="str">
        <f t="shared" si="80"/>
        <v/>
      </c>
      <c r="O387" s="206" t="str">
        <f t="shared" si="81"/>
        <v/>
      </c>
      <c r="P387" s="84" t="str">
        <f t="shared" si="82"/>
        <v/>
      </c>
      <c r="Q387" s="205"/>
      <c r="R387" s="70" t="str">
        <f>IF(S387="IN",'BOM_Phan II'!$Y$3,"")</f>
        <v/>
      </c>
      <c r="S387" s="69" t="str">
        <f t="shared" si="74"/>
        <v/>
      </c>
      <c r="T387">
        <f t="shared" si="83"/>
        <v>3</v>
      </c>
      <c r="U387" t="str">
        <f t="shared" si="86"/>
        <v>KIỆN 14</v>
      </c>
      <c r="V387" t="str">
        <f t="shared" si="84"/>
        <v/>
      </c>
      <c r="W387" s="266"/>
      <c r="X387" s="266"/>
      <c r="Y387" s="266" t="str">
        <f t="shared" si="76"/>
        <v/>
      </c>
      <c r="Z387" s="266"/>
    </row>
    <row r="388" spans="1:26" ht="27" hidden="1" customHeight="1">
      <c r="A388" s="70" t="str">
        <f t="shared" si="72"/>
        <v/>
      </c>
      <c r="B388" s="70" t="str">
        <f t="shared" si="73"/>
        <v/>
      </c>
      <c r="C388" s="204" t="str" cm="1">
        <f t="array" ref="C388">IF(D388="","",
    IF(AND(ISNUMBER(D388), D388=INT(D388)),
        $V$6 &amp; " " &amp; (IFERROR(MAX($Y$12:$Y387), 0) + 1),
        IF(ISNUMBER(SEARCH(".", D388)), "", INDEX($C$12:$C388, MATCH(2, 1/($C$12:$C388 &lt;&gt; ""))))
    )
)</f>
        <v/>
      </c>
      <c r="D388" s="206"/>
      <c r="E388" s="206" t="str">
        <f>IF(AA388 = "", "",
    IF(ISNUMBER(SEARCH("Kiện", C388)),
       " GÓI " &amp; COUNTIF($C$13:C388, "*Kiện*") &amp; "/" &amp; COUNTIF($C$13:$C$1000, "*Kiện*") &amp; " " &amp; AA388,
       AA388)
)</f>
        <v/>
      </c>
      <c r="F388" s="206"/>
      <c r="G388" s="206"/>
      <c r="H388" s="206"/>
      <c r="I388" s="206"/>
      <c r="J388" s="206" t="str">
        <f t="shared" si="75"/>
        <v/>
      </c>
      <c r="K388" s="206" t="str">
        <f t="shared" si="77"/>
        <v/>
      </c>
      <c r="L388" s="206" t="str">
        <f t="shared" si="78"/>
        <v/>
      </c>
      <c r="M388" s="206" t="str">
        <f t="shared" si="79"/>
        <v/>
      </c>
      <c r="N388" s="206" t="str">
        <f t="shared" si="80"/>
        <v/>
      </c>
      <c r="O388" s="206" t="str">
        <f t="shared" si="81"/>
        <v/>
      </c>
      <c r="P388" s="84" t="str">
        <f t="shared" si="82"/>
        <v/>
      </c>
      <c r="Q388" s="205"/>
      <c r="R388" s="70" t="str">
        <f>IF(S388="IN",'BOM_Phan II'!$Y$3,"")</f>
        <v/>
      </c>
      <c r="S388" s="69" t="str">
        <f t="shared" si="74"/>
        <v/>
      </c>
      <c r="T388">
        <f t="shared" si="83"/>
        <v>3</v>
      </c>
      <c r="U388" t="str">
        <f t="shared" si="86"/>
        <v>KIỆN 14</v>
      </c>
      <c r="V388" t="str">
        <f t="shared" si="84"/>
        <v/>
      </c>
      <c r="W388" s="266"/>
      <c r="X388" s="266"/>
      <c r="Y388" s="266" t="str">
        <f t="shared" si="76"/>
        <v/>
      </c>
      <c r="Z388" s="266"/>
    </row>
    <row r="389" spans="1:26" ht="27" hidden="1" customHeight="1">
      <c r="A389" s="70" t="str">
        <f t="shared" si="72"/>
        <v/>
      </c>
      <c r="B389" s="70" t="str">
        <f t="shared" si="73"/>
        <v/>
      </c>
      <c r="C389" s="204" t="str" cm="1">
        <f t="array" ref="C389">IF(D389="","",
    IF(AND(ISNUMBER(D389), D389=INT(D389)),
        $V$6 &amp; " " &amp; (IFERROR(MAX($Y$12:$Y388), 0) + 1),
        IF(ISNUMBER(SEARCH(".", D389)), "", INDEX($C$12:$C389, MATCH(2, 1/($C$12:$C389 &lt;&gt; ""))))
    )
)</f>
        <v/>
      </c>
      <c r="D389" s="206"/>
      <c r="E389" s="206" t="str">
        <f>IF(AA389 = "", "",
    IF(ISNUMBER(SEARCH("Kiện", C389)),
       " GÓI " &amp; COUNTIF($C$13:C389, "*Kiện*") &amp; "/" &amp; COUNTIF($C$13:$C$1000, "*Kiện*") &amp; " " &amp; AA389,
       AA389)
)</f>
        <v/>
      </c>
      <c r="F389" s="206"/>
      <c r="G389" s="206"/>
      <c r="H389" s="206"/>
      <c r="I389" s="206"/>
      <c r="J389" s="206" t="str">
        <f t="shared" si="75"/>
        <v/>
      </c>
      <c r="K389" s="206" t="str">
        <f t="shared" si="77"/>
        <v/>
      </c>
      <c r="L389" s="206" t="str">
        <f t="shared" si="78"/>
        <v/>
      </c>
      <c r="M389" s="206" t="str">
        <f t="shared" si="79"/>
        <v/>
      </c>
      <c r="N389" s="206" t="str">
        <f t="shared" si="80"/>
        <v/>
      </c>
      <c r="O389" s="206" t="str">
        <f t="shared" si="81"/>
        <v/>
      </c>
      <c r="P389" s="84" t="str">
        <f t="shared" si="82"/>
        <v/>
      </c>
      <c r="Q389" s="205"/>
      <c r="R389" s="70" t="str">
        <f>IF(S389="IN",'BOM_Phan II'!$Y$3,"")</f>
        <v/>
      </c>
      <c r="S389" s="69" t="str">
        <f t="shared" si="74"/>
        <v/>
      </c>
      <c r="T389">
        <f t="shared" si="83"/>
        <v>3</v>
      </c>
      <c r="U389" t="str">
        <f t="shared" si="86"/>
        <v>KIỆN 14</v>
      </c>
      <c r="V389" t="str">
        <f t="shared" si="84"/>
        <v/>
      </c>
      <c r="W389" s="266"/>
      <c r="X389" s="266"/>
      <c r="Y389" s="266" t="str">
        <f t="shared" si="76"/>
        <v/>
      </c>
      <c r="Z389" s="266"/>
    </row>
    <row r="390" spans="1:26" ht="27" hidden="1" customHeight="1">
      <c r="A390" s="70" t="str">
        <f t="shared" si="72"/>
        <v/>
      </c>
      <c r="B390" s="70" t="str">
        <f t="shared" si="73"/>
        <v/>
      </c>
      <c r="C390" s="204" t="str" cm="1">
        <f t="array" ref="C390">IF(D390="","",
    IF(AND(ISNUMBER(D390), D390=INT(D390)),
        $V$6 &amp; " " &amp; (IFERROR(MAX($Y$12:$Y389), 0) + 1),
        IF(ISNUMBER(SEARCH(".", D390)), "", INDEX($C$12:$C390, MATCH(2, 1/($C$12:$C390 &lt;&gt; ""))))
    )
)</f>
        <v/>
      </c>
      <c r="D390" s="206"/>
      <c r="E390" s="206" t="str">
        <f>IF(AA390 = "", "",
    IF(ISNUMBER(SEARCH("Kiện", C390)),
       " GÓI " &amp; COUNTIF($C$13:C390, "*Kiện*") &amp; "/" &amp; COUNTIF($C$13:$C$1000, "*Kiện*") &amp; " " &amp; AA390,
       AA390)
)</f>
        <v/>
      </c>
      <c r="F390" s="206"/>
      <c r="G390" s="206"/>
      <c r="H390" s="206"/>
      <c r="I390" s="206"/>
      <c r="J390" s="206" t="str">
        <f t="shared" si="75"/>
        <v/>
      </c>
      <c r="K390" s="206" t="str">
        <f t="shared" si="77"/>
        <v/>
      </c>
      <c r="L390" s="206" t="str">
        <f t="shared" si="78"/>
        <v/>
      </c>
      <c r="M390" s="206" t="str">
        <f t="shared" si="79"/>
        <v/>
      </c>
      <c r="N390" s="206" t="str">
        <f t="shared" si="80"/>
        <v/>
      </c>
      <c r="O390" s="206" t="str">
        <f t="shared" si="81"/>
        <v/>
      </c>
      <c r="P390" s="84" t="str">
        <f t="shared" si="82"/>
        <v/>
      </c>
      <c r="Q390" s="205"/>
      <c r="R390" s="70" t="str">
        <f>IF(S390="IN",'BOM_Phan II'!$Y$3,"")</f>
        <v/>
      </c>
      <c r="S390" s="69" t="str">
        <f t="shared" si="74"/>
        <v/>
      </c>
      <c r="T390">
        <f t="shared" si="83"/>
        <v>3</v>
      </c>
      <c r="U390" t="str">
        <f t="shared" si="86"/>
        <v>KIỆN 14</v>
      </c>
      <c r="V390" t="str">
        <f t="shared" si="84"/>
        <v/>
      </c>
      <c r="W390" s="266"/>
      <c r="X390" s="266"/>
      <c r="Y390" s="266" t="str">
        <f t="shared" si="76"/>
        <v/>
      </c>
      <c r="Z390" s="266"/>
    </row>
    <row r="391" spans="1:26" ht="27" hidden="1" customHeight="1">
      <c r="A391" s="70" t="str">
        <f t="shared" si="72"/>
        <v/>
      </c>
      <c r="B391" s="70" t="str">
        <f t="shared" si="73"/>
        <v/>
      </c>
      <c r="C391" s="204" t="str" cm="1">
        <f t="array" ref="C391">IF(D391="","",
    IF(AND(ISNUMBER(D391), D391=INT(D391)),
        $V$6 &amp; " " &amp; (IFERROR(MAX($Y$12:$Y390), 0) + 1),
        IF(ISNUMBER(SEARCH(".", D391)), "", INDEX($C$12:$C391, MATCH(2, 1/($C$12:$C391 &lt;&gt; ""))))
    )
)</f>
        <v/>
      </c>
      <c r="D391" s="206"/>
      <c r="E391" s="206" t="str">
        <f>IF(AA391 = "", "",
    IF(ISNUMBER(SEARCH("Kiện", C391)),
       " GÓI " &amp; COUNTIF($C$13:C391, "*Kiện*") &amp; "/" &amp; COUNTIF($C$13:$C$1000, "*Kiện*") &amp; " " &amp; AA391,
       AA391)
)</f>
        <v/>
      </c>
      <c r="F391" s="206"/>
      <c r="G391" s="206"/>
      <c r="H391" s="206"/>
      <c r="I391" s="206"/>
      <c r="J391" s="206" t="str">
        <f t="shared" si="75"/>
        <v/>
      </c>
      <c r="K391" s="206" t="str">
        <f t="shared" si="77"/>
        <v/>
      </c>
      <c r="L391" s="206" t="str">
        <f t="shared" si="78"/>
        <v/>
      </c>
      <c r="M391" s="206" t="str">
        <f t="shared" si="79"/>
        <v/>
      </c>
      <c r="N391" s="206" t="str">
        <f t="shared" si="80"/>
        <v/>
      </c>
      <c r="O391" s="206" t="str">
        <f t="shared" si="81"/>
        <v/>
      </c>
      <c r="P391" s="84" t="str">
        <f t="shared" si="82"/>
        <v/>
      </c>
      <c r="Q391" s="205"/>
      <c r="R391" s="70" t="str">
        <f>IF(S391="IN",'BOM_Phan II'!$Y$3,"")</f>
        <v/>
      </c>
      <c r="S391" s="69" t="str">
        <f t="shared" si="74"/>
        <v/>
      </c>
      <c r="T391">
        <f t="shared" si="83"/>
        <v>3</v>
      </c>
      <c r="U391" t="str">
        <f t="shared" si="86"/>
        <v>KIỆN 14</v>
      </c>
      <c r="V391" t="str">
        <f t="shared" si="84"/>
        <v/>
      </c>
      <c r="W391" s="266"/>
      <c r="X391" s="266"/>
      <c r="Y391" s="266" t="str">
        <f t="shared" si="76"/>
        <v/>
      </c>
      <c r="Z391" s="266"/>
    </row>
    <row r="392" spans="1:26" ht="27" hidden="1" customHeight="1">
      <c r="A392" s="70" t="str">
        <f t="shared" si="72"/>
        <v/>
      </c>
      <c r="B392" s="70" t="str">
        <f t="shared" si="73"/>
        <v/>
      </c>
      <c r="C392" s="204" t="str" cm="1">
        <f t="array" ref="C392">IF(D392="","",
    IF(AND(ISNUMBER(D392), D392=INT(D392)),
        $V$6 &amp; " " &amp; (IFERROR(MAX($Y$12:$Y391), 0) + 1),
        IF(ISNUMBER(SEARCH(".", D392)), "", INDEX($C$12:$C392, MATCH(2, 1/($C$12:$C392 &lt;&gt; ""))))
    )
)</f>
        <v/>
      </c>
      <c r="D392" s="206"/>
      <c r="E392" s="206" t="str">
        <f>IF(AA392 = "", "",
    IF(ISNUMBER(SEARCH("Kiện", C392)),
       " GÓI " &amp; COUNTIF($C$13:C392, "*Kiện*") &amp; "/" &amp; COUNTIF($C$13:$C$1000, "*Kiện*") &amp; " " &amp; AA392,
       AA392)
)</f>
        <v/>
      </c>
      <c r="F392" s="206"/>
      <c r="G392" s="206"/>
      <c r="H392" s="206"/>
      <c r="I392" s="206"/>
      <c r="J392" s="206" t="str">
        <f t="shared" si="75"/>
        <v/>
      </c>
      <c r="K392" s="206" t="str">
        <f t="shared" si="77"/>
        <v/>
      </c>
      <c r="L392" s="206" t="str">
        <f t="shared" si="78"/>
        <v/>
      </c>
      <c r="M392" s="206" t="str">
        <f t="shared" si="79"/>
        <v/>
      </c>
      <c r="N392" s="206" t="str">
        <f t="shared" si="80"/>
        <v/>
      </c>
      <c r="O392" s="206" t="str">
        <f t="shared" si="81"/>
        <v/>
      </c>
      <c r="P392" s="84" t="str">
        <f t="shared" si="82"/>
        <v/>
      </c>
      <c r="Q392" s="205"/>
      <c r="R392" s="70" t="str">
        <f>IF(S392="IN",'BOM_Phan II'!$Y$3,"")</f>
        <v/>
      </c>
      <c r="S392" s="69" t="str">
        <f t="shared" si="74"/>
        <v/>
      </c>
      <c r="T392">
        <f t="shared" si="83"/>
        <v>3</v>
      </c>
      <c r="U392" t="str">
        <f t="shared" si="86"/>
        <v>KIỆN 14</v>
      </c>
      <c r="V392" t="str">
        <f t="shared" si="84"/>
        <v/>
      </c>
      <c r="W392" s="266"/>
      <c r="X392" s="266"/>
      <c r="Y392" s="266" t="str">
        <f t="shared" si="76"/>
        <v/>
      </c>
      <c r="Z392" s="266"/>
    </row>
    <row r="393" spans="1:26" ht="27" hidden="1" customHeight="1">
      <c r="A393" s="70" t="str">
        <f t="shared" si="72"/>
        <v/>
      </c>
      <c r="B393" s="70" t="str">
        <f t="shared" si="73"/>
        <v/>
      </c>
      <c r="C393" s="204" t="str" cm="1">
        <f t="array" ref="C393">IF(D393="","",
    IF(AND(ISNUMBER(D393), D393=INT(D393)),
        $V$6 &amp; " " &amp; (IFERROR(MAX($Y$12:$Y392), 0) + 1),
        IF(ISNUMBER(SEARCH(".", D393)), "", INDEX($C$12:$C393, MATCH(2, 1/($C$12:$C393 &lt;&gt; ""))))
    )
)</f>
        <v/>
      </c>
      <c r="D393" s="206"/>
      <c r="E393" s="206" t="str">
        <f>IF(AA393 = "", "",
    IF(ISNUMBER(SEARCH("Kiện", C393)),
       " GÓI " &amp; COUNTIF($C$13:C393, "*Kiện*") &amp; "/" &amp; COUNTIF($C$13:$C$1000, "*Kiện*") &amp; " " &amp; AA393,
       AA393)
)</f>
        <v/>
      </c>
      <c r="F393" s="206"/>
      <c r="G393" s="206"/>
      <c r="H393" s="206"/>
      <c r="I393" s="206"/>
      <c r="J393" s="206" t="str">
        <f t="shared" si="75"/>
        <v/>
      </c>
      <c r="K393" s="206" t="str">
        <f t="shared" si="77"/>
        <v/>
      </c>
      <c r="L393" s="206" t="str">
        <f t="shared" si="78"/>
        <v/>
      </c>
      <c r="M393" s="206" t="str">
        <f t="shared" si="79"/>
        <v/>
      </c>
      <c r="N393" s="206" t="str">
        <f t="shared" si="80"/>
        <v/>
      </c>
      <c r="O393" s="206" t="str">
        <f t="shared" si="81"/>
        <v/>
      </c>
      <c r="P393" s="84" t="str">
        <f t="shared" si="82"/>
        <v/>
      </c>
      <c r="Q393" s="205"/>
      <c r="R393" s="70" t="str">
        <f>IF(S393="IN",'BOM_Phan II'!$Y$3,"")</f>
        <v/>
      </c>
      <c r="S393" s="69" t="str">
        <f t="shared" si="74"/>
        <v/>
      </c>
      <c r="T393">
        <f t="shared" si="83"/>
        <v>3</v>
      </c>
      <c r="U393" t="str">
        <f t="shared" si="86"/>
        <v>KIỆN 14</v>
      </c>
      <c r="V393" t="str">
        <f t="shared" si="84"/>
        <v/>
      </c>
      <c r="W393" s="266"/>
      <c r="X393" s="266"/>
      <c r="Y393" s="266" t="str">
        <f t="shared" si="76"/>
        <v/>
      </c>
      <c r="Z393" s="266"/>
    </row>
    <row r="394" spans="1:26" ht="27" hidden="1" customHeight="1">
      <c r="A394" s="70" t="str">
        <f t="shared" si="72"/>
        <v/>
      </c>
      <c r="B394" s="70" t="str">
        <f t="shared" si="73"/>
        <v/>
      </c>
      <c r="C394" s="204" t="str" cm="1">
        <f t="array" ref="C394">IF(D394="","",
    IF(AND(ISNUMBER(D394), D394=INT(D394)),
        $V$6 &amp; " " &amp; (IFERROR(MAX($Y$12:$Y393), 0) + 1),
        IF(ISNUMBER(SEARCH(".", D394)), "", INDEX($C$12:$C394, MATCH(2, 1/($C$12:$C394 &lt;&gt; ""))))
    )
)</f>
        <v/>
      </c>
      <c r="D394" s="206"/>
      <c r="E394" s="206" t="str">
        <f>IF(AA394 = "", "",
    IF(ISNUMBER(SEARCH("Kiện", C394)),
       " GÓI " &amp; COUNTIF($C$13:C394, "*Kiện*") &amp; "/" &amp; COUNTIF($C$13:$C$1000, "*Kiện*") &amp; " " &amp; AA394,
       AA394)
)</f>
        <v/>
      </c>
      <c r="F394" s="206"/>
      <c r="G394" s="206"/>
      <c r="H394" s="206"/>
      <c r="I394" s="206"/>
      <c r="J394" s="206" t="str">
        <f t="shared" si="75"/>
        <v/>
      </c>
      <c r="K394" s="206" t="str">
        <f t="shared" si="77"/>
        <v/>
      </c>
      <c r="L394" s="206" t="str">
        <f t="shared" si="78"/>
        <v/>
      </c>
      <c r="M394" s="206" t="str">
        <f t="shared" si="79"/>
        <v/>
      </c>
      <c r="N394" s="206" t="str">
        <f t="shared" si="80"/>
        <v/>
      </c>
      <c r="O394" s="206" t="str">
        <f t="shared" si="81"/>
        <v/>
      </c>
      <c r="P394" s="84" t="str">
        <f t="shared" si="82"/>
        <v/>
      </c>
      <c r="Q394" s="205"/>
      <c r="R394" s="70" t="str">
        <f>IF(S394="IN",'BOM_Phan II'!$Y$3,"")</f>
        <v/>
      </c>
      <c r="S394" s="69" t="str">
        <f t="shared" si="74"/>
        <v/>
      </c>
      <c r="T394">
        <f t="shared" si="83"/>
        <v>3</v>
      </c>
      <c r="U394" t="str">
        <f t="shared" si="86"/>
        <v>KIỆN 14</v>
      </c>
      <c r="V394" t="str">
        <f t="shared" si="84"/>
        <v/>
      </c>
      <c r="W394" s="266"/>
      <c r="X394" s="266"/>
      <c r="Y394" s="266" t="str">
        <f t="shared" si="76"/>
        <v/>
      </c>
      <c r="Z394" s="266"/>
    </row>
    <row r="395" spans="1:26" ht="27" hidden="1" customHeight="1">
      <c r="A395" s="70" t="str">
        <f t="shared" si="72"/>
        <v/>
      </c>
      <c r="B395" s="70" t="str">
        <f t="shared" si="73"/>
        <v/>
      </c>
      <c r="C395" s="204" t="str" cm="1">
        <f t="array" ref="C395">IF(D395="","",
    IF(AND(ISNUMBER(D395), D395=INT(D395)),
        $V$6 &amp; " " &amp; (IFERROR(MAX($Y$12:$Y394), 0) + 1),
        IF(ISNUMBER(SEARCH(".", D395)), "", INDEX($C$12:$C395, MATCH(2, 1/($C$12:$C395 &lt;&gt; ""))))
    )
)</f>
        <v/>
      </c>
      <c r="D395" s="206"/>
      <c r="E395" s="206" t="str">
        <f>IF(AA395 = "", "",
    IF(ISNUMBER(SEARCH("Kiện", C395)),
       " GÓI " &amp; COUNTIF($C$13:C395, "*Kiện*") &amp; "/" &amp; COUNTIF($C$13:$C$1000, "*Kiện*") &amp; " " &amp; AA395,
       AA395)
)</f>
        <v/>
      </c>
      <c r="F395" s="206"/>
      <c r="G395" s="206"/>
      <c r="H395" s="206"/>
      <c r="I395" s="206"/>
      <c r="J395" s="206" t="str">
        <f t="shared" si="75"/>
        <v/>
      </c>
      <c r="K395" s="206" t="str">
        <f t="shared" si="77"/>
        <v/>
      </c>
      <c r="L395" s="206" t="str">
        <f t="shared" si="78"/>
        <v/>
      </c>
      <c r="M395" s="206" t="str">
        <f t="shared" si="79"/>
        <v/>
      </c>
      <c r="N395" s="206" t="str">
        <f t="shared" si="80"/>
        <v/>
      </c>
      <c r="O395" s="206" t="str">
        <f t="shared" si="81"/>
        <v/>
      </c>
      <c r="P395" s="84" t="str">
        <f t="shared" si="82"/>
        <v/>
      </c>
      <c r="Q395" s="205"/>
      <c r="R395" s="70" t="str">
        <f>IF(S395="IN",'BOM_Phan II'!$Y$3,"")</f>
        <v/>
      </c>
      <c r="S395" s="69" t="str">
        <f t="shared" si="74"/>
        <v/>
      </c>
      <c r="T395">
        <f t="shared" si="83"/>
        <v>3</v>
      </c>
      <c r="U395" t="str">
        <f t="shared" si="86"/>
        <v>KIỆN 14</v>
      </c>
      <c r="V395" t="str">
        <f t="shared" si="84"/>
        <v/>
      </c>
      <c r="W395" s="266"/>
      <c r="X395" s="266"/>
      <c r="Y395" s="266" t="str">
        <f t="shared" si="76"/>
        <v/>
      </c>
      <c r="Z395" s="266"/>
    </row>
    <row r="396" spans="1:26" ht="27" hidden="1" customHeight="1">
      <c r="A396" s="70" t="str">
        <f t="shared" ref="A396:A459" si="87">IF(S396="IN",$E$6,"")</f>
        <v/>
      </c>
      <c r="B396" s="70" t="str">
        <f t="shared" ref="B396:B459" si="88">IF(S396="IN","Muc "&amp;$E$7,"")</f>
        <v/>
      </c>
      <c r="C396" s="204" t="str" cm="1">
        <f t="array" ref="C396">IF(D396="","",
    IF(AND(ISNUMBER(D396), D396=INT(D396)),
        $V$6 &amp; " " &amp; (IFERROR(MAX($Y$12:$Y395), 0) + 1),
        IF(ISNUMBER(SEARCH(".", D396)), "", INDEX($C$12:$C396, MATCH(2, 1/($C$12:$C396 &lt;&gt; ""))))
    )
)</f>
        <v/>
      </c>
      <c r="D396" s="206"/>
      <c r="E396" s="206" t="str">
        <f>IF(AA396 = "", "",
    IF(ISNUMBER(SEARCH("Kiện", C396)),
       " GÓI " &amp; COUNTIF($C$13:C396, "*Kiện*") &amp; "/" &amp; COUNTIF($C$13:$C$1000, "*Kiện*") &amp; " " &amp; AA396,
       AA396)
)</f>
        <v/>
      </c>
      <c r="F396" s="206"/>
      <c r="G396" s="206"/>
      <c r="H396" s="206"/>
      <c r="I396" s="206"/>
      <c r="J396" s="206" t="str">
        <f t="shared" si="75"/>
        <v/>
      </c>
      <c r="K396" s="206" t="str">
        <f t="shared" si="77"/>
        <v/>
      </c>
      <c r="L396" s="206" t="str">
        <f t="shared" si="78"/>
        <v/>
      </c>
      <c r="M396" s="206" t="str">
        <f t="shared" si="79"/>
        <v/>
      </c>
      <c r="N396" s="206" t="str">
        <f t="shared" si="80"/>
        <v/>
      </c>
      <c r="O396" s="206" t="str">
        <f t="shared" si="81"/>
        <v/>
      </c>
      <c r="P396" s="84" t="str">
        <f t="shared" si="82"/>
        <v/>
      </c>
      <c r="Q396" s="205"/>
      <c r="R396" s="70" t="str">
        <f>IF(S396="IN",'BOM_Phan II'!$Y$3,"")</f>
        <v/>
      </c>
      <c r="S396" s="69" t="str">
        <f t="shared" ref="S396:S459" si="89">IF(OR(E396&lt;&gt;"",D396&lt;&gt;""),"IN","")</f>
        <v/>
      </c>
      <c r="T396">
        <f t="shared" si="83"/>
        <v>3</v>
      </c>
      <c r="U396" t="str">
        <f t="shared" si="86"/>
        <v>KIỆN 14</v>
      </c>
      <c r="V396" t="str">
        <f t="shared" si="84"/>
        <v/>
      </c>
      <c r="W396" s="266"/>
      <c r="X396" s="266"/>
      <c r="Y396" s="266" t="str">
        <f t="shared" si="76"/>
        <v/>
      </c>
      <c r="Z396" s="266"/>
    </row>
    <row r="397" spans="1:26" ht="27" hidden="1" customHeight="1">
      <c r="A397" s="70" t="str">
        <f t="shared" si="87"/>
        <v/>
      </c>
      <c r="B397" s="70" t="str">
        <f t="shared" si="88"/>
        <v/>
      </c>
      <c r="C397" s="204" t="str" cm="1">
        <f t="array" ref="C397">IF(D397="","",
    IF(AND(ISNUMBER(D397), D397=INT(D397)),
        $V$6 &amp; " " &amp; (IFERROR(MAX($Y$12:$Y396), 0) + 1),
        IF(ISNUMBER(SEARCH(".", D397)), "", INDEX($C$12:$C397, MATCH(2, 1/($C$12:$C397 &lt;&gt; ""))))
    )
)</f>
        <v/>
      </c>
      <c r="D397" s="206"/>
      <c r="E397" s="206" t="str">
        <f>IF(AA397 = "", "",
    IF(ISNUMBER(SEARCH("Kiện", C397)),
       " GÓI " &amp; COUNTIF($C$13:C397, "*Kiện*") &amp; "/" &amp; COUNTIF($C$13:$C$1000, "*Kiện*") &amp; " " &amp; AA397,
       AA397)
)</f>
        <v/>
      </c>
      <c r="F397" s="206"/>
      <c r="G397" s="206"/>
      <c r="H397" s="206"/>
      <c r="I397" s="206"/>
      <c r="J397" s="206" t="str">
        <f t="shared" ref="J397:J460" si="90">IF(C397&lt;&gt;"",C397&amp;"_"&amp;$E$6,"")</f>
        <v/>
      </c>
      <c r="K397" s="206" t="str">
        <f t="shared" si="77"/>
        <v/>
      </c>
      <c r="L397" s="206" t="str">
        <f t="shared" si="78"/>
        <v/>
      </c>
      <c r="M397" s="206" t="str">
        <f t="shared" si="79"/>
        <v/>
      </c>
      <c r="N397" s="206" t="str">
        <f t="shared" si="80"/>
        <v/>
      </c>
      <c r="O397" s="206" t="str">
        <f t="shared" si="81"/>
        <v/>
      </c>
      <c r="P397" s="84" t="str">
        <f t="shared" si="82"/>
        <v/>
      </c>
      <c r="Q397" s="205"/>
      <c r="R397" s="70" t="str">
        <f>IF(S397="IN",'BOM_Phan II'!$Y$3,"")</f>
        <v/>
      </c>
      <c r="S397" s="69" t="str">
        <f t="shared" si="89"/>
        <v/>
      </c>
      <c r="T397">
        <f t="shared" si="83"/>
        <v>3</v>
      </c>
      <c r="U397" t="str">
        <f t="shared" si="86"/>
        <v>KIỆN 14</v>
      </c>
      <c r="V397" t="str">
        <f t="shared" si="84"/>
        <v/>
      </c>
      <c r="W397" s="266"/>
      <c r="X397" s="266"/>
      <c r="Y397" s="266" t="str">
        <f t="shared" ref="Y397:Y460" si="91">IFERROR(VALUE(RIGHT(C397,LEN(C397)-5)),"")</f>
        <v/>
      </c>
      <c r="Z397" s="266"/>
    </row>
    <row r="398" spans="1:26" ht="27" hidden="1" customHeight="1">
      <c r="A398" s="70" t="str">
        <f t="shared" si="87"/>
        <v/>
      </c>
      <c r="B398" s="70" t="str">
        <f t="shared" si="88"/>
        <v/>
      </c>
      <c r="C398" s="204" t="str" cm="1">
        <f t="array" ref="C398">IF(D398="","",
    IF(AND(ISNUMBER(D398), D398=INT(D398)),
        $V$6 &amp; " " &amp; (IFERROR(MAX($Y$12:$Y397), 0) + 1),
        IF(ISNUMBER(SEARCH(".", D398)), "", INDEX($C$12:$C398, MATCH(2, 1/($C$12:$C398 &lt;&gt; ""))))
    )
)</f>
        <v/>
      </c>
      <c r="D398" s="206"/>
      <c r="E398" s="206" t="str">
        <f>IF(AA398 = "", "",
    IF(ISNUMBER(SEARCH("Kiện", C398)),
       " GÓI " &amp; COUNTIF($C$13:C398, "*Kiện*") &amp; "/" &amp; COUNTIF($C$13:$C$1000, "*Kiện*") &amp; " " &amp; AA398,
       AA398)
)</f>
        <v/>
      </c>
      <c r="F398" s="206"/>
      <c r="G398" s="206"/>
      <c r="H398" s="206"/>
      <c r="I398" s="206"/>
      <c r="J398" s="206" t="str">
        <f t="shared" si="90"/>
        <v/>
      </c>
      <c r="K398" s="206" t="str">
        <f t="shared" ref="K398:K461" si="92">IFERROR(IF($C398&lt;&gt;"",IF($T$13=1,F398+20,IF($T$13=2,F398+20,IF($T$13=3,F398+50,IF($T$13=4,F398+40,IF($T$13=5,F398+50,IF($T$13=51,F398+50,IF($T$13=6,F398+50,IF($T$13=7,F398+50,"")))))))),""),"")</f>
        <v/>
      </c>
      <c r="L398" s="206" t="str">
        <f t="shared" ref="L398:L461" si="93">IFERROR(IF($C398&lt;&gt;"",IF($T$13=1,G398+20,IF($T$13=2,G398+20,IF($T$13=3,G398+50,IF($T$13=4,G398+40,IF($T$13=5,G398+50,IF($T$13=51,G398+50,IF($T$13=6,G398+50,IF($T$13=7,G398+50,"")))))))),""),"")</f>
        <v/>
      </c>
      <c r="M398" s="206" t="str">
        <f t="shared" ref="M398:M461" si="94">IFERROR(IF($C398&lt;&gt;"",IF($T$13=1,H398+20,IF($T$13=2,H398+20,IF($T$13=3,H398+70,IF($T$13=4,H398+40,IF($T$13=5,H398+50,IF($T$13=51,H398+150,IF($T$13=6,H398+50,IF($T$13=7,H398+50,"")))))))),""),"")</f>
        <v/>
      </c>
      <c r="N398" s="206" t="str">
        <f t="shared" ref="N398:N461" si="95">IF(C398&lt;&gt;"",I398,"")</f>
        <v/>
      </c>
      <c r="O398" s="206" t="str">
        <f t="shared" ref="O398:O461" si="96">IF(C398&lt;&gt;"",$O$13,"")</f>
        <v/>
      </c>
      <c r="P398" s="84" t="str">
        <f t="shared" ref="P398:P461" si="97">IFERROR(IF(C398&lt;&gt;"",SUMIFS($V$13:$V$969,$U$13:$U$969,C398)*$S$6,V398*$S$6),"")</f>
        <v/>
      </c>
      <c r="Q398" s="205"/>
      <c r="R398" s="70" t="str">
        <f>IF(S398="IN",'BOM_Phan II'!$Y$3,"")</f>
        <v/>
      </c>
      <c r="S398" s="69" t="str">
        <f t="shared" si="89"/>
        <v/>
      </c>
      <c r="T398">
        <f t="shared" ref="T398:T461" si="98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3</v>
      </c>
      <c r="U398" t="str">
        <f t="shared" si="86"/>
        <v>KIỆN 14</v>
      </c>
      <c r="V398" t="str">
        <f t="shared" ref="V398:V461" si="99">IFERROR(IF(AND(C398="", OR($W398="1", $W398="2")), IF(I398="", "", F398*G398*H398*I398/10^9), ""), "")</f>
        <v/>
      </c>
      <c r="W398" s="266"/>
      <c r="X398" s="266"/>
      <c r="Y398" s="266" t="str">
        <f t="shared" si="91"/>
        <v/>
      </c>
      <c r="Z398" s="266"/>
    </row>
    <row r="399" spans="1:26" ht="27" hidden="1" customHeight="1">
      <c r="A399" s="70" t="str">
        <f t="shared" si="87"/>
        <v/>
      </c>
      <c r="B399" s="70" t="str">
        <f t="shared" si="88"/>
        <v/>
      </c>
      <c r="C399" s="204" t="str" cm="1">
        <f t="array" ref="C399">IF(D399="","",
    IF(AND(ISNUMBER(D399), D399=INT(D399)),
        $V$6 &amp; " " &amp; (IFERROR(MAX($Y$12:$Y398), 0) + 1),
        IF(ISNUMBER(SEARCH(".", D399)), "", INDEX($C$12:$C399, MATCH(2, 1/($C$12:$C399 &lt;&gt; ""))))
    )
)</f>
        <v/>
      </c>
      <c r="D399" s="206"/>
      <c r="E399" s="206" t="str">
        <f>IF(AA399 = "", "",
    IF(ISNUMBER(SEARCH("Kiện", C399)),
       " GÓI " &amp; COUNTIF($C$13:C399, "*Kiện*") &amp; "/" &amp; COUNTIF($C$13:$C$1000, "*Kiện*") &amp; " " &amp; AA399,
       AA399)
)</f>
        <v/>
      </c>
      <c r="F399" s="206"/>
      <c r="G399" s="206"/>
      <c r="H399" s="206"/>
      <c r="I399" s="206"/>
      <c r="J399" s="206" t="str">
        <f t="shared" si="90"/>
        <v/>
      </c>
      <c r="K399" s="206" t="str">
        <f t="shared" si="92"/>
        <v/>
      </c>
      <c r="L399" s="206" t="str">
        <f t="shared" si="93"/>
        <v/>
      </c>
      <c r="M399" s="206" t="str">
        <f t="shared" si="94"/>
        <v/>
      </c>
      <c r="N399" s="206" t="str">
        <f t="shared" si="95"/>
        <v/>
      </c>
      <c r="O399" s="206" t="str">
        <f t="shared" si="96"/>
        <v/>
      </c>
      <c r="P399" s="84" t="str">
        <f t="shared" si="97"/>
        <v/>
      </c>
      <c r="Q399" s="205"/>
      <c r="R399" s="70" t="str">
        <f>IF(S399="IN",'BOM_Phan II'!$Y$3,"")</f>
        <v/>
      </c>
      <c r="S399" s="69" t="str">
        <f t="shared" si="89"/>
        <v/>
      </c>
      <c r="T399">
        <f t="shared" si="98"/>
        <v>3</v>
      </c>
      <c r="U399" t="str">
        <f t="shared" si="86"/>
        <v>KIỆN 14</v>
      </c>
      <c r="V399" t="str">
        <f t="shared" si="99"/>
        <v/>
      </c>
      <c r="W399" s="266"/>
      <c r="X399" s="266"/>
      <c r="Y399" s="266" t="str">
        <f t="shared" si="91"/>
        <v/>
      </c>
      <c r="Z399" s="266"/>
    </row>
    <row r="400" spans="1:26" ht="27" hidden="1" customHeight="1">
      <c r="A400" s="70" t="str">
        <f t="shared" si="87"/>
        <v/>
      </c>
      <c r="B400" s="70" t="str">
        <f t="shared" si="88"/>
        <v/>
      </c>
      <c r="C400" s="204" t="str" cm="1">
        <f t="array" ref="C400">IF(D400="","",
    IF(AND(ISNUMBER(D400), D400=INT(D400)),
        $V$6 &amp; " " &amp; (IFERROR(MAX($Y$12:$Y399), 0) + 1),
        IF(ISNUMBER(SEARCH(".", D400)), "", INDEX($C$12:$C400, MATCH(2, 1/($C$12:$C400 &lt;&gt; ""))))
    )
)</f>
        <v/>
      </c>
      <c r="D400" s="206"/>
      <c r="E400" s="206" t="str">
        <f>IF(AA400 = "", "",
    IF(ISNUMBER(SEARCH("Kiện", C400)),
       " GÓI " &amp; COUNTIF($C$13:C400, "*Kiện*") &amp; "/" &amp; COUNTIF($C$13:$C$1000, "*Kiện*") &amp; " " &amp; AA400,
       AA400)
)</f>
        <v/>
      </c>
      <c r="F400" s="206"/>
      <c r="G400" s="206"/>
      <c r="H400" s="206"/>
      <c r="I400" s="206"/>
      <c r="J400" s="206" t="str">
        <f t="shared" si="90"/>
        <v/>
      </c>
      <c r="K400" s="206" t="str">
        <f t="shared" si="92"/>
        <v/>
      </c>
      <c r="L400" s="206" t="str">
        <f t="shared" si="93"/>
        <v/>
      </c>
      <c r="M400" s="206" t="str">
        <f t="shared" si="94"/>
        <v/>
      </c>
      <c r="N400" s="206" t="str">
        <f t="shared" si="95"/>
        <v/>
      </c>
      <c r="O400" s="206" t="str">
        <f t="shared" si="96"/>
        <v/>
      </c>
      <c r="P400" s="84" t="str">
        <f t="shared" si="97"/>
        <v/>
      </c>
      <c r="Q400" s="205"/>
      <c r="R400" s="70" t="str">
        <f>IF(S400="IN",'BOM_Phan II'!$Y$3,"")</f>
        <v/>
      </c>
      <c r="S400" s="69" t="str">
        <f t="shared" si="89"/>
        <v/>
      </c>
      <c r="T400">
        <f t="shared" si="98"/>
        <v>3</v>
      </c>
      <c r="U400" t="str">
        <f t="shared" si="86"/>
        <v>KIỆN 14</v>
      </c>
      <c r="V400" t="str">
        <f t="shared" si="99"/>
        <v/>
      </c>
      <c r="W400" s="266"/>
      <c r="X400" s="266"/>
      <c r="Y400" s="266" t="str">
        <f t="shared" si="91"/>
        <v/>
      </c>
      <c r="Z400" s="266"/>
    </row>
    <row r="401" spans="1:26" ht="27" hidden="1" customHeight="1">
      <c r="A401" s="70" t="str">
        <f t="shared" si="87"/>
        <v/>
      </c>
      <c r="B401" s="70" t="str">
        <f t="shared" si="88"/>
        <v/>
      </c>
      <c r="C401" s="204" t="str" cm="1">
        <f t="array" ref="C401">IF(D401="","",
    IF(AND(ISNUMBER(D401), D401=INT(D401)),
        $V$6 &amp; " " &amp; (IFERROR(MAX($Y$12:$Y400), 0) + 1),
        IF(ISNUMBER(SEARCH(".", D401)), "", INDEX($C$12:$C401, MATCH(2, 1/($C$12:$C401 &lt;&gt; ""))))
    )
)</f>
        <v/>
      </c>
      <c r="D401" s="206"/>
      <c r="E401" s="206" t="str">
        <f>IF(AA401 = "", "",
    IF(ISNUMBER(SEARCH("Kiện", C401)),
       " GÓI " &amp; COUNTIF($C$13:C401, "*Kiện*") &amp; "/" &amp; COUNTIF($C$13:$C$1000, "*Kiện*") &amp; " " &amp; AA401,
       AA401)
)</f>
        <v/>
      </c>
      <c r="F401" s="206"/>
      <c r="G401" s="206"/>
      <c r="H401" s="206"/>
      <c r="I401" s="206"/>
      <c r="J401" s="206" t="str">
        <f t="shared" si="90"/>
        <v/>
      </c>
      <c r="K401" s="206" t="str">
        <f t="shared" si="92"/>
        <v/>
      </c>
      <c r="L401" s="206" t="str">
        <f t="shared" si="93"/>
        <v/>
      </c>
      <c r="M401" s="206" t="str">
        <f t="shared" si="94"/>
        <v/>
      </c>
      <c r="N401" s="206" t="str">
        <f t="shared" si="95"/>
        <v/>
      </c>
      <c r="O401" s="206" t="str">
        <f t="shared" si="96"/>
        <v/>
      </c>
      <c r="P401" s="84" t="str">
        <f t="shared" si="97"/>
        <v/>
      </c>
      <c r="Q401" s="205"/>
      <c r="R401" s="70" t="str">
        <f>IF(S401="IN",'BOM_Phan II'!$Y$3,"")</f>
        <v/>
      </c>
      <c r="S401" s="69" t="str">
        <f t="shared" si="89"/>
        <v/>
      </c>
      <c r="T401">
        <f t="shared" si="98"/>
        <v>3</v>
      </c>
      <c r="U401" t="str">
        <f t="shared" si="86"/>
        <v>KIỆN 14</v>
      </c>
      <c r="V401" t="str">
        <f t="shared" si="99"/>
        <v/>
      </c>
      <c r="W401" s="266"/>
      <c r="X401" s="266"/>
      <c r="Y401" s="266" t="str">
        <f t="shared" si="91"/>
        <v/>
      </c>
      <c r="Z401" s="266"/>
    </row>
    <row r="402" spans="1:26" ht="27" hidden="1" customHeight="1">
      <c r="A402" s="70" t="str">
        <f t="shared" si="87"/>
        <v/>
      </c>
      <c r="B402" s="70" t="str">
        <f t="shared" si="88"/>
        <v/>
      </c>
      <c r="C402" s="204" t="str" cm="1">
        <f t="array" ref="C402">IF(D402="","",
    IF(AND(ISNUMBER(D402), D402=INT(D402)),
        $V$6 &amp; " " &amp; (IFERROR(MAX($Y$12:$Y401), 0) + 1),
        IF(ISNUMBER(SEARCH(".", D402)), "", INDEX($C$12:$C402, MATCH(2, 1/($C$12:$C402 &lt;&gt; ""))))
    )
)</f>
        <v/>
      </c>
      <c r="D402" s="206"/>
      <c r="E402" s="206" t="str">
        <f>IF(AA402 = "", "",
    IF(ISNUMBER(SEARCH("Kiện", C402)),
       " GÓI " &amp; COUNTIF($C$13:C402, "*Kiện*") &amp; "/" &amp; COUNTIF($C$13:$C$1000, "*Kiện*") &amp; " " &amp; AA402,
       AA402)
)</f>
        <v/>
      </c>
      <c r="F402" s="206"/>
      <c r="G402" s="206"/>
      <c r="H402" s="206"/>
      <c r="I402" s="206"/>
      <c r="J402" s="206" t="str">
        <f t="shared" si="90"/>
        <v/>
      </c>
      <c r="K402" s="206" t="str">
        <f t="shared" si="92"/>
        <v/>
      </c>
      <c r="L402" s="206" t="str">
        <f t="shared" si="93"/>
        <v/>
      </c>
      <c r="M402" s="206" t="str">
        <f t="shared" si="94"/>
        <v/>
      </c>
      <c r="N402" s="206" t="str">
        <f t="shared" si="95"/>
        <v/>
      </c>
      <c r="O402" s="206" t="str">
        <f t="shared" si="96"/>
        <v/>
      </c>
      <c r="P402" s="84" t="str">
        <f t="shared" si="97"/>
        <v/>
      </c>
      <c r="Q402" s="205"/>
      <c r="R402" s="70" t="str">
        <f>IF(S402="IN",'BOM_Phan II'!$Y$3,"")</f>
        <v/>
      </c>
      <c r="S402" s="69" t="str">
        <f t="shared" si="89"/>
        <v/>
      </c>
      <c r="T402">
        <f t="shared" si="98"/>
        <v>3</v>
      </c>
      <c r="U402" t="str">
        <f t="shared" si="86"/>
        <v>KIỆN 14</v>
      </c>
      <c r="V402" t="str">
        <f t="shared" si="99"/>
        <v/>
      </c>
      <c r="W402" s="266"/>
      <c r="X402" s="266"/>
      <c r="Y402" s="266" t="str">
        <f t="shared" si="91"/>
        <v/>
      </c>
      <c r="Z402" s="266"/>
    </row>
    <row r="403" spans="1:26" ht="27" hidden="1" customHeight="1">
      <c r="A403" s="70" t="str">
        <f t="shared" si="87"/>
        <v/>
      </c>
      <c r="B403" s="70" t="str">
        <f t="shared" si="88"/>
        <v/>
      </c>
      <c r="C403" s="204" t="str" cm="1">
        <f t="array" ref="C403">IF(D403="","",
    IF(AND(ISNUMBER(D403), D403=INT(D403)),
        $V$6 &amp; " " &amp; (IFERROR(MAX($Y$12:$Y402), 0) + 1),
        IF(ISNUMBER(SEARCH(".", D403)), "", INDEX($C$12:$C403, MATCH(2, 1/($C$12:$C403 &lt;&gt; ""))))
    )
)</f>
        <v/>
      </c>
      <c r="D403" s="206"/>
      <c r="E403" s="206" t="str">
        <f>IF(AA403 = "", "",
    IF(ISNUMBER(SEARCH("Kiện", C403)),
       " GÓI " &amp; COUNTIF($C$13:C403, "*Kiện*") &amp; "/" &amp; COUNTIF($C$13:$C$1000, "*Kiện*") &amp; " " &amp; AA403,
       AA403)
)</f>
        <v/>
      </c>
      <c r="F403" s="206"/>
      <c r="G403" s="206"/>
      <c r="H403" s="206"/>
      <c r="I403" s="206"/>
      <c r="J403" s="206" t="str">
        <f t="shared" si="90"/>
        <v/>
      </c>
      <c r="K403" s="206" t="str">
        <f t="shared" si="92"/>
        <v/>
      </c>
      <c r="L403" s="206" t="str">
        <f t="shared" si="93"/>
        <v/>
      </c>
      <c r="M403" s="206" t="str">
        <f t="shared" si="94"/>
        <v/>
      </c>
      <c r="N403" s="206" t="str">
        <f t="shared" si="95"/>
        <v/>
      </c>
      <c r="O403" s="206" t="str">
        <f t="shared" si="96"/>
        <v/>
      </c>
      <c r="P403" s="84" t="str">
        <f t="shared" si="97"/>
        <v/>
      </c>
      <c r="Q403" s="205"/>
      <c r="R403" s="70" t="str">
        <f>IF(S403="IN",'BOM_Phan II'!$Y$3,"")</f>
        <v/>
      </c>
      <c r="S403" s="69" t="str">
        <f t="shared" si="89"/>
        <v/>
      </c>
      <c r="T403">
        <f t="shared" si="98"/>
        <v>3</v>
      </c>
      <c r="U403" t="str">
        <f t="shared" si="86"/>
        <v>KIỆN 14</v>
      </c>
      <c r="V403" t="str">
        <f t="shared" si="99"/>
        <v/>
      </c>
      <c r="W403" s="266"/>
      <c r="X403" s="266"/>
      <c r="Y403" s="266" t="str">
        <f t="shared" si="91"/>
        <v/>
      </c>
      <c r="Z403" s="266"/>
    </row>
    <row r="404" spans="1:26" ht="27" hidden="1" customHeight="1">
      <c r="A404" s="70" t="str">
        <f t="shared" si="87"/>
        <v/>
      </c>
      <c r="B404" s="70" t="str">
        <f t="shared" si="88"/>
        <v/>
      </c>
      <c r="C404" s="204" t="str" cm="1">
        <f t="array" ref="C404">IF(D404="","",
    IF(AND(ISNUMBER(D404), D404=INT(D404)),
        $V$6 &amp; " " &amp; (IFERROR(MAX($Y$12:$Y403), 0) + 1),
        IF(ISNUMBER(SEARCH(".", D404)), "", INDEX($C$12:$C404, MATCH(2, 1/($C$12:$C404 &lt;&gt; ""))))
    )
)</f>
        <v/>
      </c>
      <c r="D404" s="206"/>
      <c r="E404" s="206" t="str">
        <f>IF(AA404 = "", "",
    IF(ISNUMBER(SEARCH("Kiện", C404)),
       " GÓI " &amp; COUNTIF($C$13:C404, "*Kiện*") &amp; "/" &amp; COUNTIF($C$13:$C$1000, "*Kiện*") &amp; " " &amp; AA404,
       AA404)
)</f>
        <v/>
      </c>
      <c r="F404" s="206"/>
      <c r="G404" s="206"/>
      <c r="H404" s="206"/>
      <c r="I404" s="206"/>
      <c r="J404" s="206" t="str">
        <f t="shared" si="90"/>
        <v/>
      </c>
      <c r="K404" s="206" t="str">
        <f t="shared" si="92"/>
        <v/>
      </c>
      <c r="L404" s="206" t="str">
        <f t="shared" si="93"/>
        <v/>
      </c>
      <c r="M404" s="206" t="str">
        <f t="shared" si="94"/>
        <v/>
      </c>
      <c r="N404" s="206" t="str">
        <f t="shared" si="95"/>
        <v/>
      </c>
      <c r="O404" s="206" t="str">
        <f t="shared" si="96"/>
        <v/>
      </c>
      <c r="P404" s="84" t="str">
        <f t="shared" si="97"/>
        <v/>
      </c>
      <c r="Q404" s="205"/>
      <c r="R404" s="70" t="str">
        <f>IF(S404="IN",'BOM_Phan II'!$Y$3,"")</f>
        <v/>
      </c>
      <c r="S404" s="69" t="str">
        <f t="shared" si="89"/>
        <v/>
      </c>
      <c r="T404">
        <f t="shared" si="98"/>
        <v>3</v>
      </c>
      <c r="U404" t="str">
        <f t="shared" si="86"/>
        <v>KIỆN 14</v>
      </c>
      <c r="V404" t="str">
        <f t="shared" si="99"/>
        <v/>
      </c>
      <c r="W404" s="266"/>
      <c r="X404" s="266"/>
      <c r="Y404" s="266" t="str">
        <f t="shared" si="91"/>
        <v/>
      </c>
      <c r="Z404" s="266"/>
    </row>
    <row r="405" spans="1:26" ht="27" hidden="1" customHeight="1">
      <c r="A405" s="70" t="str">
        <f t="shared" si="87"/>
        <v/>
      </c>
      <c r="B405" s="70" t="str">
        <f t="shared" si="88"/>
        <v/>
      </c>
      <c r="C405" s="204" t="str" cm="1">
        <f t="array" ref="C405">IF(D405="","",
    IF(AND(ISNUMBER(D405), D405=INT(D405)),
        $V$6 &amp; " " &amp; (IFERROR(MAX($Y$12:$Y404), 0) + 1),
        IF(ISNUMBER(SEARCH(".", D405)), "", INDEX($C$12:$C405, MATCH(2, 1/($C$12:$C405 &lt;&gt; ""))))
    )
)</f>
        <v/>
      </c>
      <c r="D405" s="206"/>
      <c r="E405" s="206" t="str">
        <f>IF(AA405 = "", "",
    IF(ISNUMBER(SEARCH("Kiện", C405)),
       " GÓI " &amp; COUNTIF($C$13:C405, "*Kiện*") &amp; "/" &amp; COUNTIF($C$13:$C$1000, "*Kiện*") &amp; " " &amp; AA405,
       AA405)
)</f>
        <v/>
      </c>
      <c r="F405" s="206"/>
      <c r="G405" s="206"/>
      <c r="H405" s="206"/>
      <c r="I405" s="206"/>
      <c r="J405" s="206" t="str">
        <f t="shared" si="90"/>
        <v/>
      </c>
      <c r="K405" s="206" t="str">
        <f t="shared" si="92"/>
        <v/>
      </c>
      <c r="L405" s="206" t="str">
        <f t="shared" si="93"/>
        <v/>
      </c>
      <c r="M405" s="206" t="str">
        <f t="shared" si="94"/>
        <v/>
      </c>
      <c r="N405" s="206" t="str">
        <f t="shared" si="95"/>
        <v/>
      </c>
      <c r="O405" s="206" t="str">
        <f t="shared" si="96"/>
        <v/>
      </c>
      <c r="P405" s="84" t="str">
        <f t="shared" si="97"/>
        <v/>
      </c>
      <c r="Q405" s="205"/>
      <c r="R405" s="70" t="str">
        <f>IF(S405="IN",'BOM_Phan II'!$Y$3,"")</f>
        <v/>
      </c>
      <c r="S405" s="69" t="str">
        <f t="shared" si="89"/>
        <v/>
      </c>
      <c r="T405">
        <f t="shared" si="98"/>
        <v>3</v>
      </c>
      <c r="U405" t="str">
        <f t="shared" si="86"/>
        <v>KIỆN 14</v>
      </c>
      <c r="V405" t="str">
        <f t="shared" si="99"/>
        <v/>
      </c>
      <c r="W405" s="266"/>
      <c r="X405" s="266"/>
      <c r="Y405" s="266" t="str">
        <f t="shared" si="91"/>
        <v/>
      </c>
      <c r="Z405" s="266"/>
    </row>
    <row r="406" spans="1:26" ht="27" hidden="1" customHeight="1">
      <c r="A406" s="70" t="str">
        <f t="shared" si="87"/>
        <v/>
      </c>
      <c r="B406" s="70" t="str">
        <f t="shared" si="88"/>
        <v/>
      </c>
      <c r="C406" s="204" t="str" cm="1">
        <f t="array" ref="C406">IF(D406="","",
    IF(AND(ISNUMBER(D406), D406=INT(D406)),
        $V$6 &amp; " " &amp; (IFERROR(MAX($Y$12:$Y405), 0) + 1),
        IF(ISNUMBER(SEARCH(".", D406)), "", INDEX($C$12:$C406, MATCH(2, 1/($C$12:$C406 &lt;&gt; ""))))
    )
)</f>
        <v/>
      </c>
      <c r="D406" s="206"/>
      <c r="E406" s="206" t="str">
        <f>IF(AA406 = "", "",
    IF(ISNUMBER(SEARCH("Kiện", C406)),
       " GÓI " &amp; COUNTIF($C$13:C406, "*Kiện*") &amp; "/" &amp; COUNTIF($C$13:$C$1000, "*Kiện*") &amp; " " &amp; AA406,
       AA406)
)</f>
        <v/>
      </c>
      <c r="F406" s="206"/>
      <c r="G406" s="206"/>
      <c r="H406" s="206"/>
      <c r="I406" s="206"/>
      <c r="J406" s="206" t="str">
        <f t="shared" si="90"/>
        <v/>
      </c>
      <c r="K406" s="206" t="str">
        <f t="shared" si="92"/>
        <v/>
      </c>
      <c r="L406" s="206" t="str">
        <f t="shared" si="93"/>
        <v/>
      </c>
      <c r="M406" s="206" t="str">
        <f t="shared" si="94"/>
        <v/>
      </c>
      <c r="N406" s="206" t="str">
        <f t="shared" si="95"/>
        <v/>
      </c>
      <c r="O406" s="206" t="str">
        <f t="shared" si="96"/>
        <v/>
      </c>
      <c r="P406" s="84" t="str">
        <f t="shared" si="97"/>
        <v/>
      </c>
      <c r="Q406" s="205"/>
      <c r="R406" s="70" t="str">
        <f>IF(S406="IN",'BOM_Phan II'!$Y$3,"")</f>
        <v/>
      </c>
      <c r="S406" s="69" t="str">
        <f t="shared" si="89"/>
        <v/>
      </c>
      <c r="T406">
        <f t="shared" si="98"/>
        <v>3</v>
      </c>
      <c r="U406" t="str">
        <f>IF(C406="",U355,C406)</f>
        <v>KIỆN 14</v>
      </c>
      <c r="V406" t="str">
        <f t="shared" si="99"/>
        <v/>
      </c>
      <c r="W406" s="266"/>
      <c r="X406" s="266"/>
      <c r="Y406" s="266" t="str">
        <f t="shared" si="91"/>
        <v/>
      </c>
      <c r="Z406" s="266"/>
    </row>
    <row r="407" spans="1:26" ht="27" hidden="1" customHeight="1">
      <c r="A407" s="70" t="str">
        <f t="shared" si="87"/>
        <v/>
      </c>
      <c r="B407" s="70" t="str">
        <f t="shared" si="88"/>
        <v/>
      </c>
      <c r="C407" s="204" t="str" cm="1">
        <f t="array" ref="C407">IF(D407="","",
    IF(AND(ISNUMBER(D407), D407=INT(D407)),
        $V$6 &amp; " " &amp; (IFERROR(MAX($Y$12:$Y406), 0) + 1),
        IF(ISNUMBER(SEARCH(".", D407)), "", INDEX($C$12:$C407, MATCH(2, 1/($C$12:$C407 &lt;&gt; ""))))
    )
)</f>
        <v/>
      </c>
      <c r="D407" s="206"/>
      <c r="E407" s="206" t="str">
        <f>IF(AA407 = "", "",
    IF(ISNUMBER(SEARCH("Kiện", C407)),
       " GÓI " &amp; COUNTIF($C$13:C407, "*Kiện*") &amp; "/" &amp; COUNTIF($C$13:$C$1000, "*Kiện*") &amp; " " &amp; AA407,
       AA407)
)</f>
        <v/>
      </c>
      <c r="F407" s="206"/>
      <c r="G407" s="206"/>
      <c r="H407" s="206"/>
      <c r="I407" s="206"/>
      <c r="J407" s="206" t="str">
        <f t="shared" si="90"/>
        <v/>
      </c>
      <c r="K407" s="206" t="str">
        <f t="shared" si="92"/>
        <v/>
      </c>
      <c r="L407" s="206" t="str">
        <f t="shared" si="93"/>
        <v/>
      </c>
      <c r="M407" s="206" t="str">
        <f t="shared" si="94"/>
        <v/>
      </c>
      <c r="N407" s="206" t="str">
        <f t="shared" si="95"/>
        <v/>
      </c>
      <c r="O407" s="206" t="str">
        <f t="shared" si="96"/>
        <v/>
      </c>
      <c r="P407" s="84" t="str">
        <f t="shared" si="97"/>
        <v/>
      </c>
      <c r="Q407" s="205"/>
      <c r="R407" s="70" t="str">
        <f>IF(S407="IN",'BOM_Phan II'!$Y$3,"")</f>
        <v/>
      </c>
      <c r="S407" s="69" t="str">
        <f t="shared" si="89"/>
        <v/>
      </c>
      <c r="T407">
        <f t="shared" si="98"/>
        <v>3</v>
      </c>
      <c r="U407" t="str">
        <f t="shared" ref="U407:U424" si="100">IF(C407="",U406,C407)</f>
        <v>KIỆN 14</v>
      </c>
      <c r="V407" t="str">
        <f t="shared" si="99"/>
        <v/>
      </c>
      <c r="W407" s="266"/>
      <c r="X407" s="266"/>
      <c r="Y407" s="266" t="str">
        <f t="shared" si="91"/>
        <v/>
      </c>
      <c r="Z407" s="266"/>
    </row>
    <row r="408" spans="1:26" ht="27" hidden="1" customHeight="1">
      <c r="A408" s="70" t="str">
        <f t="shared" si="87"/>
        <v/>
      </c>
      <c r="B408" s="70" t="str">
        <f t="shared" si="88"/>
        <v/>
      </c>
      <c r="C408" s="204" t="str" cm="1">
        <f t="array" ref="C408">IF(D408="","",
    IF(AND(ISNUMBER(D408), D408=INT(D408)),
        $V$6 &amp; " " &amp; (IFERROR(MAX($Y$12:$Y407), 0) + 1),
        IF(ISNUMBER(SEARCH(".", D408)), "", INDEX($C$12:$C408, MATCH(2, 1/($C$12:$C408 &lt;&gt; ""))))
    )
)</f>
        <v/>
      </c>
      <c r="D408" s="206"/>
      <c r="E408" s="206" t="str">
        <f>IF(AA408 = "", "",
    IF(ISNUMBER(SEARCH("Kiện", C408)),
       " GÓI " &amp; COUNTIF($C$13:C408, "*Kiện*") &amp; "/" &amp; COUNTIF($C$13:$C$1000, "*Kiện*") &amp; " " &amp; AA408,
       AA408)
)</f>
        <v/>
      </c>
      <c r="F408" s="206"/>
      <c r="G408" s="206"/>
      <c r="H408" s="206"/>
      <c r="I408" s="206"/>
      <c r="J408" s="206" t="str">
        <f t="shared" si="90"/>
        <v/>
      </c>
      <c r="K408" s="206" t="str">
        <f t="shared" si="92"/>
        <v/>
      </c>
      <c r="L408" s="206" t="str">
        <f t="shared" si="93"/>
        <v/>
      </c>
      <c r="M408" s="206" t="str">
        <f t="shared" si="94"/>
        <v/>
      </c>
      <c r="N408" s="206" t="str">
        <f t="shared" si="95"/>
        <v/>
      </c>
      <c r="O408" s="206" t="str">
        <f t="shared" si="96"/>
        <v/>
      </c>
      <c r="P408" s="84" t="str">
        <f t="shared" si="97"/>
        <v/>
      </c>
      <c r="Q408" s="205"/>
      <c r="R408" s="70" t="str">
        <f>IF(S408="IN",'BOM_Phan II'!$Y$3,"")</f>
        <v/>
      </c>
      <c r="S408" s="69" t="str">
        <f t="shared" si="89"/>
        <v/>
      </c>
      <c r="T408">
        <f t="shared" si="98"/>
        <v>3</v>
      </c>
      <c r="U408" t="str">
        <f t="shared" si="100"/>
        <v>KIỆN 14</v>
      </c>
      <c r="V408" t="str">
        <f t="shared" si="99"/>
        <v/>
      </c>
      <c r="W408" s="266"/>
      <c r="X408" s="266"/>
      <c r="Y408" s="266" t="str">
        <f t="shared" si="91"/>
        <v/>
      </c>
      <c r="Z408" s="266"/>
    </row>
    <row r="409" spans="1:26" ht="27" hidden="1" customHeight="1">
      <c r="A409" s="70" t="str">
        <f t="shared" si="87"/>
        <v/>
      </c>
      <c r="B409" s="70" t="str">
        <f t="shared" si="88"/>
        <v/>
      </c>
      <c r="C409" s="204" t="str" cm="1">
        <f t="array" ref="C409">IF(D409="","",
    IF(AND(ISNUMBER(D409), D409=INT(D409)),
        $V$6 &amp; " " &amp; (IFERROR(MAX($Y$12:$Y408), 0) + 1),
        IF(ISNUMBER(SEARCH(".", D409)), "", INDEX($C$12:$C409, MATCH(2, 1/($C$12:$C409 &lt;&gt; ""))))
    )
)</f>
        <v/>
      </c>
      <c r="D409" s="206"/>
      <c r="E409" s="206" t="str">
        <f>IF(AA409 = "", "",
    IF(ISNUMBER(SEARCH("Kiện", C409)),
       " GÓI " &amp; COUNTIF($C$13:C409, "*Kiện*") &amp; "/" &amp; COUNTIF($C$13:$C$1000, "*Kiện*") &amp; " " &amp; AA409,
       AA409)
)</f>
        <v/>
      </c>
      <c r="F409" s="206"/>
      <c r="G409" s="206"/>
      <c r="H409" s="206"/>
      <c r="I409" s="206"/>
      <c r="J409" s="206" t="str">
        <f t="shared" si="90"/>
        <v/>
      </c>
      <c r="K409" s="206" t="str">
        <f t="shared" si="92"/>
        <v/>
      </c>
      <c r="L409" s="206" t="str">
        <f t="shared" si="93"/>
        <v/>
      </c>
      <c r="M409" s="206" t="str">
        <f t="shared" si="94"/>
        <v/>
      </c>
      <c r="N409" s="206" t="str">
        <f t="shared" si="95"/>
        <v/>
      </c>
      <c r="O409" s="206" t="str">
        <f t="shared" si="96"/>
        <v/>
      </c>
      <c r="P409" s="84" t="str">
        <f t="shared" si="97"/>
        <v/>
      </c>
      <c r="Q409" s="205"/>
      <c r="R409" s="70" t="str">
        <f>IF(S409="IN",'BOM_Phan II'!$Y$3,"")</f>
        <v/>
      </c>
      <c r="S409" s="69" t="str">
        <f t="shared" si="89"/>
        <v/>
      </c>
      <c r="T409">
        <f t="shared" si="98"/>
        <v>3</v>
      </c>
      <c r="U409" t="str">
        <f t="shared" si="100"/>
        <v>KIỆN 14</v>
      </c>
      <c r="V409" t="str">
        <f t="shared" si="99"/>
        <v/>
      </c>
      <c r="W409" s="266"/>
      <c r="X409" s="266"/>
      <c r="Y409" s="266" t="str">
        <f t="shared" si="91"/>
        <v/>
      </c>
      <c r="Z409" s="266"/>
    </row>
    <row r="410" spans="1:26" ht="27" hidden="1" customHeight="1">
      <c r="A410" s="70" t="str">
        <f t="shared" si="87"/>
        <v/>
      </c>
      <c r="B410" s="70" t="str">
        <f t="shared" si="88"/>
        <v/>
      </c>
      <c r="C410" s="204" t="str" cm="1">
        <f t="array" ref="C410">IF(D410="","",
    IF(AND(ISNUMBER(D410), D410=INT(D410)),
        $V$6 &amp; " " &amp; (IFERROR(MAX($Y$12:$Y409), 0) + 1),
        IF(ISNUMBER(SEARCH(".", D410)), "", INDEX($C$12:$C410, MATCH(2, 1/($C$12:$C410 &lt;&gt; ""))))
    )
)</f>
        <v/>
      </c>
      <c r="D410" s="206"/>
      <c r="E410" s="206" t="str">
        <f>IF(AA410 = "", "",
    IF(ISNUMBER(SEARCH("Kiện", C410)),
       " GÓI " &amp; COUNTIF($C$13:C410, "*Kiện*") &amp; "/" &amp; COUNTIF($C$13:$C$1000, "*Kiện*") &amp; " " &amp; AA410,
       AA410)
)</f>
        <v/>
      </c>
      <c r="F410" s="206"/>
      <c r="G410" s="206"/>
      <c r="H410" s="206"/>
      <c r="I410" s="206"/>
      <c r="J410" s="206" t="str">
        <f t="shared" si="90"/>
        <v/>
      </c>
      <c r="K410" s="206" t="str">
        <f t="shared" si="92"/>
        <v/>
      </c>
      <c r="L410" s="206" t="str">
        <f t="shared" si="93"/>
        <v/>
      </c>
      <c r="M410" s="206" t="str">
        <f t="shared" si="94"/>
        <v/>
      </c>
      <c r="N410" s="206" t="str">
        <f t="shared" si="95"/>
        <v/>
      </c>
      <c r="O410" s="206" t="str">
        <f t="shared" si="96"/>
        <v/>
      </c>
      <c r="P410" s="84" t="str">
        <f t="shared" si="97"/>
        <v/>
      </c>
      <c r="Q410" s="205"/>
      <c r="R410" s="70" t="str">
        <f>IF(S410="IN",'BOM_Phan II'!$Y$3,"")</f>
        <v/>
      </c>
      <c r="S410" s="69" t="str">
        <f t="shared" si="89"/>
        <v/>
      </c>
      <c r="T410">
        <f t="shared" si="98"/>
        <v>3</v>
      </c>
      <c r="U410" t="str">
        <f t="shared" si="100"/>
        <v>KIỆN 14</v>
      </c>
      <c r="V410" t="str">
        <f t="shared" si="99"/>
        <v/>
      </c>
      <c r="W410" s="266"/>
      <c r="X410" s="266"/>
      <c r="Y410" s="266" t="str">
        <f t="shared" si="91"/>
        <v/>
      </c>
      <c r="Z410" s="266"/>
    </row>
    <row r="411" spans="1:26" ht="27" hidden="1" customHeight="1">
      <c r="A411" s="70" t="str">
        <f t="shared" si="87"/>
        <v/>
      </c>
      <c r="B411" s="70" t="str">
        <f t="shared" si="88"/>
        <v/>
      </c>
      <c r="C411" s="204" t="str" cm="1">
        <f t="array" ref="C411">IF(D411="","",
    IF(AND(ISNUMBER(D411), D411=INT(D411)),
        $V$6 &amp; " " &amp; (IFERROR(MAX($Y$12:$Y410), 0) + 1),
        IF(ISNUMBER(SEARCH(".", D411)), "", INDEX($C$12:$C411, MATCH(2, 1/($C$12:$C411 &lt;&gt; ""))))
    )
)</f>
        <v/>
      </c>
      <c r="D411" s="206"/>
      <c r="E411" s="206" t="str">
        <f>IF(AA411 = "", "",
    IF(ISNUMBER(SEARCH("Kiện", C411)),
       " GÓI " &amp; COUNTIF($C$13:C411, "*Kiện*") &amp; "/" &amp; COUNTIF($C$13:$C$1000, "*Kiện*") &amp; " " &amp; AA411,
       AA411)
)</f>
        <v/>
      </c>
      <c r="F411" s="206"/>
      <c r="G411" s="206"/>
      <c r="H411" s="206"/>
      <c r="I411" s="206"/>
      <c r="J411" s="206" t="str">
        <f t="shared" si="90"/>
        <v/>
      </c>
      <c r="K411" s="206" t="str">
        <f t="shared" si="92"/>
        <v/>
      </c>
      <c r="L411" s="206" t="str">
        <f t="shared" si="93"/>
        <v/>
      </c>
      <c r="M411" s="206" t="str">
        <f t="shared" si="94"/>
        <v/>
      </c>
      <c r="N411" s="206" t="str">
        <f t="shared" si="95"/>
        <v/>
      </c>
      <c r="O411" s="206" t="str">
        <f t="shared" si="96"/>
        <v/>
      </c>
      <c r="P411" s="84" t="str">
        <f t="shared" si="97"/>
        <v/>
      </c>
      <c r="Q411" s="205"/>
      <c r="R411" s="70" t="str">
        <f>IF(S411="IN",'BOM_Phan II'!$Y$3,"")</f>
        <v/>
      </c>
      <c r="S411" s="69" t="str">
        <f t="shared" si="89"/>
        <v/>
      </c>
      <c r="T411">
        <f t="shared" si="98"/>
        <v>3</v>
      </c>
      <c r="U411" t="str">
        <f t="shared" si="100"/>
        <v>KIỆN 14</v>
      </c>
      <c r="V411" t="str">
        <f t="shared" si="99"/>
        <v/>
      </c>
      <c r="W411" s="266"/>
      <c r="X411" s="266"/>
      <c r="Y411" s="266" t="str">
        <f t="shared" si="91"/>
        <v/>
      </c>
      <c r="Z411" s="266"/>
    </row>
    <row r="412" spans="1:26" ht="27" hidden="1" customHeight="1">
      <c r="A412" s="70" t="str">
        <f t="shared" si="87"/>
        <v/>
      </c>
      <c r="B412" s="70" t="str">
        <f t="shared" si="88"/>
        <v/>
      </c>
      <c r="C412" s="204" t="str" cm="1">
        <f t="array" ref="C412">IF(D412="","",
    IF(AND(ISNUMBER(D412), D412=INT(D412)),
        $V$6 &amp; " " &amp; (IFERROR(MAX($Y$12:$Y411), 0) + 1),
        IF(ISNUMBER(SEARCH(".", D412)), "", INDEX($C$12:$C412, MATCH(2, 1/($C$12:$C412 &lt;&gt; ""))))
    )
)</f>
        <v/>
      </c>
      <c r="D412" s="206"/>
      <c r="E412" s="206" t="str">
        <f>IF(AA412 = "", "",
    IF(ISNUMBER(SEARCH("Kiện", C412)),
       " GÓI " &amp; COUNTIF($C$13:C412, "*Kiện*") &amp; "/" &amp; COUNTIF($C$13:$C$1000, "*Kiện*") &amp; " " &amp; AA412,
       AA412)
)</f>
        <v/>
      </c>
      <c r="F412" s="206"/>
      <c r="G412" s="206"/>
      <c r="H412" s="206"/>
      <c r="I412" s="206"/>
      <c r="J412" s="206" t="str">
        <f t="shared" si="90"/>
        <v/>
      </c>
      <c r="K412" s="206" t="str">
        <f t="shared" si="92"/>
        <v/>
      </c>
      <c r="L412" s="206" t="str">
        <f t="shared" si="93"/>
        <v/>
      </c>
      <c r="M412" s="206" t="str">
        <f t="shared" si="94"/>
        <v/>
      </c>
      <c r="N412" s="206" t="str">
        <f t="shared" si="95"/>
        <v/>
      </c>
      <c r="O412" s="206" t="str">
        <f t="shared" si="96"/>
        <v/>
      </c>
      <c r="P412" s="84" t="str">
        <f t="shared" si="97"/>
        <v/>
      </c>
      <c r="Q412" s="205"/>
      <c r="R412" s="70" t="str">
        <f>IF(S412="IN",'BOM_Phan II'!$Y$3,"")</f>
        <v/>
      </c>
      <c r="S412" s="69" t="str">
        <f t="shared" si="89"/>
        <v/>
      </c>
      <c r="T412">
        <f t="shared" si="98"/>
        <v>3</v>
      </c>
      <c r="U412" t="str">
        <f t="shared" si="100"/>
        <v>KIỆN 14</v>
      </c>
      <c r="V412" t="str">
        <f t="shared" si="99"/>
        <v/>
      </c>
      <c r="W412" s="266"/>
      <c r="X412" s="266"/>
      <c r="Y412" s="266" t="str">
        <f t="shared" si="91"/>
        <v/>
      </c>
      <c r="Z412" s="266"/>
    </row>
    <row r="413" spans="1:26" ht="27" hidden="1" customHeight="1">
      <c r="A413" s="70" t="str">
        <f t="shared" si="87"/>
        <v/>
      </c>
      <c r="B413" s="70" t="str">
        <f t="shared" si="88"/>
        <v/>
      </c>
      <c r="C413" s="204" t="str" cm="1">
        <f t="array" ref="C413">IF(D413="","",
    IF(AND(ISNUMBER(D413), D413=INT(D413)),
        $V$6 &amp; " " &amp; (IFERROR(MAX($Y$12:$Y412), 0) + 1),
        IF(ISNUMBER(SEARCH(".", D413)), "", INDEX($C$12:$C413, MATCH(2, 1/($C$12:$C413 &lt;&gt; ""))))
    )
)</f>
        <v/>
      </c>
      <c r="D413" s="206"/>
      <c r="E413" s="206" t="str">
        <f>IF(AA413 = "", "",
    IF(ISNUMBER(SEARCH("Kiện", C413)),
       " GÓI " &amp; COUNTIF($C$13:C413, "*Kiện*") &amp; "/" &amp; COUNTIF($C$13:$C$1000, "*Kiện*") &amp; " " &amp; AA413,
       AA413)
)</f>
        <v/>
      </c>
      <c r="F413" s="206"/>
      <c r="G413" s="206"/>
      <c r="H413" s="206"/>
      <c r="I413" s="206"/>
      <c r="J413" s="206" t="str">
        <f t="shared" si="90"/>
        <v/>
      </c>
      <c r="K413" s="206" t="str">
        <f t="shared" si="92"/>
        <v/>
      </c>
      <c r="L413" s="206" t="str">
        <f t="shared" si="93"/>
        <v/>
      </c>
      <c r="M413" s="206" t="str">
        <f t="shared" si="94"/>
        <v/>
      </c>
      <c r="N413" s="206" t="str">
        <f t="shared" si="95"/>
        <v/>
      </c>
      <c r="O413" s="206" t="str">
        <f t="shared" si="96"/>
        <v/>
      </c>
      <c r="P413" s="84" t="str">
        <f t="shared" si="97"/>
        <v/>
      </c>
      <c r="Q413" s="205"/>
      <c r="R413" s="70" t="str">
        <f>IF(S413="IN",'BOM_Phan II'!$Y$3,"")</f>
        <v/>
      </c>
      <c r="S413" s="69" t="str">
        <f t="shared" si="89"/>
        <v/>
      </c>
      <c r="T413">
        <f t="shared" si="98"/>
        <v>3</v>
      </c>
      <c r="U413" t="str">
        <f t="shared" si="100"/>
        <v>KIỆN 14</v>
      </c>
      <c r="V413" t="str">
        <f t="shared" si="99"/>
        <v/>
      </c>
      <c r="W413" s="266"/>
      <c r="X413" s="266"/>
      <c r="Y413" s="266" t="str">
        <f t="shared" si="91"/>
        <v/>
      </c>
      <c r="Z413" s="266"/>
    </row>
    <row r="414" spans="1:26" ht="27" hidden="1" customHeight="1">
      <c r="A414" s="70" t="str">
        <f t="shared" si="87"/>
        <v/>
      </c>
      <c r="B414" s="70" t="str">
        <f t="shared" si="88"/>
        <v/>
      </c>
      <c r="C414" s="204" t="str" cm="1">
        <f t="array" ref="C414">IF(D414="","",
    IF(AND(ISNUMBER(D414), D414=INT(D414)),
        $V$6 &amp; " " &amp; (IFERROR(MAX($Y$12:$Y413), 0) + 1),
        IF(ISNUMBER(SEARCH(".", D414)), "", INDEX($C$12:$C414, MATCH(2, 1/($C$12:$C414 &lt;&gt; ""))))
    )
)</f>
        <v/>
      </c>
      <c r="D414" s="206"/>
      <c r="E414" s="206" t="str">
        <f>IF(AA414 = "", "",
    IF(ISNUMBER(SEARCH("Kiện", C414)),
       " GÓI " &amp; COUNTIF($C$13:C414, "*Kiện*") &amp; "/" &amp; COUNTIF($C$13:$C$1000, "*Kiện*") &amp; " " &amp; AA414,
       AA414)
)</f>
        <v/>
      </c>
      <c r="F414" s="206"/>
      <c r="G414" s="206"/>
      <c r="H414" s="206"/>
      <c r="I414" s="206"/>
      <c r="J414" s="206" t="str">
        <f t="shared" si="90"/>
        <v/>
      </c>
      <c r="K414" s="206" t="str">
        <f t="shared" si="92"/>
        <v/>
      </c>
      <c r="L414" s="206" t="str">
        <f t="shared" si="93"/>
        <v/>
      </c>
      <c r="M414" s="206" t="str">
        <f t="shared" si="94"/>
        <v/>
      </c>
      <c r="N414" s="206" t="str">
        <f t="shared" si="95"/>
        <v/>
      </c>
      <c r="O414" s="206" t="str">
        <f t="shared" si="96"/>
        <v/>
      </c>
      <c r="P414" s="84" t="str">
        <f t="shared" si="97"/>
        <v/>
      </c>
      <c r="Q414" s="205"/>
      <c r="R414" s="70" t="str">
        <f>IF(S414="IN",'BOM_Phan II'!$Y$3,"")</f>
        <v/>
      </c>
      <c r="S414" s="69" t="str">
        <f t="shared" si="89"/>
        <v/>
      </c>
      <c r="T414">
        <f t="shared" si="98"/>
        <v>3</v>
      </c>
      <c r="U414" t="str">
        <f t="shared" si="100"/>
        <v>KIỆN 14</v>
      </c>
      <c r="V414" t="str">
        <f t="shared" si="99"/>
        <v/>
      </c>
      <c r="W414" s="266"/>
      <c r="X414" s="266"/>
      <c r="Y414" s="266" t="str">
        <f t="shared" si="91"/>
        <v/>
      </c>
      <c r="Z414" s="266"/>
    </row>
    <row r="415" spans="1:26" ht="27" hidden="1" customHeight="1">
      <c r="A415" s="70" t="str">
        <f t="shared" si="87"/>
        <v/>
      </c>
      <c r="B415" s="70" t="str">
        <f t="shared" si="88"/>
        <v/>
      </c>
      <c r="C415" s="204" t="str" cm="1">
        <f t="array" ref="C415">IF(D415="","",
    IF(AND(ISNUMBER(D415), D415=INT(D415)),
        $V$6 &amp; " " &amp; (IFERROR(MAX($Y$12:$Y414), 0) + 1),
        IF(ISNUMBER(SEARCH(".", D415)), "", INDEX($C$12:$C415, MATCH(2, 1/($C$12:$C415 &lt;&gt; ""))))
    )
)</f>
        <v/>
      </c>
      <c r="D415" s="206"/>
      <c r="E415" s="206" t="str">
        <f>IF(AA415 = "", "",
    IF(ISNUMBER(SEARCH("Kiện", C415)),
       " GÓI " &amp; COUNTIF($C$13:C415, "*Kiện*") &amp; "/" &amp; COUNTIF($C$13:$C$1000, "*Kiện*") &amp; " " &amp; AA415,
       AA415)
)</f>
        <v/>
      </c>
      <c r="F415" s="206"/>
      <c r="G415" s="206"/>
      <c r="H415" s="206"/>
      <c r="I415" s="206"/>
      <c r="J415" s="206" t="str">
        <f t="shared" si="90"/>
        <v/>
      </c>
      <c r="K415" s="206" t="str">
        <f t="shared" si="92"/>
        <v/>
      </c>
      <c r="L415" s="206" t="str">
        <f t="shared" si="93"/>
        <v/>
      </c>
      <c r="M415" s="206" t="str">
        <f t="shared" si="94"/>
        <v/>
      </c>
      <c r="N415" s="206" t="str">
        <f t="shared" si="95"/>
        <v/>
      </c>
      <c r="O415" s="206" t="str">
        <f t="shared" si="96"/>
        <v/>
      </c>
      <c r="P415" s="84" t="str">
        <f t="shared" si="97"/>
        <v/>
      </c>
      <c r="Q415" s="205"/>
      <c r="R415" s="70" t="str">
        <f>IF(S415="IN",'BOM_Phan II'!$Y$3,"")</f>
        <v/>
      </c>
      <c r="S415" s="69" t="str">
        <f t="shared" si="89"/>
        <v/>
      </c>
      <c r="T415">
        <f t="shared" si="98"/>
        <v>3</v>
      </c>
      <c r="U415" t="str">
        <f t="shared" si="100"/>
        <v>KIỆN 14</v>
      </c>
      <c r="V415" t="str">
        <f t="shared" si="99"/>
        <v/>
      </c>
      <c r="W415" s="266"/>
      <c r="X415" s="266"/>
      <c r="Y415" s="266" t="str">
        <f t="shared" si="91"/>
        <v/>
      </c>
      <c r="Z415" s="266"/>
    </row>
    <row r="416" spans="1:26" ht="27" hidden="1" customHeight="1">
      <c r="A416" s="70" t="str">
        <f t="shared" si="87"/>
        <v/>
      </c>
      <c r="B416" s="70" t="str">
        <f t="shared" si="88"/>
        <v/>
      </c>
      <c r="C416" s="204" t="str" cm="1">
        <f t="array" ref="C416">IF(D416="","",
    IF(AND(ISNUMBER(D416), D416=INT(D416)),
        $V$6 &amp; " " &amp; (IFERROR(MAX($Y$12:$Y415), 0) + 1),
        IF(ISNUMBER(SEARCH(".", D416)), "", INDEX($C$12:$C416, MATCH(2, 1/($C$12:$C416 &lt;&gt; ""))))
    )
)</f>
        <v/>
      </c>
      <c r="D416" s="206"/>
      <c r="E416" s="206" t="str">
        <f>IF(AA416 = "", "",
    IF(ISNUMBER(SEARCH("Kiện", C416)),
       " GÓI " &amp; COUNTIF($C$13:C416, "*Kiện*") &amp; "/" &amp; COUNTIF($C$13:$C$1000, "*Kiện*") &amp; " " &amp; AA416,
       AA416)
)</f>
        <v/>
      </c>
      <c r="F416" s="206"/>
      <c r="G416" s="206"/>
      <c r="H416" s="206"/>
      <c r="I416" s="206"/>
      <c r="J416" s="206" t="str">
        <f t="shared" si="90"/>
        <v/>
      </c>
      <c r="K416" s="206" t="str">
        <f t="shared" si="92"/>
        <v/>
      </c>
      <c r="L416" s="206" t="str">
        <f t="shared" si="93"/>
        <v/>
      </c>
      <c r="M416" s="206" t="str">
        <f t="shared" si="94"/>
        <v/>
      </c>
      <c r="N416" s="206" t="str">
        <f t="shared" si="95"/>
        <v/>
      </c>
      <c r="O416" s="206" t="str">
        <f t="shared" si="96"/>
        <v/>
      </c>
      <c r="P416" s="84" t="str">
        <f t="shared" si="97"/>
        <v/>
      </c>
      <c r="Q416" s="205"/>
      <c r="R416" s="70" t="str">
        <f>IF(S416="IN",'BOM_Phan II'!$Y$3,"")</f>
        <v/>
      </c>
      <c r="S416" s="69" t="str">
        <f t="shared" si="89"/>
        <v/>
      </c>
      <c r="T416">
        <f t="shared" si="98"/>
        <v>3</v>
      </c>
      <c r="U416" t="str">
        <f t="shared" si="100"/>
        <v>KIỆN 14</v>
      </c>
      <c r="V416" t="str">
        <f t="shared" si="99"/>
        <v/>
      </c>
      <c r="W416" s="266"/>
      <c r="X416" s="266"/>
      <c r="Y416" s="266" t="str">
        <f t="shared" si="91"/>
        <v/>
      </c>
      <c r="Z416" s="266"/>
    </row>
    <row r="417" spans="1:26" ht="27" hidden="1" customHeight="1">
      <c r="A417" s="70" t="str">
        <f t="shared" si="87"/>
        <v/>
      </c>
      <c r="B417" s="70" t="str">
        <f t="shared" si="88"/>
        <v/>
      </c>
      <c r="C417" s="204" t="str" cm="1">
        <f t="array" ref="C417">IF(D417="","",
    IF(AND(ISNUMBER(D417), D417=INT(D417)),
        $V$6 &amp; " " &amp; (IFERROR(MAX($Y$12:$Y416), 0) + 1),
        IF(ISNUMBER(SEARCH(".", D417)), "", INDEX($C$12:$C417, MATCH(2, 1/($C$12:$C417 &lt;&gt; ""))))
    )
)</f>
        <v/>
      </c>
      <c r="D417" s="206"/>
      <c r="E417" s="206" t="str">
        <f>IF(AA417 = "", "",
    IF(ISNUMBER(SEARCH("Kiện", C417)),
       " GÓI " &amp; COUNTIF($C$13:C417, "*Kiện*") &amp; "/" &amp; COUNTIF($C$13:$C$1000, "*Kiện*") &amp; " " &amp; AA417,
       AA417)
)</f>
        <v/>
      </c>
      <c r="F417" s="206"/>
      <c r="G417" s="206"/>
      <c r="H417" s="206"/>
      <c r="I417" s="206"/>
      <c r="J417" s="206" t="str">
        <f t="shared" si="90"/>
        <v/>
      </c>
      <c r="K417" s="206" t="str">
        <f t="shared" si="92"/>
        <v/>
      </c>
      <c r="L417" s="206" t="str">
        <f t="shared" si="93"/>
        <v/>
      </c>
      <c r="M417" s="206" t="str">
        <f t="shared" si="94"/>
        <v/>
      </c>
      <c r="N417" s="206" t="str">
        <f t="shared" si="95"/>
        <v/>
      </c>
      <c r="O417" s="206" t="str">
        <f t="shared" si="96"/>
        <v/>
      </c>
      <c r="P417" s="84" t="str">
        <f t="shared" si="97"/>
        <v/>
      </c>
      <c r="Q417" s="205"/>
      <c r="R417" s="70" t="str">
        <f>IF(S417="IN",'BOM_Phan II'!$Y$3,"")</f>
        <v/>
      </c>
      <c r="S417" s="69" t="str">
        <f t="shared" si="89"/>
        <v/>
      </c>
      <c r="T417">
        <f t="shared" si="98"/>
        <v>3</v>
      </c>
      <c r="U417" t="str">
        <f t="shared" si="100"/>
        <v>KIỆN 14</v>
      </c>
      <c r="V417" t="str">
        <f t="shared" si="99"/>
        <v/>
      </c>
      <c r="W417" s="266"/>
      <c r="X417" s="266"/>
      <c r="Y417" s="266" t="str">
        <f t="shared" si="91"/>
        <v/>
      </c>
      <c r="Z417" s="266"/>
    </row>
    <row r="418" spans="1:26" ht="27" hidden="1" customHeight="1">
      <c r="A418" s="70" t="str">
        <f t="shared" si="87"/>
        <v/>
      </c>
      <c r="B418" s="70" t="str">
        <f t="shared" si="88"/>
        <v/>
      </c>
      <c r="C418" s="204" t="str" cm="1">
        <f t="array" ref="C418">IF(D418="","",
    IF(AND(ISNUMBER(D418), D418=INT(D418)),
        $V$6 &amp; " " &amp; (IFERROR(MAX($Y$12:$Y417), 0) + 1),
        IF(ISNUMBER(SEARCH(".", D418)), "", INDEX($C$12:$C418, MATCH(2, 1/($C$12:$C418 &lt;&gt; ""))))
    )
)</f>
        <v/>
      </c>
      <c r="D418" s="206"/>
      <c r="E418" s="206" t="str">
        <f>IF(AA418 = "", "",
    IF(ISNUMBER(SEARCH("Kiện", C418)),
       " GÓI " &amp; COUNTIF($C$13:C418, "*Kiện*") &amp; "/" &amp; COUNTIF($C$13:$C$1000, "*Kiện*") &amp; " " &amp; AA418,
       AA418)
)</f>
        <v/>
      </c>
      <c r="F418" s="206"/>
      <c r="G418" s="206"/>
      <c r="H418" s="206"/>
      <c r="I418" s="206"/>
      <c r="J418" s="206" t="str">
        <f t="shared" si="90"/>
        <v/>
      </c>
      <c r="K418" s="206" t="str">
        <f t="shared" si="92"/>
        <v/>
      </c>
      <c r="L418" s="206" t="str">
        <f t="shared" si="93"/>
        <v/>
      </c>
      <c r="M418" s="206" t="str">
        <f t="shared" si="94"/>
        <v/>
      </c>
      <c r="N418" s="206" t="str">
        <f t="shared" si="95"/>
        <v/>
      </c>
      <c r="O418" s="206" t="str">
        <f t="shared" si="96"/>
        <v/>
      </c>
      <c r="P418" s="84" t="str">
        <f t="shared" si="97"/>
        <v/>
      </c>
      <c r="Q418" s="205"/>
      <c r="R418" s="70" t="str">
        <f>IF(S418="IN",'BOM_Phan II'!$Y$3,"")</f>
        <v/>
      </c>
      <c r="S418" s="69" t="str">
        <f t="shared" si="89"/>
        <v/>
      </c>
      <c r="T418">
        <f t="shared" si="98"/>
        <v>3</v>
      </c>
      <c r="U418" t="str">
        <f t="shared" si="100"/>
        <v>KIỆN 14</v>
      </c>
      <c r="V418" t="str">
        <f t="shared" si="99"/>
        <v/>
      </c>
      <c r="W418" s="266"/>
      <c r="X418" s="266"/>
      <c r="Y418" s="266" t="str">
        <f t="shared" si="91"/>
        <v/>
      </c>
      <c r="Z418" s="266"/>
    </row>
    <row r="419" spans="1:26" ht="27" hidden="1" customHeight="1">
      <c r="A419" s="70" t="str">
        <f t="shared" si="87"/>
        <v/>
      </c>
      <c r="B419" s="70" t="str">
        <f t="shared" si="88"/>
        <v/>
      </c>
      <c r="C419" s="204" t="str" cm="1">
        <f t="array" ref="C419">IF(D419="","",
    IF(AND(ISNUMBER(D419), D419=INT(D419)),
        $V$6 &amp; " " &amp; (IFERROR(MAX($Y$12:$Y418), 0) + 1),
        IF(ISNUMBER(SEARCH(".", D419)), "", INDEX($C$12:$C419, MATCH(2, 1/($C$12:$C419 &lt;&gt; ""))))
    )
)</f>
        <v/>
      </c>
      <c r="D419" s="206"/>
      <c r="E419" s="206" t="str">
        <f>IF(AA419 = "", "",
    IF(ISNUMBER(SEARCH("Kiện", C419)),
       " GÓI " &amp; COUNTIF($C$13:C419, "*Kiện*") &amp; "/" &amp; COUNTIF($C$13:$C$1000, "*Kiện*") &amp; " " &amp; AA419,
       AA419)
)</f>
        <v/>
      </c>
      <c r="F419" s="206"/>
      <c r="G419" s="206"/>
      <c r="H419" s="206"/>
      <c r="I419" s="206"/>
      <c r="J419" s="206" t="str">
        <f t="shared" si="90"/>
        <v/>
      </c>
      <c r="K419" s="206" t="str">
        <f t="shared" si="92"/>
        <v/>
      </c>
      <c r="L419" s="206" t="str">
        <f t="shared" si="93"/>
        <v/>
      </c>
      <c r="M419" s="206" t="str">
        <f t="shared" si="94"/>
        <v/>
      </c>
      <c r="N419" s="206" t="str">
        <f t="shared" si="95"/>
        <v/>
      </c>
      <c r="O419" s="206" t="str">
        <f t="shared" si="96"/>
        <v/>
      </c>
      <c r="P419" s="84" t="str">
        <f t="shared" si="97"/>
        <v/>
      </c>
      <c r="Q419" s="205"/>
      <c r="R419" s="70" t="str">
        <f>IF(S419="IN",'BOM_Phan II'!$Y$3,"")</f>
        <v/>
      </c>
      <c r="S419" s="69" t="str">
        <f t="shared" si="89"/>
        <v/>
      </c>
      <c r="T419">
        <f t="shared" si="98"/>
        <v>3</v>
      </c>
      <c r="U419" t="str">
        <f t="shared" si="100"/>
        <v>KIỆN 14</v>
      </c>
      <c r="V419" t="str">
        <f t="shared" si="99"/>
        <v/>
      </c>
      <c r="W419" s="266"/>
      <c r="X419" s="266"/>
      <c r="Y419" s="266" t="str">
        <f t="shared" si="91"/>
        <v/>
      </c>
      <c r="Z419" s="266"/>
    </row>
    <row r="420" spans="1:26" ht="27" hidden="1" customHeight="1">
      <c r="A420" s="70" t="str">
        <f t="shared" si="87"/>
        <v/>
      </c>
      <c r="B420" s="70" t="str">
        <f t="shared" si="88"/>
        <v/>
      </c>
      <c r="C420" s="204" t="str" cm="1">
        <f t="array" ref="C420">IF(D420="","",
    IF(AND(ISNUMBER(D420), D420=INT(D420)),
        $V$6 &amp; " " &amp; (IFERROR(MAX($Y$12:$Y419), 0) + 1),
        IF(ISNUMBER(SEARCH(".", D420)), "", INDEX($C$12:$C420, MATCH(2, 1/($C$12:$C420 &lt;&gt; ""))))
    )
)</f>
        <v/>
      </c>
      <c r="D420" s="206"/>
      <c r="E420" s="206" t="str">
        <f>IF(AA420 = "", "",
    IF(ISNUMBER(SEARCH("Kiện", C420)),
       " GÓI " &amp; COUNTIF($C$13:C420, "*Kiện*") &amp; "/" &amp; COUNTIF($C$13:$C$1000, "*Kiện*") &amp; " " &amp; AA420,
       AA420)
)</f>
        <v/>
      </c>
      <c r="F420" s="206"/>
      <c r="G420" s="206"/>
      <c r="H420" s="206"/>
      <c r="I420" s="206"/>
      <c r="J420" s="206" t="str">
        <f t="shared" si="90"/>
        <v/>
      </c>
      <c r="K420" s="206" t="str">
        <f t="shared" si="92"/>
        <v/>
      </c>
      <c r="L420" s="206" t="str">
        <f t="shared" si="93"/>
        <v/>
      </c>
      <c r="M420" s="206" t="str">
        <f t="shared" si="94"/>
        <v/>
      </c>
      <c r="N420" s="206" t="str">
        <f t="shared" si="95"/>
        <v/>
      </c>
      <c r="O420" s="206" t="str">
        <f t="shared" si="96"/>
        <v/>
      </c>
      <c r="P420" s="84" t="str">
        <f t="shared" si="97"/>
        <v/>
      </c>
      <c r="Q420" s="205"/>
      <c r="R420" s="70" t="str">
        <f>IF(S420="IN",'BOM_Phan II'!$Y$3,"")</f>
        <v/>
      </c>
      <c r="S420" s="69" t="str">
        <f t="shared" si="89"/>
        <v/>
      </c>
      <c r="T420">
        <f t="shared" si="98"/>
        <v>3</v>
      </c>
      <c r="U420" t="str">
        <f t="shared" si="100"/>
        <v>KIỆN 14</v>
      </c>
      <c r="V420" t="str">
        <f t="shared" si="99"/>
        <v/>
      </c>
      <c r="W420" s="266"/>
      <c r="X420" s="266"/>
      <c r="Y420" s="266" t="str">
        <f t="shared" si="91"/>
        <v/>
      </c>
      <c r="Z420" s="266"/>
    </row>
    <row r="421" spans="1:26" ht="27" hidden="1" customHeight="1">
      <c r="A421" s="70" t="str">
        <f t="shared" si="87"/>
        <v/>
      </c>
      <c r="B421" s="70" t="str">
        <f t="shared" si="88"/>
        <v/>
      </c>
      <c r="C421" s="204" t="str" cm="1">
        <f t="array" ref="C421">IF(D421="","",
    IF(AND(ISNUMBER(D421), D421=INT(D421)),
        $V$6 &amp; " " &amp; (IFERROR(MAX($Y$12:$Y420), 0) + 1),
        IF(ISNUMBER(SEARCH(".", D421)), "", INDEX($C$12:$C421, MATCH(2, 1/($C$12:$C421 &lt;&gt; ""))))
    )
)</f>
        <v/>
      </c>
      <c r="D421" s="206"/>
      <c r="E421" s="206" t="str">
        <f>IF(AA421 = "", "",
    IF(ISNUMBER(SEARCH("Kiện", C421)),
       " GÓI " &amp; COUNTIF($C$13:C421, "*Kiện*") &amp; "/" &amp; COUNTIF($C$13:$C$1000, "*Kiện*") &amp; " " &amp; AA421,
       AA421)
)</f>
        <v/>
      </c>
      <c r="F421" s="206"/>
      <c r="G421" s="206"/>
      <c r="H421" s="206"/>
      <c r="I421" s="206"/>
      <c r="J421" s="206" t="str">
        <f t="shared" si="90"/>
        <v/>
      </c>
      <c r="K421" s="206" t="str">
        <f t="shared" si="92"/>
        <v/>
      </c>
      <c r="L421" s="206" t="str">
        <f t="shared" si="93"/>
        <v/>
      </c>
      <c r="M421" s="206" t="str">
        <f t="shared" si="94"/>
        <v/>
      </c>
      <c r="N421" s="206" t="str">
        <f t="shared" si="95"/>
        <v/>
      </c>
      <c r="O421" s="206" t="str">
        <f t="shared" si="96"/>
        <v/>
      </c>
      <c r="P421" s="84" t="str">
        <f t="shared" si="97"/>
        <v/>
      </c>
      <c r="Q421" s="205"/>
      <c r="R421" s="70" t="str">
        <f>IF(S421="IN",'BOM_Phan II'!$Y$3,"")</f>
        <v/>
      </c>
      <c r="S421" s="69" t="str">
        <f t="shared" si="89"/>
        <v/>
      </c>
      <c r="T421">
        <f t="shared" si="98"/>
        <v>3</v>
      </c>
      <c r="U421" t="str">
        <f t="shared" si="100"/>
        <v>KIỆN 14</v>
      </c>
      <c r="V421" t="str">
        <f t="shared" si="99"/>
        <v/>
      </c>
      <c r="W421" s="266"/>
      <c r="X421" s="266"/>
      <c r="Y421" s="266" t="str">
        <f t="shared" si="91"/>
        <v/>
      </c>
      <c r="Z421" s="266"/>
    </row>
    <row r="422" spans="1:26" ht="27" hidden="1" customHeight="1">
      <c r="A422" s="70" t="str">
        <f t="shared" si="87"/>
        <v/>
      </c>
      <c r="B422" s="70" t="str">
        <f t="shared" si="88"/>
        <v/>
      </c>
      <c r="C422" s="204" t="str" cm="1">
        <f t="array" ref="C422">IF(D422="","",
    IF(AND(ISNUMBER(D422), D422=INT(D422)),
        $V$6 &amp; " " &amp; (IFERROR(MAX($Y$12:$Y421), 0) + 1),
        IF(ISNUMBER(SEARCH(".", D422)), "", INDEX($C$12:$C422, MATCH(2, 1/($C$12:$C422 &lt;&gt; ""))))
    )
)</f>
        <v/>
      </c>
      <c r="D422" s="206"/>
      <c r="E422" s="206" t="str">
        <f>IF(AA422 = "", "",
    IF(ISNUMBER(SEARCH("Kiện", C422)),
       " GÓI " &amp; COUNTIF($C$13:C422, "*Kiện*") &amp; "/" &amp; COUNTIF($C$13:$C$1000, "*Kiện*") &amp; " " &amp; AA422,
       AA422)
)</f>
        <v/>
      </c>
      <c r="F422" s="206"/>
      <c r="G422" s="206"/>
      <c r="H422" s="206"/>
      <c r="I422" s="206"/>
      <c r="J422" s="206" t="str">
        <f t="shared" si="90"/>
        <v/>
      </c>
      <c r="K422" s="206" t="str">
        <f t="shared" si="92"/>
        <v/>
      </c>
      <c r="L422" s="206" t="str">
        <f t="shared" si="93"/>
        <v/>
      </c>
      <c r="M422" s="206" t="str">
        <f t="shared" si="94"/>
        <v/>
      </c>
      <c r="N422" s="206" t="str">
        <f t="shared" si="95"/>
        <v/>
      </c>
      <c r="O422" s="206" t="str">
        <f t="shared" si="96"/>
        <v/>
      </c>
      <c r="P422" s="84" t="str">
        <f t="shared" si="97"/>
        <v/>
      </c>
      <c r="Q422" s="205"/>
      <c r="R422" s="70" t="str">
        <f>IF(S422="IN",'BOM_Phan II'!$Y$3,"")</f>
        <v/>
      </c>
      <c r="S422" s="69" t="str">
        <f t="shared" si="89"/>
        <v/>
      </c>
      <c r="T422">
        <f t="shared" si="98"/>
        <v>3</v>
      </c>
      <c r="U422" t="str">
        <f t="shared" si="100"/>
        <v>KIỆN 14</v>
      </c>
      <c r="V422" t="str">
        <f t="shared" si="99"/>
        <v/>
      </c>
      <c r="W422" s="266"/>
      <c r="X422" s="266"/>
      <c r="Y422" s="266" t="str">
        <f t="shared" si="91"/>
        <v/>
      </c>
      <c r="Z422" s="266"/>
    </row>
    <row r="423" spans="1:26" ht="27" hidden="1" customHeight="1">
      <c r="A423" s="70" t="str">
        <f t="shared" si="87"/>
        <v/>
      </c>
      <c r="B423" s="70" t="str">
        <f t="shared" si="88"/>
        <v/>
      </c>
      <c r="C423" s="204" t="str" cm="1">
        <f t="array" ref="C423">IF(D423="","",
    IF(AND(ISNUMBER(D423), D423=INT(D423)),
        $V$6 &amp; " " &amp; (IFERROR(MAX($Y$12:$Y422), 0) + 1),
        IF(ISNUMBER(SEARCH(".", D423)), "", INDEX($C$12:$C423, MATCH(2, 1/($C$12:$C423 &lt;&gt; ""))))
    )
)</f>
        <v/>
      </c>
      <c r="D423" s="206"/>
      <c r="E423" s="206" t="str">
        <f>IF(AA423 = "", "",
    IF(ISNUMBER(SEARCH("Kiện", C423)),
       " GÓI " &amp; COUNTIF($C$13:C423, "*Kiện*") &amp; "/" &amp; COUNTIF($C$13:$C$1000, "*Kiện*") &amp; " " &amp; AA423,
       AA423)
)</f>
        <v/>
      </c>
      <c r="F423" s="206"/>
      <c r="G423" s="206"/>
      <c r="H423" s="206"/>
      <c r="I423" s="206"/>
      <c r="J423" s="206" t="str">
        <f t="shared" si="90"/>
        <v/>
      </c>
      <c r="K423" s="206" t="str">
        <f t="shared" si="92"/>
        <v/>
      </c>
      <c r="L423" s="206" t="str">
        <f t="shared" si="93"/>
        <v/>
      </c>
      <c r="M423" s="206" t="str">
        <f t="shared" si="94"/>
        <v/>
      </c>
      <c r="N423" s="206" t="str">
        <f t="shared" si="95"/>
        <v/>
      </c>
      <c r="O423" s="206" t="str">
        <f t="shared" si="96"/>
        <v/>
      </c>
      <c r="P423" s="84" t="str">
        <f t="shared" si="97"/>
        <v/>
      </c>
      <c r="Q423" s="205"/>
      <c r="R423" s="70" t="str">
        <f>IF(S423="IN",'BOM_Phan II'!$Y$3,"")</f>
        <v/>
      </c>
      <c r="S423" s="69" t="str">
        <f t="shared" si="89"/>
        <v/>
      </c>
      <c r="T423">
        <f t="shared" si="98"/>
        <v>3</v>
      </c>
      <c r="U423" t="str">
        <f t="shared" si="100"/>
        <v>KIỆN 14</v>
      </c>
      <c r="V423" t="str">
        <f t="shared" si="99"/>
        <v/>
      </c>
      <c r="W423" s="266"/>
      <c r="X423" s="266"/>
      <c r="Y423" s="266" t="str">
        <f t="shared" si="91"/>
        <v/>
      </c>
      <c r="Z423" s="266"/>
    </row>
    <row r="424" spans="1:26" ht="27" hidden="1" customHeight="1">
      <c r="A424" s="70" t="str">
        <f t="shared" si="87"/>
        <v/>
      </c>
      <c r="B424" s="70" t="str">
        <f t="shared" si="88"/>
        <v/>
      </c>
      <c r="C424" s="204" t="str" cm="1">
        <f t="array" ref="C424">IF(D424="","",
    IF(AND(ISNUMBER(D424), D424=INT(D424)),
        $V$6 &amp; " " &amp; (IFERROR(MAX($Y$12:$Y423), 0) + 1),
        IF(ISNUMBER(SEARCH(".", D424)), "", INDEX($C$12:$C424, MATCH(2, 1/($C$12:$C424 &lt;&gt; ""))))
    )
)</f>
        <v/>
      </c>
      <c r="D424" s="206"/>
      <c r="E424" s="206" t="str">
        <f>IF(AA424 = "", "",
    IF(ISNUMBER(SEARCH("Kiện", C424)),
       " GÓI " &amp; COUNTIF($C$13:C424, "*Kiện*") &amp; "/" &amp; COUNTIF($C$13:$C$1000, "*Kiện*") &amp; " " &amp; AA424,
       AA424)
)</f>
        <v/>
      </c>
      <c r="F424" s="206"/>
      <c r="G424" s="206"/>
      <c r="H424" s="206"/>
      <c r="I424" s="206"/>
      <c r="J424" s="206" t="str">
        <f t="shared" si="90"/>
        <v/>
      </c>
      <c r="K424" s="206" t="str">
        <f t="shared" si="92"/>
        <v/>
      </c>
      <c r="L424" s="206" t="str">
        <f t="shared" si="93"/>
        <v/>
      </c>
      <c r="M424" s="206" t="str">
        <f t="shared" si="94"/>
        <v/>
      </c>
      <c r="N424" s="206" t="str">
        <f t="shared" si="95"/>
        <v/>
      </c>
      <c r="O424" s="206" t="str">
        <f t="shared" si="96"/>
        <v/>
      </c>
      <c r="P424" s="84" t="str">
        <f t="shared" si="97"/>
        <v/>
      </c>
      <c r="Q424" s="205"/>
      <c r="R424" s="70" t="str">
        <f>IF(S424="IN",'BOM_Phan II'!$Y$3,"")</f>
        <v/>
      </c>
      <c r="S424" s="69" t="str">
        <f t="shared" si="89"/>
        <v/>
      </c>
      <c r="T424">
        <f t="shared" si="98"/>
        <v>3</v>
      </c>
      <c r="U424" t="str">
        <f t="shared" si="100"/>
        <v>KIỆN 14</v>
      </c>
      <c r="V424" t="str">
        <f t="shared" si="99"/>
        <v/>
      </c>
      <c r="W424" s="266"/>
      <c r="X424" s="266"/>
      <c r="Y424" s="266" t="str">
        <f t="shared" si="91"/>
        <v/>
      </c>
      <c r="Z424" s="266"/>
    </row>
    <row r="425" spans="1:26" ht="27" hidden="1" customHeight="1">
      <c r="A425" s="70" t="str">
        <f t="shared" si="87"/>
        <v/>
      </c>
      <c r="B425" s="70" t="str">
        <f t="shared" si="88"/>
        <v/>
      </c>
      <c r="C425" s="204" t="str" cm="1">
        <f t="array" ref="C425">IF(D425="","",
    IF(AND(ISNUMBER(D425), D425=INT(D425)),
        $V$6 &amp; " " &amp; (IFERROR(MAX($Y$12:$Y424), 0) + 1),
        IF(ISNUMBER(SEARCH(".", D425)), "", INDEX($C$12:$C425, MATCH(2, 1/($C$12:$C425 &lt;&gt; ""))))
    )
)</f>
        <v/>
      </c>
      <c r="D425" s="206"/>
      <c r="E425" s="206" t="str">
        <f>IF(AA425 = "", "",
    IF(ISNUMBER(SEARCH("Kiện", C425)),
       " GÓI " &amp; COUNTIF($C$13:C425, "*Kiện*") &amp; "/" &amp; COUNTIF($C$13:$C$1000, "*Kiện*") &amp; " " &amp; AA425,
       AA425)
)</f>
        <v/>
      </c>
      <c r="F425" s="206"/>
      <c r="G425" s="206"/>
      <c r="H425" s="206"/>
      <c r="I425" s="206"/>
      <c r="J425" s="206" t="str">
        <f t="shared" si="90"/>
        <v/>
      </c>
      <c r="K425" s="206" t="str">
        <f t="shared" si="92"/>
        <v/>
      </c>
      <c r="L425" s="206" t="str">
        <f t="shared" si="93"/>
        <v/>
      </c>
      <c r="M425" s="206" t="str">
        <f t="shared" si="94"/>
        <v/>
      </c>
      <c r="N425" s="206" t="str">
        <f t="shared" si="95"/>
        <v/>
      </c>
      <c r="O425" s="206" t="str">
        <f t="shared" si="96"/>
        <v/>
      </c>
      <c r="P425" s="84" t="str">
        <f t="shared" si="97"/>
        <v/>
      </c>
      <c r="Q425" s="205"/>
      <c r="R425" s="70" t="str">
        <f>IF(S425="IN",'BOM_Phan II'!$Y$3,"")</f>
        <v/>
      </c>
      <c r="S425" s="69" t="str">
        <f t="shared" si="89"/>
        <v/>
      </c>
      <c r="T425">
        <f t="shared" si="98"/>
        <v>3</v>
      </c>
      <c r="U425" t="str">
        <f>IF(C425="",U310,C425)</f>
        <v>KIỆN 14</v>
      </c>
      <c r="V425" t="str">
        <f t="shared" si="99"/>
        <v/>
      </c>
      <c r="W425" s="266"/>
      <c r="X425" s="266"/>
      <c r="Y425" s="266" t="str">
        <f t="shared" si="91"/>
        <v/>
      </c>
      <c r="Z425" s="266"/>
    </row>
    <row r="426" spans="1:26" ht="27" hidden="1" customHeight="1">
      <c r="A426" s="70" t="str">
        <f t="shared" si="87"/>
        <v/>
      </c>
      <c r="B426" s="70" t="str">
        <f t="shared" si="88"/>
        <v/>
      </c>
      <c r="C426" s="204" t="str" cm="1">
        <f t="array" ref="C426">IF(D426="","",
    IF(AND(ISNUMBER(D426), D426=INT(D426)),
        $V$6 &amp; " " &amp; (IFERROR(MAX($Y$12:$Y425), 0) + 1),
        IF(ISNUMBER(SEARCH(".", D426)), "", INDEX($C$12:$C426, MATCH(2, 1/($C$12:$C426 &lt;&gt; ""))))
    )
)</f>
        <v/>
      </c>
      <c r="D426" s="206"/>
      <c r="E426" s="206" t="str">
        <f>IF(AA426 = "", "",
    IF(ISNUMBER(SEARCH("Kiện", C426)),
       " GÓI " &amp; COUNTIF($C$13:C426, "*Kiện*") &amp; "/" &amp; COUNTIF($C$13:$C$1000, "*Kiện*") &amp; " " &amp; AA426,
       AA426)
)</f>
        <v/>
      </c>
      <c r="F426" s="206"/>
      <c r="G426" s="206"/>
      <c r="H426" s="206"/>
      <c r="I426" s="206"/>
      <c r="J426" s="206" t="str">
        <f t="shared" si="90"/>
        <v/>
      </c>
      <c r="K426" s="206" t="str">
        <f t="shared" si="92"/>
        <v/>
      </c>
      <c r="L426" s="206" t="str">
        <f t="shared" si="93"/>
        <v/>
      </c>
      <c r="M426" s="206" t="str">
        <f t="shared" si="94"/>
        <v/>
      </c>
      <c r="N426" s="206" t="str">
        <f t="shared" si="95"/>
        <v/>
      </c>
      <c r="O426" s="206" t="str">
        <f t="shared" si="96"/>
        <v/>
      </c>
      <c r="P426" s="84" t="str">
        <f t="shared" si="97"/>
        <v/>
      </c>
      <c r="Q426" s="205"/>
      <c r="R426" s="70" t="str">
        <f>IF(S426="IN",'BOM_Phan II'!$Y$3,"")</f>
        <v/>
      </c>
      <c r="S426" s="69" t="str">
        <f t="shared" si="89"/>
        <v/>
      </c>
      <c r="T426">
        <f t="shared" si="98"/>
        <v>3</v>
      </c>
      <c r="U426" t="str">
        <f t="shared" ref="U426:U456" si="101">IF(C426="",U425,C426)</f>
        <v>KIỆN 14</v>
      </c>
      <c r="V426" t="str">
        <f t="shared" si="99"/>
        <v/>
      </c>
      <c r="W426" s="266"/>
      <c r="X426" s="266"/>
      <c r="Y426" s="266" t="str">
        <f t="shared" si="91"/>
        <v/>
      </c>
      <c r="Z426" s="266"/>
    </row>
    <row r="427" spans="1:26" ht="27" hidden="1" customHeight="1">
      <c r="A427" s="70" t="str">
        <f t="shared" si="87"/>
        <v/>
      </c>
      <c r="B427" s="70" t="str">
        <f t="shared" si="88"/>
        <v/>
      </c>
      <c r="C427" s="204" t="str" cm="1">
        <f t="array" ref="C427">IF(D427="","",
    IF(AND(ISNUMBER(D427), D427=INT(D427)),
        $V$6 &amp; " " &amp; (IFERROR(MAX($Y$12:$Y426), 0) + 1),
        IF(ISNUMBER(SEARCH(".", D427)), "", INDEX($C$12:$C427, MATCH(2, 1/($C$12:$C427 &lt;&gt; ""))))
    )
)</f>
        <v/>
      </c>
      <c r="D427" s="206"/>
      <c r="E427" s="206" t="str">
        <f>IF(AA427 = "", "",
    IF(ISNUMBER(SEARCH("Kiện", C427)),
       " GÓI " &amp; COUNTIF($C$13:C427, "*Kiện*") &amp; "/" &amp; COUNTIF($C$13:$C$1000, "*Kiện*") &amp; " " &amp; AA427,
       AA427)
)</f>
        <v/>
      </c>
      <c r="F427" s="206"/>
      <c r="G427" s="206"/>
      <c r="H427" s="206"/>
      <c r="I427" s="206"/>
      <c r="J427" s="206" t="str">
        <f t="shared" si="90"/>
        <v/>
      </c>
      <c r="K427" s="206" t="str">
        <f t="shared" si="92"/>
        <v/>
      </c>
      <c r="L427" s="206" t="str">
        <f t="shared" si="93"/>
        <v/>
      </c>
      <c r="M427" s="206" t="str">
        <f t="shared" si="94"/>
        <v/>
      </c>
      <c r="N427" s="206" t="str">
        <f t="shared" si="95"/>
        <v/>
      </c>
      <c r="O427" s="206" t="str">
        <f t="shared" si="96"/>
        <v/>
      </c>
      <c r="P427" s="84" t="str">
        <f t="shared" si="97"/>
        <v/>
      </c>
      <c r="Q427" s="205"/>
      <c r="R427" s="70" t="str">
        <f>IF(S427="IN",'BOM_Phan II'!$Y$3,"")</f>
        <v/>
      </c>
      <c r="S427" s="69" t="str">
        <f t="shared" si="89"/>
        <v/>
      </c>
      <c r="T427">
        <f t="shared" si="98"/>
        <v>3</v>
      </c>
      <c r="U427" t="str">
        <f t="shared" si="101"/>
        <v>KIỆN 14</v>
      </c>
      <c r="V427" t="str">
        <f t="shared" si="99"/>
        <v/>
      </c>
      <c r="W427" s="266"/>
      <c r="X427" s="266"/>
      <c r="Y427" s="266" t="str">
        <f t="shared" si="91"/>
        <v/>
      </c>
      <c r="Z427" s="266"/>
    </row>
    <row r="428" spans="1:26" ht="27" hidden="1" customHeight="1">
      <c r="A428" s="70" t="str">
        <f t="shared" si="87"/>
        <v/>
      </c>
      <c r="B428" s="70" t="str">
        <f t="shared" si="88"/>
        <v/>
      </c>
      <c r="C428" s="204" t="str" cm="1">
        <f t="array" ref="C428">IF(D428="","",
    IF(AND(ISNUMBER(D428), D428=INT(D428)),
        $V$6 &amp; " " &amp; (IFERROR(MAX($Y$12:$Y427), 0) + 1),
        IF(ISNUMBER(SEARCH(".", D428)), "", INDEX($C$12:$C428, MATCH(2, 1/($C$12:$C428 &lt;&gt; ""))))
    )
)</f>
        <v/>
      </c>
      <c r="D428" s="206"/>
      <c r="E428" s="206" t="str">
        <f>IF(AA428 = "", "",
    IF(ISNUMBER(SEARCH("Kiện", C428)),
       " GÓI " &amp; COUNTIF($C$13:C428, "*Kiện*") &amp; "/" &amp; COUNTIF($C$13:$C$1000, "*Kiện*") &amp; " " &amp; AA428,
       AA428)
)</f>
        <v/>
      </c>
      <c r="F428" s="206"/>
      <c r="G428" s="206"/>
      <c r="H428" s="206"/>
      <c r="I428" s="206"/>
      <c r="J428" s="206" t="str">
        <f t="shared" si="90"/>
        <v/>
      </c>
      <c r="K428" s="206" t="str">
        <f t="shared" si="92"/>
        <v/>
      </c>
      <c r="L428" s="206" t="str">
        <f t="shared" si="93"/>
        <v/>
      </c>
      <c r="M428" s="206" t="str">
        <f t="shared" si="94"/>
        <v/>
      </c>
      <c r="N428" s="206" t="str">
        <f t="shared" si="95"/>
        <v/>
      </c>
      <c r="O428" s="206" t="str">
        <f t="shared" si="96"/>
        <v/>
      </c>
      <c r="P428" s="84" t="str">
        <f t="shared" si="97"/>
        <v/>
      </c>
      <c r="Q428" s="205"/>
      <c r="R428" s="70" t="str">
        <f>IF(S428="IN",'BOM_Phan II'!$Y$3,"")</f>
        <v/>
      </c>
      <c r="S428" s="69" t="str">
        <f t="shared" si="89"/>
        <v/>
      </c>
      <c r="T428">
        <f t="shared" si="98"/>
        <v>3</v>
      </c>
      <c r="U428" t="str">
        <f t="shared" si="101"/>
        <v>KIỆN 14</v>
      </c>
      <c r="V428" t="str">
        <f t="shared" si="99"/>
        <v/>
      </c>
      <c r="W428" s="266"/>
      <c r="X428" s="266"/>
      <c r="Y428" s="266" t="str">
        <f t="shared" si="91"/>
        <v/>
      </c>
      <c r="Z428" s="266"/>
    </row>
    <row r="429" spans="1:26" ht="27" hidden="1" customHeight="1">
      <c r="A429" s="70" t="str">
        <f t="shared" si="87"/>
        <v/>
      </c>
      <c r="B429" s="70" t="str">
        <f t="shared" si="88"/>
        <v/>
      </c>
      <c r="C429" s="204" t="str" cm="1">
        <f t="array" ref="C429">IF(D429="","",
    IF(AND(ISNUMBER(D429), D429=INT(D429)),
        $V$6 &amp; " " &amp; (IFERROR(MAX($Y$12:$Y428), 0) + 1),
        IF(ISNUMBER(SEARCH(".", D429)), "", INDEX($C$12:$C429, MATCH(2, 1/($C$12:$C429 &lt;&gt; ""))))
    )
)</f>
        <v/>
      </c>
      <c r="D429" s="206"/>
      <c r="E429" s="206" t="str">
        <f>IF(AA429 = "", "",
    IF(ISNUMBER(SEARCH("Kiện", C429)),
       " GÓI " &amp; COUNTIF($C$13:C429, "*Kiện*") &amp; "/" &amp; COUNTIF($C$13:$C$1000, "*Kiện*") &amp; " " &amp; AA429,
       AA429)
)</f>
        <v/>
      </c>
      <c r="F429" s="206"/>
      <c r="G429" s="206"/>
      <c r="H429" s="206"/>
      <c r="I429" s="206"/>
      <c r="J429" s="206" t="str">
        <f t="shared" si="90"/>
        <v/>
      </c>
      <c r="K429" s="206" t="str">
        <f t="shared" si="92"/>
        <v/>
      </c>
      <c r="L429" s="206" t="str">
        <f t="shared" si="93"/>
        <v/>
      </c>
      <c r="M429" s="206" t="str">
        <f t="shared" si="94"/>
        <v/>
      </c>
      <c r="N429" s="206" t="str">
        <f t="shared" si="95"/>
        <v/>
      </c>
      <c r="O429" s="206" t="str">
        <f t="shared" si="96"/>
        <v/>
      </c>
      <c r="P429" s="84" t="str">
        <f t="shared" si="97"/>
        <v/>
      </c>
      <c r="Q429" s="205"/>
      <c r="R429" s="70" t="str">
        <f>IF(S429="IN",'BOM_Phan II'!$Y$3,"")</f>
        <v/>
      </c>
      <c r="S429" s="69" t="str">
        <f t="shared" si="89"/>
        <v/>
      </c>
      <c r="T429">
        <f t="shared" si="98"/>
        <v>3</v>
      </c>
      <c r="U429" t="str">
        <f t="shared" si="101"/>
        <v>KIỆN 14</v>
      </c>
      <c r="V429" t="str">
        <f t="shared" si="99"/>
        <v/>
      </c>
      <c r="W429" s="266"/>
      <c r="X429" s="266"/>
      <c r="Y429" s="266" t="str">
        <f t="shared" si="91"/>
        <v/>
      </c>
      <c r="Z429" s="266"/>
    </row>
    <row r="430" spans="1:26" ht="27" hidden="1" customHeight="1">
      <c r="A430" s="70" t="str">
        <f t="shared" si="87"/>
        <v/>
      </c>
      <c r="B430" s="70" t="str">
        <f t="shared" si="88"/>
        <v/>
      </c>
      <c r="C430" s="204" t="str" cm="1">
        <f t="array" ref="C430">IF(D430="","",
    IF(AND(ISNUMBER(D430), D430=INT(D430)),
        $V$6 &amp; " " &amp; (IFERROR(MAX($Y$12:$Y429), 0) + 1),
        IF(ISNUMBER(SEARCH(".", D430)), "", INDEX($C$12:$C430, MATCH(2, 1/($C$12:$C430 &lt;&gt; ""))))
    )
)</f>
        <v/>
      </c>
      <c r="D430" s="206"/>
      <c r="E430" s="206" t="str">
        <f>IF(AA430 = "", "",
    IF(ISNUMBER(SEARCH("Kiện", C430)),
       " GÓI " &amp; COUNTIF($C$13:C430, "*Kiện*") &amp; "/" &amp; COUNTIF($C$13:$C$1000, "*Kiện*") &amp; " " &amp; AA430,
       AA430)
)</f>
        <v/>
      </c>
      <c r="F430" s="206"/>
      <c r="G430" s="206"/>
      <c r="H430" s="206"/>
      <c r="I430" s="206"/>
      <c r="J430" s="206" t="str">
        <f t="shared" si="90"/>
        <v/>
      </c>
      <c r="K430" s="206" t="str">
        <f t="shared" si="92"/>
        <v/>
      </c>
      <c r="L430" s="206" t="str">
        <f t="shared" si="93"/>
        <v/>
      </c>
      <c r="M430" s="206" t="str">
        <f t="shared" si="94"/>
        <v/>
      </c>
      <c r="N430" s="206" t="str">
        <f t="shared" si="95"/>
        <v/>
      </c>
      <c r="O430" s="206" t="str">
        <f t="shared" si="96"/>
        <v/>
      </c>
      <c r="P430" s="84" t="str">
        <f t="shared" si="97"/>
        <v/>
      </c>
      <c r="Q430" s="205"/>
      <c r="R430" s="70" t="str">
        <f>IF(S430="IN",'BOM_Phan II'!$Y$3,"")</f>
        <v/>
      </c>
      <c r="S430" s="69" t="str">
        <f t="shared" si="89"/>
        <v/>
      </c>
      <c r="T430">
        <f t="shared" si="98"/>
        <v>3</v>
      </c>
      <c r="U430" t="str">
        <f t="shared" si="101"/>
        <v>KIỆN 14</v>
      </c>
      <c r="V430" t="str">
        <f t="shared" si="99"/>
        <v/>
      </c>
      <c r="W430" s="266"/>
      <c r="X430" s="266"/>
      <c r="Y430" s="266" t="str">
        <f t="shared" si="91"/>
        <v/>
      </c>
      <c r="Z430" s="266"/>
    </row>
    <row r="431" spans="1:26" ht="27" hidden="1" customHeight="1">
      <c r="A431" s="70" t="str">
        <f t="shared" si="87"/>
        <v/>
      </c>
      <c r="B431" s="70" t="str">
        <f t="shared" si="88"/>
        <v/>
      </c>
      <c r="C431" s="204" t="str" cm="1">
        <f t="array" ref="C431">IF(D431="","",
    IF(AND(ISNUMBER(D431), D431=INT(D431)),
        $V$6 &amp; " " &amp; (IFERROR(MAX($Y$12:$Y430), 0) + 1),
        IF(ISNUMBER(SEARCH(".", D431)), "", INDEX($C$12:$C431, MATCH(2, 1/($C$12:$C431 &lt;&gt; ""))))
    )
)</f>
        <v/>
      </c>
      <c r="D431" s="206"/>
      <c r="E431" s="206" t="str">
        <f>IF(AA431 = "", "",
    IF(ISNUMBER(SEARCH("Kiện", C431)),
       " GÓI " &amp; COUNTIF($C$13:C431, "*Kiện*") &amp; "/" &amp; COUNTIF($C$13:$C$1000, "*Kiện*") &amp; " " &amp; AA431,
       AA431)
)</f>
        <v/>
      </c>
      <c r="F431" s="206"/>
      <c r="G431" s="206"/>
      <c r="H431" s="206"/>
      <c r="I431" s="206"/>
      <c r="J431" s="206" t="str">
        <f t="shared" si="90"/>
        <v/>
      </c>
      <c r="K431" s="206" t="str">
        <f t="shared" si="92"/>
        <v/>
      </c>
      <c r="L431" s="206" t="str">
        <f t="shared" si="93"/>
        <v/>
      </c>
      <c r="M431" s="206" t="str">
        <f t="shared" si="94"/>
        <v/>
      </c>
      <c r="N431" s="206" t="str">
        <f t="shared" si="95"/>
        <v/>
      </c>
      <c r="O431" s="206" t="str">
        <f t="shared" si="96"/>
        <v/>
      </c>
      <c r="P431" s="84" t="str">
        <f t="shared" si="97"/>
        <v/>
      </c>
      <c r="Q431" s="205"/>
      <c r="R431" s="70" t="str">
        <f>IF(S431="IN",'BOM_Phan II'!$Y$3,"")</f>
        <v/>
      </c>
      <c r="S431" s="69" t="str">
        <f t="shared" si="89"/>
        <v/>
      </c>
      <c r="T431">
        <f t="shared" si="98"/>
        <v>3</v>
      </c>
      <c r="U431" t="str">
        <f t="shared" si="101"/>
        <v>KIỆN 14</v>
      </c>
      <c r="V431" t="str">
        <f t="shared" si="99"/>
        <v/>
      </c>
      <c r="W431" s="266"/>
      <c r="X431" s="266"/>
      <c r="Y431" s="266" t="str">
        <f t="shared" si="91"/>
        <v/>
      </c>
      <c r="Z431" s="266"/>
    </row>
    <row r="432" spans="1:26" ht="27" hidden="1" customHeight="1">
      <c r="A432" s="70" t="str">
        <f t="shared" si="87"/>
        <v/>
      </c>
      <c r="B432" s="70" t="str">
        <f t="shared" si="88"/>
        <v/>
      </c>
      <c r="C432" s="204" t="str" cm="1">
        <f t="array" ref="C432">IF(D432="","",
    IF(AND(ISNUMBER(D432), D432=INT(D432)),
        $V$6 &amp; " " &amp; (IFERROR(MAX($Y$12:$Y431), 0) + 1),
        IF(ISNUMBER(SEARCH(".", D432)), "", INDEX($C$12:$C432, MATCH(2, 1/($C$12:$C432 &lt;&gt; ""))))
    )
)</f>
        <v/>
      </c>
      <c r="D432" s="206"/>
      <c r="E432" s="206" t="str">
        <f>IF(AA432 = "", "",
    IF(ISNUMBER(SEARCH("Kiện", C432)),
       " GÓI " &amp; COUNTIF($C$13:C432, "*Kiện*") &amp; "/" &amp; COUNTIF($C$13:$C$1000, "*Kiện*") &amp; " " &amp; AA432,
       AA432)
)</f>
        <v/>
      </c>
      <c r="F432" s="206"/>
      <c r="G432" s="206"/>
      <c r="H432" s="206"/>
      <c r="I432" s="206"/>
      <c r="J432" s="206" t="str">
        <f t="shared" si="90"/>
        <v/>
      </c>
      <c r="K432" s="206" t="str">
        <f t="shared" si="92"/>
        <v/>
      </c>
      <c r="L432" s="206" t="str">
        <f t="shared" si="93"/>
        <v/>
      </c>
      <c r="M432" s="206" t="str">
        <f t="shared" si="94"/>
        <v/>
      </c>
      <c r="N432" s="206" t="str">
        <f t="shared" si="95"/>
        <v/>
      </c>
      <c r="O432" s="206" t="str">
        <f t="shared" si="96"/>
        <v/>
      </c>
      <c r="P432" s="84" t="str">
        <f t="shared" si="97"/>
        <v/>
      </c>
      <c r="Q432" s="205"/>
      <c r="R432" s="70" t="str">
        <f>IF(S432="IN",'BOM_Phan II'!$Y$3,"")</f>
        <v/>
      </c>
      <c r="S432" s="69" t="str">
        <f t="shared" si="89"/>
        <v/>
      </c>
      <c r="T432">
        <f t="shared" si="98"/>
        <v>3</v>
      </c>
      <c r="U432" t="str">
        <f t="shared" si="101"/>
        <v>KIỆN 14</v>
      </c>
      <c r="V432" t="str">
        <f t="shared" si="99"/>
        <v/>
      </c>
      <c r="W432" s="266"/>
      <c r="X432" s="266"/>
      <c r="Y432" s="266" t="str">
        <f t="shared" si="91"/>
        <v/>
      </c>
      <c r="Z432" s="266"/>
    </row>
    <row r="433" spans="1:26" ht="27" hidden="1" customHeight="1">
      <c r="A433" s="70" t="str">
        <f t="shared" si="87"/>
        <v/>
      </c>
      <c r="B433" s="70" t="str">
        <f t="shared" si="88"/>
        <v/>
      </c>
      <c r="C433" s="204" t="str" cm="1">
        <f t="array" ref="C433">IF(D433="","",
    IF(AND(ISNUMBER(D433), D433=INT(D433)),
        $V$6 &amp; " " &amp; (IFERROR(MAX($Y$12:$Y432), 0) + 1),
        IF(ISNUMBER(SEARCH(".", D433)), "", INDEX($C$12:$C433, MATCH(2, 1/($C$12:$C433 &lt;&gt; ""))))
    )
)</f>
        <v/>
      </c>
      <c r="D433" s="206"/>
      <c r="E433" s="206" t="str">
        <f>IF(AA433 = "", "",
    IF(ISNUMBER(SEARCH("Kiện", C433)),
       " GÓI " &amp; COUNTIF($C$13:C433, "*Kiện*") &amp; "/" &amp; COUNTIF($C$13:$C$1000, "*Kiện*") &amp; " " &amp; AA433,
       AA433)
)</f>
        <v/>
      </c>
      <c r="F433" s="206"/>
      <c r="G433" s="206"/>
      <c r="H433" s="206"/>
      <c r="I433" s="206"/>
      <c r="J433" s="206" t="str">
        <f t="shared" si="90"/>
        <v/>
      </c>
      <c r="K433" s="206" t="str">
        <f t="shared" si="92"/>
        <v/>
      </c>
      <c r="L433" s="206" t="str">
        <f t="shared" si="93"/>
        <v/>
      </c>
      <c r="M433" s="206" t="str">
        <f t="shared" si="94"/>
        <v/>
      </c>
      <c r="N433" s="206" t="str">
        <f t="shared" si="95"/>
        <v/>
      </c>
      <c r="O433" s="206" t="str">
        <f t="shared" si="96"/>
        <v/>
      </c>
      <c r="P433" s="84" t="str">
        <f t="shared" si="97"/>
        <v/>
      </c>
      <c r="Q433" s="205"/>
      <c r="R433" s="70" t="str">
        <f>IF(S433="IN",'BOM_Phan II'!$Y$3,"")</f>
        <v/>
      </c>
      <c r="S433" s="69" t="str">
        <f t="shared" si="89"/>
        <v/>
      </c>
      <c r="T433">
        <f t="shared" si="98"/>
        <v>3</v>
      </c>
      <c r="U433" t="str">
        <f t="shared" si="101"/>
        <v>KIỆN 14</v>
      </c>
      <c r="V433" t="str">
        <f t="shared" si="99"/>
        <v/>
      </c>
      <c r="W433" s="266"/>
      <c r="X433" s="266"/>
      <c r="Y433" s="266" t="str">
        <f t="shared" si="91"/>
        <v/>
      </c>
      <c r="Z433" s="266"/>
    </row>
    <row r="434" spans="1:26" ht="27" hidden="1" customHeight="1">
      <c r="A434" s="70" t="str">
        <f t="shared" si="87"/>
        <v/>
      </c>
      <c r="B434" s="70" t="str">
        <f t="shared" si="88"/>
        <v/>
      </c>
      <c r="C434" s="204" t="str" cm="1">
        <f t="array" ref="C434">IF(D434="","",
    IF(AND(ISNUMBER(D434), D434=INT(D434)),
        $V$6 &amp; " " &amp; (IFERROR(MAX($Y$12:$Y433), 0) + 1),
        IF(ISNUMBER(SEARCH(".", D434)), "", INDEX($C$12:$C434, MATCH(2, 1/($C$12:$C434 &lt;&gt; ""))))
    )
)</f>
        <v/>
      </c>
      <c r="D434" s="206"/>
      <c r="E434" s="206" t="str">
        <f>IF(AA434 = "", "",
    IF(ISNUMBER(SEARCH("Kiện", C434)),
       " GÓI " &amp; COUNTIF($C$13:C434, "*Kiện*") &amp; "/" &amp; COUNTIF($C$13:$C$1000, "*Kiện*") &amp; " " &amp; AA434,
       AA434)
)</f>
        <v/>
      </c>
      <c r="F434" s="206"/>
      <c r="G434" s="206"/>
      <c r="H434" s="206"/>
      <c r="I434" s="206"/>
      <c r="J434" s="206" t="str">
        <f t="shared" si="90"/>
        <v/>
      </c>
      <c r="K434" s="206" t="str">
        <f t="shared" si="92"/>
        <v/>
      </c>
      <c r="L434" s="206" t="str">
        <f t="shared" si="93"/>
        <v/>
      </c>
      <c r="M434" s="206" t="str">
        <f t="shared" si="94"/>
        <v/>
      </c>
      <c r="N434" s="206" t="str">
        <f t="shared" si="95"/>
        <v/>
      </c>
      <c r="O434" s="206" t="str">
        <f t="shared" si="96"/>
        <v/>
      </c>
      <c r="P434" s="84" t="str">
        <f t="shared" si="97"/>
        <v/>
      </c>
      <c r="Q434" s="205"/>
      <c r="R434" s="70" t="str">
        <f>IF(S434="IN",'BOM_Phan II'!$Y$3,"")</f>
        <v/>
      </c>
      <c r="S434" s="69" t="str">
        <f t="shared" si="89"/>
        <v/>
      </c>
      <c r="T434">
        <f t="shared" si="98"/>
        <v>3</v>
      </c>
      <c r="U434" t="str">
        <f t="shared" si="101"/>
        <v>KIỆN 14</v>
      </c>
      <c r="V434" t="str">
        <f t="shared" si="99"/>
        <v/>
      </c>
      <c r="W434" s="266"/>
      <c r="X434" s="266"/>
      <c r="Y434" s="266" t="str">
        <f t="shared" si="91"/>
        <v/>
      </c>
      <c r="Z434" s="266"/>
    </row>
    <row r="435" spans="1:26" ht="27" hidden="1" customHeight="1">
      <c r="A435" s="70" t="str">
        <f t="shared" si="87"/>
        <v/>
      </c>
      <c r="B435" s="70" t="str">
        <f t="shared" si="88"/>
        <v/>
      </c>
      <c r="C435" s="204" t="str" cm="1">
        <f t="array" ref="C435">IF(D435="","",
    IF(AND(ISNUMBER(D435), D435=INT(D435)),
        $V$6 &amp; " " &amp; (IFERROR(MAX($Y$12:$Y434), 0) + 1),
        IF(ISNUMBER(SEARCH(".", D435)), "", INDEX($C$12:$C435, MATCH(2, 1/($C$12:$C435 &lt;&gt; ""))))
    )
)</f>
        <v/>
      </c>
      <c r="D435" s="206"/>
      <c r="E435" s="206" t="str">
        <f>IF(AA435 = "", "",
    IF(ISNUMBER(SEARCH("Kiện", C435)),
       " GÓI " &amp; COUNTIF($C$13:C435, "*Kiện*") &amp; "/" &amp; COUNTIF($C$13:$C$1000, "*Kiện*") &amp; " " &amp; AA435,
       AA435)
)</f>
        <v/>
      </c>
      <c r="F435" s="206"/>
      <c r="G435" s="206"/>
      <c r="H435" s="206"/>
      <c r="I435" s="206"/>
      <c r="J435" s="206" t="str">
        <f t="shared" si="90"/>
        <v/>
      </c>
      <c r="K435" s="206" t="str">
        <f t="shared" si="92"/>
        <v/>
      </c>
      <c r="L435" s="206" t="str">
        <f t="shared" si="93"/>
        <v/>
      </c>
      <c r="M435" s="206" t="str">
        <f t="shared" si="94"/>
        <v/>
      </c>
      <c r="N435" s="206" t="str">
        <f t="shared" si="95"/>
        <v/>
      </c>
      <c r="O435" s="206" t="str">
        <f t="shared" si="96"/>
        <v/>
      </c>
      <c r="P435" s="84" t="str">
        <f t="shared" si="97"/>
        <v/>
      </c>
      <c r="Q435" s="205"/>
      <c r="R435" s="70" t="str">
        <f>IF(S435="IN",'BOM_Phan II'!$Y$3,"")</f>
        <v/>
      </c>
      <c r="S435" s="69" t="str">
        <f t="shared" si="89"/>
        <v/>
      </c>
      <c r="T435">
        <f t="shared" si="98"/>
        <v>3</v>
      </c>
      <c r="U435" t="str">
        <f t="shared" si="101"/>
        <v>KIỆN 14</v>
      </c>
      <c r="V435" t="str">
        <f t="shared" si="99"/>
        <v/>
      </c>
      <c r="W435" s="266"/>
      <c r="X435" s="266"/>
      <c r="Y435" s="266" t="str">
        <f t="shared" si="91"/>
        <v/>
      </c>
      <c r="Z435" s="266"/>
    </row>
    <row r="436" spans="1:26" ht="27" hidden="1" customHeight="1">
      <c r="A436" s="70" t="str">
        <f t="shared" si="87"/>
        <v/>
      </c>
      <c r="B436" s="70" t="str">
        <f t="shared" si="88"/>
        <v/>
      </c>
      <c r="C436" s="204" t="str" cm="1">
        <f t="array" ref="C436">IF(D436="","",
    IF(AND(ISNUMBER(D436), D436=INT(D436)),
        $V$6 &amp; " " &amp; (IFERROR(MAX($Y$12:$Y435), 0) + 1),
        IF(ISNUMBER(SEARCH(".", D436)), "", INDEX($C$12:$C436, MATCH(2, 1/($C$12:$C436 &lt;&gt; ""))))
    )
)</f>
        <v/>
      </c>
      <c r="D436" s="206"/>
      <c r="E436" s="206" t="str">
        <f>IF(AA436 = "", "",
    IF(ISNUMBER(SEARCH("Kiện", C436)),
       " GÓI " &amp; COUNTIF($C$13:C436, "*Kiện*") &amp; "/" &amp; COUNTIF($C$13:$C$1000, "*Kiện*") &amp; " " &amp; AA436,
       AA436)
)</f>
        <v/>
      </c>
      <c r="F436" s="206"/>
      <c r="G436" s="206"/>
      <c r="H436" s="206"/>
      <c r="I436" s="206"/>
      <c r="J436" s="206" t="str">
        <f t="shared" si="90"/>
        <v/>
      </c>
      <c r="K436" s="206" t="str">
        <f t="shared" si="92"/>
        <v/>
      </c>
      <c r="L436" s="206" t="str">
        <f t="shared" si="93"/>
        <v/>
      </c>
      <c r="M436" s="206" t="str">
        <f t="shared" si="94"/>
        <v/>
      </c>
      <c r="N436" s="206" t="str">
        <f t="shared" si="95"/>
        <v/>
      </c>
      <c r="O436" s="206" t="str">
        <f t="shared" si="96"/>
        <v/>
      </c>
      <c r="P436" s="84" t="str">
        <f t="shared" si="97"/>
        <v/>
      </c>
      <c r="Q436" s="205"/>
      <c r="R436" s="70" t="str">
        <f>IF(S436="IN",'BOM_Phan II'!$Y$3,"")</f>
        <v/>
      </c>
      <c r="S436" s="69" t="str">
        <f t="shared" si="89"/>
        <v/>
      </c>
      <c r="T436">
        <f t="shared" si="98"/>
        <v>3</v>
      </c>
      <c r="U436" t="str">
        <f t="shared" si="101"/>
        <v>KIỆN 14</v>
      </c>
      <c r="V436" t="str">
        <f t="shared" si="99"/>
        <v/>
      </c>
      <c r="W436" s="266"/>
      <c r="X436" s="266"/>
      <c r="Y436" s="266" t="str">
        <f t="shared" si="91"/>
        <v/>
      </c>
      <c r="Z436" s="266"/>
    </row>
    <row r="437" spans="1:26" ht="27" hidden="1" customHeight="1">
      <c r="A437" s="70" t="str">
        <f t="shared" si="87"/>
        <v/>
      </c>
      <c r="B437" s="70" t="str">
        <f t="shared" si="88"/>
        <v/>
      </c>
      <c r="C437" s="204" t="str" cm="1">
        <f t="array" ref="C437">IF(D437="","",
    IF(AND(ISNUMBER(D437), D437=INT(D437)),
        $V$6 &amp; " " &amp; (IFERROR(MAX($Y$12:$Y436), 0) + 1),
        IF(ISNUMBER(SEARCH(".", D437)), "", INDEX($C$12:$C437, MATCH(2, 1/($C$12:$C437 &lt;&gt; ""))))
    )
)</f>
        <v/>
      </c>
      <c r="D437" s="206"/>
      <c r="E437" s="206" t="str">
        <f>IF(AA437 = "", "",
    IF(ISNUMBER(SEARCH("Kiện", C437)),
       " GÓI " &amp; COUNTIF($C$13:C437, "*Kiện*") &amp; "/" &amp; COUNTIF($C$13:$C$1000, "*Kiện*") &amp; " " &amp; AA437,
       AA437)
)</f>
        <v/>
      </c>
      <c r="F437" s="206"/>
      <c r="G437" s="206"/>
      <c r="H437" s="206"/>
      <c r="I437" s="206"/>
      <c r="J437" s="206" t="str">
        <f t="shared" si="90"/>
        <v/>
      </c>
      <c r="K437" s="206" t="str">
        <f t="shared" si="92"/>
        <v/>
      </c>
      <c r="L437" s="206" t="str">
        <f t="shared" si="93"/>
        <v/>
      </c>
      <c r="M437" s="206" t="str">
        <f t="shared" si="94"/>
        <v/>
      </c>
      <c r="N437" s="206" t="str">
        <f t="shared" si="95"/>
        <v/>
      </c>
      <c r="O437" s="206" t="str">
        <f t="shared" si="96"/>
        <v/>
      </c>
      <c r="P437" s="84" t="str">
        <f t="shared" si="97"/>
        <v/>
      </c>
      <c r="Q437" s="205"/>
      <c r="R437" s="70" t="str">
        <f>IF(S437="IN",'BOM_Phan II'!$Y$3,"")</f>
        <v/>
      </c>
      <c r="S437" s="69" t="str">
        <f t="shared" si="89"/>
        <v/>
      </c>
      <c r="T437">
        <f t="shared" si="98"/>
        <v>3</v>
      </c>
      <c r="U437" t="str">
        <f t="shared" si="101"/>
        <v>KIỆN 14</v>
      </c>
      <c r="V437" t="str">
        <f t="shared" si="99"/>
        <v/>
      </c>
      <c r="W437" s="266"/>
      <c r="X437" s="266"/>
      <c r="Y437" s="266" t="str">
        <f t="shared" si="91"/>
        <v/>
      </c>
      <c r="Z437" s="266"/>
    </row>
    <row r="438" spans="1:26" ht="27" hidden="1" customHeight="1">
      <c r="A438" s="70" t="str">
        <f t="shared" si="87"/>
        <v/>
      </c>
      <c r="B438" s="70" t="str">
        <f t="shared" si="88"/>
        <v/>
      </c>
      <c r="C438" s="204" t="str" cm="1">
        <f t="array" ref="C438">IF(D438="","",
    IF(AND(ISNUMBER(D438), D438=INT(D438)),
        $V$6 &amp; " " &amp; (IFERROR(MAX($Y$12:$Y437), 0) + 1),
        IF(ISNUMBER(SEARCH(".", D438)), "", INDEX($C$12:$C438, MATCH(2, 1/($C$12:$C438 &lt;&gt; ""))))
    )
)</f>
        <v/>
      </c>
      <c r="D438" s="206"/>
      <c r="E438" s="206" t="str">
        <f>IF(AA438 = "", "",
    IF(ISNUMBER(SEARCH("Kiện", C438)),
       " GÓI " &amp; COUNTIF($C$13:C438, "*Kiện*") &amp; "/" &amp; COUNTIF($C$13:$C$1000, "*Kiện*") &amp; " " &amp; AA438,
       AA438)
)</f>
        <v/>
      </c>
      <c r="F438" s="206"/>
      <c r="G438" s="206"/>
      <c r="H438" s="206"/>
      <c r="I438" s="206"/>
      <c r="J438" s="206" t="str">
        <f t="shared" si="90"/>
        <v/>
      </c>
      <c r="K438" s="206" t="str">
        <f t="shared" si="92"/>
        <v/>
      </c>
      <c r="L438" s="206" t="str">
        <f t="shared" si="93"/>
        <v/>
      </c>
      <c r="M438" s="206" t="str">
        <f t="shared" si="94"/>
        <v/>
      </c>
      <c r="N438" s="206" t="str">
        <f t="shared" si="95"/>
        <v/>
      </c>
      <c r="O438" s="206" t="str">
        <f t="shared" si="96"/>
        <v/>
      </c>
      <c r="P438" s="84" t="str">
        <f t="shared" si="97"/>
        <v/>
      </c>
      <c r="Q438" s="205"/>
      <c r="R438" s="70" t="str">
        <f>IF(S438="IN",'BOM_Phan II'!$Y$3,"")</f>
        <v/>
      </c>
      <c r="S438" s="69" t="str">
        <f t="shared" si="89"/>
        <v/>
      </c>
      <c r="T438">
        <f t="shared" si="98"/>
        <v>3</v>
      </c>
      <c r="U438" t="str">
        <f t="shared" si="101"/>
        <v>KIỆN 14</v>
      </c>
      <c r="V438" t="str">
        <f t="shared" si="99"/>
        <v/>
      </c>
      <c r="W438" s="266"/>
      <c r="X438" s="266"/>
      <c r="Y438" s="266" t="str">
        <f t="shared" si="91"/>
        <v/>
      </c>
      <c r="Z438" s="266"/>
    </row>
    <row r="439" spans="1:26" ht="27" hidden="1" customHeight="1">
      <c r="A439" s="70" t="str">
        <f t="shared" si="87"/>
        <v/>
      </c>
      <c r="B439" s="70" t="str">
        <f t="shared" si="88"/>
        <v/>
      </c>
      <c r="C439" s="204" t="str" cm="1">
        <f t="array" ref="C439">IF(D439="","",
    IF(AND(ISNUMBER(D439), D439=INT(D439)),
        $V$6 &amp; " " &amp; (IFERROR(MAX($Y$12:$Y438), 0) + 1),
        IF(ISNUMBER(SEARCH(".", D439)), "", INDEX($C$12:$C439, MATCH(2, 1/($C$12:$C439 &lt;&gt; ""))))
    )
)</f>
        <v/>
      </c>
      <c r="D439" s="206"/>
      <c r="E439" s="206" t="str">
        <f>IF(AA439 = "", "",
    IF(ISNUMBER(SEARCH("Kiện", C439)),
       " GÓI " &amp; COUNTIF($C$13:C439, "*Kiện*") &amp; "/" &amp; COUNTIF($C$13:$C$1000, "*Kiện*") &amp; " " &amp; AA439,
       AA439)
)</f>
        <v/>
      </c>
      <c r="F439" s="206"/>
      <c r="G439" s="206"/>
      <c r="H439" s="206"/>
      <c r="I439" s="206"/>
      <c r="J439" s="206" t="str">
        <f t="shared" si="90"/>
        <v/>
      </c>
      <c r="K439" s="206" t="str">
        <f t="shared" si="92"/>
        <v/>
      </c>
      <c r="L439" s="206" t="str">
        <f t="shared" si="93"/>
        <v/>
      </c>
      <c r="M439" s="206" t="str">
        <f t="shared" si="94"/>
        <v/>
      </c>
      <c r="N439" s="206" t="str">
        <f t="shared" si="95"/>
        <v/>
      </c>
      <c r="O439" s="206" t="str">
        <f t="shared" si="96"/>
        <v/>
      </c>
      <c r="P439" s="84" t="str">
        <f t="shared" si="97"/>
        <v/>
      </c>
      <c r="Q439" s="205"/>
      <c r="R439" s="70" t="str">
        <f>IF(S439="IN",'BOM_Phan II'!$Y$3,"")</f>
        <v/>
      </c>
      <c r="S439" s="69" t="str">
        <f t="shared" si="89"/>
        <v/>
      </c>
      <c r="T439">
        <f t="shared" si="98"/>
        <v>3</v>
      </c>
      <c r="U439" t="str">
        <f t="shared" si="101"/>
        <v>KIỆN 14</v>
      </c>
      <c r="V439" t="str">
        <f t="shared" si="99"/>
        <v/>
      </c>
      <c r="W439" s="266"/>
      <c r="X439" s="266"/>
      <c r="Y439" s="266" t="str">
        <f t="shared" si="91"/>
        <v/>
      </c>
      <c r="Z439" s="266"/>
    </row>
    <row r="440" spans="1:26" ht="27" hidden="1" customHeight="1">
      <c r="A440" s="70" t="str">
        <f t="shared" si="87"/>
        <v/>
      </c>
      <c r="B440" s="70" t="str">
        <f t="shared" si="88"/>
        <v/>
      </c>
      <c r="C440" s="204" t="str" cm="1">
        <f t="array" ref="C440">IF(D440="","",
    IF(AND(ISNUMBER(D440), D440=INT(D440)),
        $V$6 &amp; " " &amp; (IFERROR(MAX($Y$12:$Y439), 0) + 1),
        IF(ISNUMBER(SEARCH(".", D440)), "", INDEX($C$12:$C440, MATCH(2, 1/($C$12:$C440 &lt;&gt; ""))))
    )
)</f>
        <v/>
      </c>
      <c r="D440" s="206"/>
      <c r="E440" s="206" t="str">
        <f>IF(AA440 = "", "",
    IF(ISNUMBER(SEARCH("Kiện", C440)),
       " GÓI " &amp; COUNTIF($C$13:C440, "*Kiện*") &amp; "/" &amp; COUNTIF($C$13:$C$1000, "*Kiện*") &amp; " " &amp; AA440,
       AA440)
)</f>
        <v/>
      </c>
      <c r="F440" s="206"/>
      <c r="G440" s="206"/>
      <c r="H440" s="206"/>
      <c r="I440" s="206"/>
      <c r="J440" s="206" t="str">
        <f t="shared" si="90"/>
        <v/>
      </c>
      <c r="K440" s="206" t="str">
        <f t="shared" si="92"/>
        <v/>
      </c>
      <c r="L440" s="206" t="str">
        <f t="shared" si="93"/>
        <v/>
      </c>
      <c r="M440" s="206" t="str">
        <f t="shared" si="94"/>
        <v/>
      </c>
      <c r="N440" s="206" t="str">
        <f t="shared" si="95"/>
        <v/>
      </c>
      <c r="O440" s="206" t="str">
        <f t="shared" si="96"/>
        <v/>
      </c>
      <c r="P440" s="84" t="str">
        <f t="shared" si="97"/>
        <v/>
      </c>
      <c r="Q440" s="205"/>
      <c r="R440" s="70" t="str">
        <f>IF(S440="IN",'BOM_Phan II'!$Y$3,"")</f>
        <v/>
      </c>
      <c r="S440" s="69" t="str">
        <f t="shared" si="89"/>
        <v/>
      </c>
      <c r="T440">
        <f t="shared" si="98"/>
        <v>3</v>
      </c>
      <c r="U440" t="str">
        <f t="shared" si="101"/>
        <v>KIỆN 14</v>
      </c>
      <c r="V440" t="str">
        <f t="shared" si="99"/>
        <v/>
      </c>
      <c r="W440" s="266"/>
      <c r="X440" s="266"/>
      <c r="Y440" s="266" t="str">
        <f t="shared" si="91"/>
        <v/>
      </c>
      <c r="Z440" s="266"/>
    </row>
    <row r="441" spans="1:26" ht="27" hidden="1" customHeight="1">
      <c r="A441" s="70" t="str">
        <f t="shared" si="87"/>
        <v/>
      </c>
      <c r="B441" s="70" t="str">
        <f t="shared" si="88"/>
        <v/>
      </c>
      <c r="C441" s="204" t="str" cm="1">
        <f t="array" ref="C441">IF(D441="","",
    IF(AND(ISNUMBER(D441), D441=INT(D441)),
        $V$6 &amp; " " &amp; (IFERROR(MAX($Y$12:$Y440), 0) + 1),
        IF(ISNUMBER(SEARCH(".", D441)), "", INDEX($C$12:$C441, MATCH(2, 1/($C$12:$C441 &lt;&gt; ""))))
    )
)</f>
        <v/>
      </c>
      <c r="D441" s="206"/>
      <c r="E441" s="206" t="str">
        <f>IF(AA441 = "", "",
    IF(ISNUMBER(SEARCH("Kiện", C441)),
       " GÓI " &amp; COUNTIF($C$13:C441, "*Kiện*") &amp; "/" &amp; COUNTIF($C$13:$C$1000, "*Kiện*") &amp; " " &amp; AA441,
       AA441)
)</f>
        <v/>
      </c>
      <c r="F441" s="206"/>
      <c r="G441" s="206"/>
      <c r="H441" s="206"/>
      <c r="I441" s="206"/>
      <c r="J441" s="206" t="str">
        <f t="shared" si="90"/>
        <v/>
      </c>
      <c r="K441" s="206" t="str">
        <f t="shared" si="92"/>
        <v/>
      </c>
      <c r="L441" s="206" t="str">
        <f t="shared" si="93"/>
        <v/>
      </c>
      <c r="M441" s="206" t="str">
        <f t="shared" si="94"/>
        <v/>
      </c>
      <c r="N441" s="206" t="str">
        <f t="shared" si="95"/>
        <v/>
      </c>
      <c r="O441" s="206" t="str">
        <f t="shared" si="96"/>
        <v/>
      </c>
      <c r="P441" s="84" t="str">
        <f t="shared" si="97"/>
        <v/>
      </c>
      <c r="Q441" s="205"/>
      <c r="R441" s="70" t="str">
        <f>IF(S441="IN",'BOM_Phan II'!$Y$3,"")</f>
        <v/>
      </c>
      <c r="S441" s="69" t="str">
        <f t="shared" si="89"/>
        <v/>
      </c>
      <c r="T441">
        <f t="shared" si="98"/>
        <v>3</v>
      </c>
      <c r="U441" t="str">
        <f t="shared" si="101"/>
        <v>KIỆN 14</v>
      </c>
      <c r="V441" t="str">
        <f t="shared" si="99"/>
        <v/>
      </c>
      <c r="W441" s="266"/>
      <c r="X441" s="266"/>
      <c r="Y441" s="266" t="str">
        <f t="shared" si="91"/>
        <v/>
      </c>
      <c r="Z441" s="266"/>
    </row>
    <row r="442" spans="1:26" ht="27" hidden="1" customHeight="1">
      <c r="A442" s="70" t="str">
        <f t="shared" si="87"/>
        <v/>
      </c>
      <c r="B442" s="70" t="str">
        <f t="shared" si="88"/>
        <v/>
      </c>
      <c r="C442" s="204" t="str" cm="1">
        <f t="array" ref="C442">IF(D442="","",
    IF(AND(ISNUMBER(D442), D442=INT(D442)),
        $V$6 &amp; " " &amp; (IFERROR(MAX($Y$12:$Y441), 0) + 1),
        IF(ISNUMBER(SEARCH(".", D442)), "", INDEX($C$12:$C442, MATCH(2, 1/($C$12:$C442 &lt;&gt; ""))))
    )
)</f>
        <v/>
      </c>
      <c r="D442" s="206"/>
      <c r="E442" s="206" t="str">
        <f>IF(AA442 = "", "",
    IF(ISNUMBER(SEARCH("Kiện", C442)),
       " GÓI " &amp; COUNTIF($C$13:C442, "*Kiện*") &amp; "/" &amp; COUNTIF($C$13:$C$1000, "*Kiện*") &amp; " " &amp; AA442,
       AA442)
)</f>
        <v/>
      </c>
      <c r="F442" s="206"/>
      <c r="G442" s="206"/>
      <c r="H442" s="206"/>
      <c r="I442" s="206"/>
      <c r="J442" s="206" t="str">
        <f t="shared" si="90"/>
        <v/>
      </c>
      <c r="K442" s="206" t="str">
        <f t="shared" si="92"/>
        <v/>
      </c>
      <c r="L442" s="206" t="str">
        <f t="shared" si="93"/>
        <v/>
      </c>
      <c r="M442" s="206" t="str">
        <f t="shared" si="94"/>
        <v/>
      </c>
      <c r="N442" s="206" t="str">
        <f t="shared" si="95"/>
        <v/>
      </c>
      <c r="O442" s="206" t="str">
        <f t="shared" si="96"/>
        <v/>
      </c>
      <c r="P442" s="84" t="str">
        <f t="shared" si="97"/>
        <v/>
      </c>
      <c r="Q442" s="205"/>
      <c r="R442" s="70" t="str">
        <f>IF(S442="IN",'BOM_Phan II'!$Y$3,"")</f>
        <v/>
      </c>
      <c r="S442" s="69" t="str">
        <f t="shared" si="89"/>
        <v/>
      </c>
      <c r="T442">
        <f t="shared" si="98"/>
        <v>3</v>
      </c>
      <c r="U442" t="str">
        <f t="shared" si="101"/>
        <v>KIỆN 14</v>
      </c>
      <c r="V442" t="str">
        <f t="shared" si="99"/>
        <v/>
      </c>
      <c r="W442" s="266"/>
      <c r="X442" s="266"/>
      <c r="Y442" s="266" t="str">
        <f t="shared" si="91"/>
        <v/>
      </c>
      <c r="Z442" s="266"/>
    </row>
    <row r="443" spans="1:26" ht="27" hidden="1" customHeight="1">
      <c r="A443" s="70" t="str">
        <f t="shared" si="87"/>
        <v/>
      </c>
      <c r="B443" s="70" t="str">
        <f t="shared" si="88"/>
        <v/>
      </c>
      <c r="C443" s="204" t="str" cm="1">
        <f t="array" ref="C443">IF(D443="","",
    IF(AND(ISNUMBER(D443), D443=INT(D443)),
        $V$6 &amp; " " &amp; (IFERROR(MAX($Y$12:$Y442), 0) + 1),
        IF(ISNUMBER(SEARCH(".", D443)), "", INDEX($C$12:$C443, MATCH(2, 1/($C$12:$C443 &lt;&gt; ""))))
    )
)</f>
        <v/>
      </c>
      <c r="D443" s="206"/>
      <c r="E443" s="206" t="str">
        <f>IF(AA443 = "", "",
    IF(ISNUMBER(SEARCH("Kiện", C443)),
       " GÓI " &amp; COUNTIF($C$13:C443, "*Kiện*") &amp; "/" &amp; COUNTIF($C$13:$C$1000, "*Kiện*") &amp; " " &amp; AA443,
       AA443)
)</f>
        <v/>
      </c>
      <c r="F443" s="206"/>
      <c r="G443" s="206"/>
      <c r="H443" s="206"/>
      <c r="I443" s="206"/>
      <c r="J443" s="206" t="str">
        <f t="shared" si="90"/>
        <v/>
      </c>
      <c r="K443" s="206" t="str">
        <f t="shared" si="92"/>
        <v/>
      </c>
      <c r="L443" s="206" t="str">
        <f t="shared" si="93"/>
        <v/>
      </c>
      <c r="M443" s="206" t="str">
        <f t="shared" si="94"/>
        <v/>
      </c>
      <c r="N443" s="206" t="str">
        <f t="shared" si="95"/>
        <v/>
      </c>
      <c r="O443" s="206" t="str">
        <f t="shared" si="96"/>
        <v/>
      </c>
      <c r="P443" s="84" t="str">
        <f t="shared" si="97"/>
        <v/>
      </c>
      <c r="Q443" s="205"/>
      <c r="R443" s="70" t="str">
        <f>IF(S443="IN",'BOM_Phan II'!$Y$3,"")</f>
        <v/>
      </c>
      <c r="S443" s="69" t="str">
        <f t="shared" si="89"/>
        <v/>
      </c>
      <c r="T443">
        <f t="shared" si="98"/>
        <v>3</v>
      </c>
      <c r="U443" t="str">
        <f t="shared" si="101"/>
        <v>KIỆN 14</v>
      </c>
      <c r="V443" t="str">
        <f t="shared" si="99"/>
        <v/>
      </c>
      <c r="W443" s="266"/>
      <c r="X443" s="266"/>
      <c r="Y443" s="266" t="str">
        <f t="shared" si="91"/>
        <v/>
      </c>
      <c r="Z443" s="266"/>
    </row>
    <row r="444" spans="1:26" ht="27" hidden="1" customHeight="1">
      <c r="A444" s="70" t="str">
        <f t="shared" si="87"/>
        <v/>
      </c>
      <c r="B444" s="70" t="str">
        <f t="shared" si="88"/>
        <v/>
      </c>
      <c r="C444" s="204" t="str" cm="1">
        <f t="array" ref="C444">IF(D444="","",
    IF(AND(ISNUMBER(D444), D444=INT(D444)),
        $V$6 &amp; " " &amp; (IFERROR(MAX($Y$12:$Y443), 0) + 1),
        IF(ISNUMBER(SEARCH(".", D444)), "", INDEX($C$12:$C444, MATCH(2, 1/($C$12:$C444 &lt;&gt; ""))))
    )
)</f>
        <v/>
      </c>
      <c r="D444" s="206"/>
      <c r="E444" s="206" t="str">
        <f>IF(AA444 = "", "",
    IF(ISNUMBER(SEARCH("Kiện", C444)),
       " GÓI " &amp; COUNTIF($C$13:C444, "*Kiện*") &amp; "/" &amp; COUNTIF($C$13:$C$1000, "*Kiện*") &amp; " " &amp; AA444,
       AA444)
)</f>
        <v/>
      </c>
      <c r="F444" s="206"/>
      <c r="G444" s="206"/>
      <c r="H444" s="206"/>
      <c r="I444" s="206"/>
      <c r="J444" s="206" t="str">
        <f t="shared" si="90"/>
        <v/>
      </c>
      <c r="K444" s="206" t="str">
        <f t="shared" si="92"/>
        <v/>
      </c>
      <c r="L444" s="206" t="str">
        <f t="shared" si="93"/>
        <v/>
      </c>
      <c r="M444" s="206" t="str">
        <f t="shared" si="94"/>
        <v/>
      </c>
      <c r="N444" s="206" t="str">
        <f t="shared" si="95"/>
        <v/>
      </c>
      <c r="O444" s="206" t="str">
        <f t="shared" si="96"/>
        <v/>
      </c>
      <c r="P444" s="84" t="str">
        <f t="shared" si="97"/>
        <v/>
      </c>
      <c r="Q444" s="205"/>
      <c r="R444" s="70" t="str">
        <f>IF(S444="IN",'BOM_Phan II'!$Y$3,"")</f>
        <v/>
      </c>
      <c r="S444" s="69" t="str">
        <f t="shared" si="89"/>
        <v/>
      </c>
      <c r="T444">
        <f t="shared" si="98"/>
        <v>3</v>
      </c>
      <c r="U444" t="str">
        <f t="shared" si="101"/>
        <v>KIỆN 14</v>
      </c>
      <c r="V444" t="str">
        <f t="shared" si="99"/>
        <v/>
      </c>
      <c r="W444" s="266"/>
      <c r="X444" s="266"/>
      <c r="Y444" s="266" t="str">
        <f t="shared" si="91"/>
        <v/>
      </c>
      <c r="Z444" s="266"/>
    </row>
    <row r="445" spans="1:26" ht="27" hidden="1" customHeight="1">
      <c r="A445" s="70" t="str">
        <f t="shared" si="87"/>
        <v/>
      </c>
      <c r="B445" s="70" t="str">
        <f t="shared" si="88"/>
        <v/>
      </c>
      <c r="C445" s="204" t="str" cm="1">
        <f t="array" ref="C445">IF(D445="","",
    IF(AND(ISNUMBER(D445), D445=INT(D445)),
        $V$6 &amp; " " &amp; (IFERROR(MAX($Y$12:$Y444), 0) + 1),
        IF(ISNUMBER(SEARCH(".", D445)), "", INDEX($C$12:$C445, MATCH(2, 1/($C$12:$C445 &lt;&gt; ""))))
    )
)</f>
        <v/>
      </c>
      <c r="D445" s="206"/>
      <c r="E445" s="206" t="str">
        <f>IF(AA445 = "", "",
    IF(ISNUMBER(SEARCH("Kiện", C445)),
       " GÓI " &amp; COUNTIF($C$13:C445, "*Kiện*") &amp; "/" &amp; COUNTIF($C$13:$C$1000, "*Kiện*") &amp; " " &amp; AA445,
       AA445)
)</f>
        <v/>
      </c>
      <c r="F445" s="206"/>
      <c r="G445" s="206"/>
      <c r="H445" s="206"/>
      <c r="I445" s="206"/>
      <c r="J445" s="206" t="str">
        <f t="shared" si="90"/>
        <v/>
      </c>
      <c r="K445" s="206" t="str">
        <f t="shared" si="92"/>
        <v/>
      </c>
      <c r="L445" s="206" t="str">
        <f t="shared" si="93"/>
        <v/>
      </c>
      <c r="M445" s="206" t="str">
        <f t="shared" si="94"/>
        <v/>
      </c>
      <c r="N445" s="206" t="str">
        <f t="shared" si="95"/>
        <v/>
      </c>
      <c r="O445" s="206" t="str">
        <f t="shared" si="96"/>
        <v/>
      </c>
      <c r="P445" s="84" t="str">
        <f t="shared" si="97"/>
        <v/>
      </c>
      <c r="Q445" s="205"/>
      <c r="R445" s="70" t="str">
        <f>IF(S445="IN",'BOM_Phan II'!$Y$3,"")</f>
        <v/>
      </c>
      <c r="S445" s="69" t="str">
        <f t="shared" si="89"/>
        <v/>
      </c>
      <c r="T445">
        <f t="shared" si="98"/>
        <v>3</v>
      </c>
      <c r="U445" t="str">
        <f t="shared" si="101"/>
        <v>KIỆN 14</v>
      </c>
      <c r="V445" t="str">
        <f t="shared" si="99"/>
        <v/>
      </c>
      <c r="W445" s="266"/>
      <c r="X445" s="266"/>
      <c r="Y445" s="266" t="str">
        <f t="shared" si="91"/>
        <v/>
      </c>
      <c r="Z445" s="266"/>
    </row>
    <row r="446" spans="1:26" ht="27" hidden="1" customHeight="1">
      <c r="A446" s="70" t="str">
        <f t="shared" si="87"/>
        <v/>
      </c>
      <c r="B446" s="70" t="str">
        <f t="shared" si="88"/>
        <v/>
      </c>
      <c r="C446" s="204" t="str" cm="1">
        <f t="array" ref="C446">IF(D446="","",
    IF(AND(ISNUMBER(D446), D446=INT(D446)),
        $V$6 &amp; " " &amp; (IFERROR(MAX($Y$12:$Y445), 0) + 1),
        IF(ISNUMBER(SEARCH(".", D446)), "", INDEX($C$12:$C446, MATCH(2, 1/($C$12:$C446 &lt;&gt; ""))))
    )
)</f>
        <v/>
      </c>
      <c r="D446" s="206"/>
      <c r="E446" s="206" t="str">
        <f>IF(AA446 = "", "",
    IF(ISNUMBER(SEARCH("Kiện", C446)),
       " GÓI " &amp; COUNTIF($C$13:C446, "*Kiện*") &amp; "/" &amp; COUNTIF($C$13:$C$1000, "*Kiện*") &amp; " " &amp; AA446,
       AA446)
)</f>
        <v/>
      </c>
      <c r="F446" s="206"/>
      <c r="G446" s="206"/>
      <c r="H446" s="206"/>
      <c r="I446" s="206"/>
      <c r="J446" s="206" t="str">
        <f t="shared" si="90"/>
        <v/>
      </c>
      <c r="K446" s="206" t="str">
        <f t="shared" si="92"/>
        <v/>
      </c>
      <c r="L446" s="206" t="str">
        <f t="shared" si="93"/>
        <v/>
      </c>
      <c r="M446" s="206" t="str">
        <f t="shared" si="94"/>
        <v/>
      </c>
      <c r="N446" s="206" t="str">
        <f t="shared" si="95"/>
        <v/>
      </c>
      <c r="O446" s="206" t="str">
        <f t="shared" si="96"/>
        <v/>
      </c>
      <c r="P446" s="84" t="str">
        <f t="shared" si="97"/>
        <v/>
      </c>
      <c r="Q446" s="205"/>
      <c r="R446" s="70" t="str">
        <f>IF(S446="IN",'BOM_Phan II'!$Y$3,"")</f>
        <v/>
      </c>
      <c r="S446" s="69" t="str">
        <f t="shared" si="89"/>
        <v/>
      </c>
      <c r="T446">
        <f t="shared" si="98"/>
        <v>3</v>
      </c>
      <c r="U446" t="str">
        <f t="shared" si="101"/>
        <v>KIỆN 14</v>
      </c>
      <c r="V446" t="str">
        <f t="shared" si="99"/>
        <v/>
      </c>
      <c r="W446" s="266"/>
      <c r="X446" s="266"/>
      <c r="Y446" s="266" t="str">
        <f t="shared" si="91"/>
        <v/>
      </c>
      <c r="Z446" s="266"/>
    </row>
    <row r="447" spans="1:26" ht="27" hidden="1" customHeight="1">
      <c r="A447" s="70" t="str">
        <f t="shared" si="87"/>
        <v/>
      </c>
      <c r="B447" s="70" t="str">
        <f t="shared" si="88"/>
        <v/>
      </c>
      <c r="C447" s="204" t="str" cm="1">
        <f t="array" ref="C447">IF(D447="","",
    IF(AND(ISNUMBER(D447), D447=INT(D447)),
        $V$6 &amp; " " &amp; (IFERROR(MAX($Y$12:$Y446), 0) + 1),
        IF(ISNUMBER(SEARCH(".", D447)), "", INDEX($C$12:$C447, MATCH(2, 1/($C$12:$C447 &lt;&gt; ""))))
    )
)</f>
        <v/>
      </c>
      <c r="D447" s="206"/>
      <c r="E447" s="206" t="str">
        <f>IF(AA447 = "", "",
    IF(ISNUMBER(SEARCH("Kiện", C447)),
       " GÓI " &amp; COUNTIF($C$13:C447, "*Kiện*") &amp; "/" &amp; COUNTIF($C$13:$C$1000, "*Kiện*") &amp; " " &amp; AA447,
       AA447)
)</f>
        <v/>
      </c>
      <c r="F447" s="206"/>
      <c r="G447" s="206"/>
      <c r="H447" s="206"/>
      <c r="I447" s="206"/>
      <c r="J447" s="206" t="str">
        <f t="shared" si="90"/>
        <v/>
      </c>
      <c r="K447" s="206" t="str">
        <f t="shared" si="92"/>
        <v/>
      </c>
      <c r="L447" s="206" t="str">
        <f t="shared" si="93"/>
        <v/>
      </c>
      <c r="M447" s="206" t="str">
        <f t="shared" si="94"/>
        <v/>
      </c>
      <c r="N447" s="206" t="str">
        <f t="shared" si="95"/>
        <v/>
      </c>
      <c r="O447" s="206" t="str">
        <f t="shared" si="96"/>
        <v/>
      </c>
      <c r="P447" s="84" t="str">
        <f t="shared" si="97"/>
        <v/>
      </c>
      <c r="Q447" s="205"/>
      <c r="R447" s="70" t="str">
        <f>IF(S447="IN",'BOM_Phan II'!$Y$3,"")</f>
        <v/>
      </c>
      <c r="S447" s="69" t="str">
        <f t="shared" si="89"/>
        <v/>
      </c>
      <c r="T447">
        <f t="shared" si="98"/>
        <v>3</v>
      </c>
      <c r="U447" t="str">
        <f t="shared" si="101"/>
        <v>KIỆN 14</v>
      </c>
      <c r="V447" t="str">
        <f t="shared" si="99"/>
        <v/>
      </c>
      <c r="W447" s="266"/>
      <c r="X447" s="266"/>
      <c r="Y447" s="266" t="str">
        <f t="shared" si="91"/>
        <v/>
      </c>
      <c r="Z447" s="266"/>
    </row>
    <row r="448" spans="1:26" ht="27" hidden="1" customHeight="1">
      <c r="A448" s="70" t="str">
        <f t="shared" si="87"/>
        <v/>
      </c>
      <c r="B448" s="70" t="str">
        <f t="shared" si="88"/>
        <v/>
      </c>
      <c r="C448" s="204" t="str" cm="1">
        <f t="array" ref="C448">IF(D448="","",
    IF(AND(ISNUMBER(D448), D448=INT(D448)),
        $V$6 &amp; " " &amp; (IFERROR(MAX($Y$12:$Y447), 0) + 1),
        IF(ISNUMBER(SEARCH(".", D448)), "", INDEX($C$12:$C448, MATCH(2, 1/($C$12:$C448 &lt;&gt; ""))))
    )
)</f>
        <v/>
      </c>
      <c r="D448" s="206"/>
      <c r="E448" s="206" t="str">
        <f>IF(AA448 = "", "",
    IF(ISNUMBER(SEARCH("Kiện", C448)),
       " GÓI " &amp; COUNTIF($C$13:C448, "*Kiện*") &amp; "/" &amp; COUNTIF($C$13:$C$1000, "*Kiện*") &amp; " " &amp; AA448,
       AA448)
)</f>
        <v/>
      </c>
      <c r="F448" s="206"/>
      <c r="G448" s="206"/>
      <c r="H448" s="206"/>
      <c r="I448" s="206"/>
      <c r="J448" s="206" t="str">
        <f t="shared" si="90"/>
        <v/>
      </c>
      <c r="K448" s="206" t="str">
        <f t="shared" si="92"/>
        <v/>
      </c>
      <c r="L448" s="206" t="str">
        <f t="shared" si="93"/>
        <v/>
      </c>
      <c r="M448" s="206" t="str">
        <f t="shared" si="94"/>
        <v/>
      </c>
      <c r="N448" s="206" t="str">
        <f t="shared" si="95"/>
        <v/>
      </c>
      <c r="O448" s="206" t="str">
        <f t="shared" si="96"/>
        <v/>
      </c>
      <c r="P448" s="84" t="str">
        <f t="shared" si="97"/>
        <v/>
      </c>
      <c r="Q448" s="205"/>
      <c r="R448" s="70" t="str">
        <f>IF(S448="IN",'BOM_Phan II'!$Y$3,"")</f>
        <v/>
      </c>
      <c r="S448" s="69" t="str">
        <f t="shared" si="89"/>
        <v/>
      </c>
      <c r="T448">
        <f t="shared" si="98"/>
        <v>3</v>
      </c>
      <c r="U448" t="str">
        <f t="shared" si="101"/>
        <v>KIỆN 14</v>
      </c>
      <c r="V448" t="str">
        <f t="shared" si="99"/>
        <v/>
      </c>
      <c r="W448" s="266"/>
      <c r="X448" s="266"/>
      <c r="Y448" s="266" t="str">
        <f t="shared" si="91"/>
        <v/>
      </c>
      <c r="Z448" s="266"/>
    </row>
    <row r="449" spans="1:26" ht="27" hidden="1" customHeight="1">
      <c r="A449" s="70" t="str">
        <f t="shared" si="87"/>
        <v/>
      </c>
      <c r="B449" s="70" t="str">
        <f t="shared" si="88"/>
        <v/>
      </c>
      <c r="C449" s="204" t="str" cm="1">
        <f t="array" ref="C449">IF(D449="","",
    IF(AND(ISNUMBER(D449), D449=INT(D449)),
        $V$6 &amp; " " &amp; (IFERROR(MAX($Y$12:$Y448), 0) + 1),
        IF(ISNUMBER(SEARCH(".", D449)), "", INDEX($C$12:$C449, MATCH(2, 1/($C$12:$C449 &lt;&gt; ""))))
    )
)</f>
        <v/>
      </c>
      <c r="D449" s="206"/>
      <c r="E449" s="206" t="str">
        <f>IF(AA449 = "", "",
    IF(ISNUMBER(SEARCH("Kiện", C449)),
       " GÓI " &amp; COUNTIF($C$13:C449, "*Kiện*") &amp; "/" &amp; COUNTIF($C$13:$C$1000, "*Kiện*") &amp; " " &amp; AA449,
       AA449)
)</f>
        <v/>
      </c>
      <c r="F449" s="206"/>
      <c r="G449" s="206"/>
      <c r="H449" s="206"/>
      <c r="I449" s="206"/>
      <c r="J449" s="206" t="str">
        <f t="shared" si="90"/>
        <v/>
      </c>
      <c r="K449" s="206" t="str">
        <f t="shared" si="92"/>
        <v/>
      </c>
      <c r="L449" s="206" t="str">
        <f t="shared" si="93"/>
        <v/>
      </c>
      <c r="M449" s="206" t="str">
        <f t="shared" si="94"/>
        <v/>
      </c>
      <c r="N449" s="206" t="str">
        <f t="shared" si="95"/>
        <v/>
      </c>
      <c r="O449" s="206" t="str">
        <f t="shared" si="96"/>
        <v/>
      </c>
      <c r="P449" s="84" t="str">
        <f t="shared" si="97"/>
        <v/>
      </c>
      <c r="Q449" s="205"/>
      <c r="R449" s="70" t="str">
        <f>IF(S449="IN",'BOM_Phan II'!$Y$3,"")</f>
        <v/>
      </c>
      <c r="S449" s="69" t="str">
        <f t="shared" si="89"/>
        <v/>
      </c>
      <c r="T449">
        <f t="shared" si="98"/>
        <v>3</v>
      </c>
      <c r="U449" t="str">
        <f t="shared" si="101"/>
        <v>KIỆN 14</v>
      </c>
      <c r="V449" t="str">
        <f t="shared" si="99"/>
        <v/>
      </c>
      <c r="W449" s="266"/>
      <c r="X449" s="266"/>
      <c r="Y449" s="266" t="str">
        <f t="shared" si="91"/>
        <v/>
      </c>
      <c r="Z449" s="266"/>
    </row>
    <row r="450" spans="1:26" ht="27" hidden="1" customHeight="1">
      <c r="A450" s="70" t="str">
        <f t="shared" si="87"/>
        <v/>
      </c>
      <c r="B450" s="70" t="str">
        <f t="shared" si="88"/>
        <v/>
      </c>
      <c r="C450" s="204" t="str" cm="1">
        <f t="array" ref="C450">IF(D450="","",
    IF(AND(ISNUMBER(D450), D450=INT(D450)),
        $V$6 &amp; " " &amp; (IFERROR(MAX($Y$12:$Y449), 0) + 1),
        IF(ISNUMBER(SEARCH(".", D450)), "", INDEX($C$12:$C450, MATCH(2, 1/($C$12:$C450 &lt;&gt; ""))))
    )
)</f>
        <v/>
      </c>
      <c r="D450" s="206"/>
      <c r="E450" s="206" t="str">
        <f>IF(AA450 = "", "",
    IF(ISNUMBER(SEARCH("Kiện", C450)),
       " GÓI " &amp; COUNTIF($C$13:C450, "*Kiện*") &amp; "/" &amp; COUNTIF($C$13:$C$1000, "*Kiện*") &amp; " " &amp; AA450,
       AA450)
)</f>
        <v/>
      </c>
      <c r="F450" s="206"/>
      <c r="G450" s="206"/>
      <c r="H450" s="206"/>
      <c r="I450" s="206"/>
      <c r="J450" s="206" t="str">
        <f t="shared" si="90"/>
        <v/>
      </c>
      <c r="K450" s="206" t="str">
        <f t="shared" si="92"/>
        <v/>
      </c>
      <c r="L450" s="206" t="str">
        <f t="shared" si="93"/>
        <v/>
      </c>
      <c r="M450" s="206" t="str">
        <f t="shared" si="94"/>
        <v/>
      </c>
      <c r="N450" s="206" t="str">
        <f t="shared" si="95"/>
        <v/>
      </c>
      <c r="O450" s="206" t="str">
        <f t="shared" si="96"/>
        <v/>
      </c>
      <c r="P450" s="84" t="str">
        <f t="shared" si="97"/>
        <v/>
      </c>
      <c r="Q450" s="205"/>
      <c r="R450" s="70" t="str">
        <f>IF(S450="IN",'BOM_Phan II'!$Y$3,"")</f>
        <v/>
      </c>
      <c r="S450" s="69" t="str">
        <f t="shared" si="89"/>
        <v/>
      </c>
      <c r="T450">
        <f t="shared" si="98"/>
        <v>3</v>
      </c>
      <c r="U450" t="str">
        <f t="shared" si="101"/>
        <v>KIỆN 14</v>
      </c>
      <c r="V450" t="str">
        <f t="shared" si="99"/>
        <v/>
      </c>
      <c r="W450" s="266"/>
      <c r="X450" s="266"/>
      <c r="Y450" s="266" t="str">
        <f t="shared" si="91"/>
        <v/>
      </c>
      <c r="Z450" s="266"/>
    </row>
    <row r="451" spans="1:26" ht="27" hidden="1" customHeight="1">
      <c r="A451" s="70" t="str">
        <f t="shared" si="87"/>
        <v/>
      </c>
      <c r="B451" s="70" t="str">
        <f t="shared" si="88"/>
        <v/>
      </c>
      <c r="C451" s="204" t="str" cm="1">
        <f t="array" ref="C451">IF(D451="","",
    IF(AND(ISNUMBER(D451), D451=INT(D451)),
        $V$6 &amp; " " &amp; (IFERROR(MAX($Y$12:$Y450), 0) + 1),
        IF(ISNUMBER(SEARCH(".", D451)), "", INDEX($C$12:$C451, MATCH(2, 1/($C$12:$C451 &lt;&gt; ""))))
    )
)</f>
        <v/>
      </c>
      <c r="D451" s="206"/>
      <c r="E451" s="206" t="str">
        <f>IF(AA451 = "", "",
    IF(ISNUMBER(SEARCH("Kiện", C451)),
       " GÓI " &amp; COUNTIF($C$13:C451, "*Kiện*") &amp; "/" &amp; COUNTIF($C$13:$C$1000, "*Kiện*") &amp; " " &amp; AA451,
       AA451)
)</f>
        <v/>
      </c>
      <c r="F451" s="206"/>
      <c r="G451" s="206"/>
      <c r="H451" s="206"/>
      <c r="I451" s="206"/>
      <c r="J451" s="206" t="str">
        <f t="shared" si="90"/>
        <v/>
      </c>
      <c r="K451" s="206" t="str">
        <f t="shared" si="92"/>
        <v/>
      </c>
      <c r="L451" s="206" t="str">
        <f t="shared" si="93"/>
        <v/>
      </c>
      <c r="M451" s="206" t="str">
        <f t="shared" si="94"/>
        <v/>
      </c>
      <c r="N451" s="206" t="str">
        <f t="shared" si="95"/>
        <v/>
      </c>
      <c r="O451" s="206" t="str">
        <f t="shared" si="96"/>
        <v/>
      </c>
      <c r="P451" s="84" t="str">
        <f t="shared" si="97"/>
        <v/>
      </c>
      <c r="Q451" s="205"/>
      <c r="R451" s="70" t="str">
        <f>IF(S451="IN",'BOM_Phan II'!$Y$3,"")</f>
        <v/>
      </c>
      <c r="S451" s="69" t="str">
        <f t="shared" si="89"/>
        <v/>
      </c>
      <c r="T451">
        <f t="shared" si="98"/>
        <v>3</v>
      </c>
      <c r="U451" t="str">
        <f t="shared" si="101"/>
        <v>KIỆN 14</v>
      </c>
      <c r="V451" t="str">
        <f t="shared" si="99"/>
        <v/>
      </c>
      <c r="W451" s="266"/>
      <c r="X451" s="266"/>
      <c r="Y451" s="266" t="str">
        <f t="shared" si="91"/>
        <v/>
      </c>
      <c r="Z451" s="266"/>
    </row>
    <row r="452" spans="1:26" ht="27" hidden="1" customHeight="1">
      <c r="A452" s="70" t="str">
        <f t="shared" si="87"/>
        <v/>
      </c>
      <c r="B452" s="70" t="str">
        <f t="shared" si="88"/>
        <v/>
      </c>
      <c r="C452" s="204" t="str" cm="1">
        <f t="array" ref="C452">IF(D452="","",
    IF(AND(ISNUMBER(D452), D452=INT(D452)),
        $V$6 &amp; " " &amp; (IFERROR(MAX($Y$12:$Y451), 0) + 1),
        IF(ISNUMBER(SEARCH(".", D452)), "", INDEX($C$12:$C452, MATCH(2, 1/($C$12:$C452 &lt;&gt; ""))))
    )
)</f>
        <v/>
      </c>
      <c r="D452" s="206"/>
      <c r="E452" s="206" t="str">
        <f>IF(AA452 = "", "",
    IF(ISNUMBER(SEARCH("Kiện", C452)),
       " GÓI " &amp; COUNTIF($C$13:C452, "*Kiện*") &amp; "/" &amp; COUNTIF($C$13:$C$1000, "*Kiện*") &amp; " " &amp; AA452,
       AA452)
)</f>
        <v/>
      </c>
      <c r="F452" s="206"/>
      <c r="G452" s="206"/>
      <c r="H452" s="206"/>
      <c r="I452" s="206"/>
      <c r="J452" s="206" t="str">
        <f t="shared" si="90"/>
        <v/>
      </c>
      <c r="K452" s="206" t="str">
        <f t="shared" si="92"/>
        <v/>
      </c>
      <c r="L452" s="206" t="str">
        <f t="shared" si="93"/>
        <v/>
      </c>
      <c r="M452" s="206" t="str">
        <f t="shared" si="94"/>
        <v/>
      </c>
      <c r="N452" s="206" t="str">
        <f t="shared" si="95"/>
        <v/>
      </c>
      <c r="O452" s="206" t="str">
        <f t="shared" si="96"/>
        <v/>
      </c>
      <c r="P452" s="84" t="str">
        <f t="shared" si="97"/>
        <v/>
      </c>
      <c r="Q452" s="205"/>
      <c r="R452" s="70" t="str">
        <f>IF(S452="IN",'BOM_Phan II'!$Y$3,"")</f>
        <v/>
      </c>
      <c r="S452" s="69" t="str">
        <f t="shared" si="89"/>
        <v/>
      </c>
      <c r="T452">
        <f t="shared" si="98"/>
        <v>3</v>
      </c>
      <c r="U452" t="str">
        <f t="shared" si="101"/>
        <v>KIỆN 14</v>
      </c>
      <c r="V452" t="str">
        <f t="shared" si="99"/>
        <v/>
      </c>
      <c r="W452" s="266"/>
      <c r="X452" s="266"/>
      <c r="Y452" s="266" t="str">
        <f t="shared" si="91"/>
        <v/>
      </c>
      <c r="Z452" s="266"/>
    </row>
    <row r="453" spans="1:26" ht="27" hidden="1" customHeight="1">
      <c r="A453" s="70" t="str">
        <f t="shared" si="87"/>
        <v/>
      </c>
      <c r="B453" s="70" t="str">
        <f t="shared" si="88"/>
        <v/>
      </c>
      <c r="C453" s="204" t="str" cm="1">
        <f t="array" ref="C453">IF(D453="","",
    IF(AND(ISNUMBER(D453), D453=INT(D453)),
        $V$6 &amp; " " &amp; (IFERROR(MAX($Y$12:$Y452), 0) + 1),
        IF(ISNUMBER(SEARCH(".", D453)), "", INDEX($C$12:$C453, MATCH(2, 1/($C$12:$C453 &lt;&gt; ""))))
    )
)</f>
        <v/>
      </c>
      <c r="D453" s="206"/>
      <c r="E453" s="206" t="str">
        <f>IF(AA453 = "", "",
    IF(ISNUMBER(SEARCH("Kiện", C453)),
       " GÓI " &amp; COUNTIF($C$13:C453, "*Kiện*") &amp; "/" &amp; COUNTIF($C$13:$C$1000, "*Kiện*") &amp; " " &amp; AA453,
       AA453)
)</f>
        <v/>
      </c>
      <c r="F453" s="206"/>
      <c r="G453" s="206"/>
      <c r="H453" s="206"/>
      <c r="I453" s="206"/>
      <c r="J453" s="206" t="str">
        <f t="shared" si="90"/>
        <v/>
      </c>
      <c r="K453" s="206" t="str">
        <f t="shared" si="92"/>
        <v/>
      </c>
      <c r="L453" s="206" t="str">
        <f t="shared" si="93"/>
        <v/>
      </c>
      <c r="M453" s="206" t="str">
        <f t="shared" si="94"/>
        <v/>
      </c>
      <c r="N453" s="206" t="str">
        <f t="shared" si="95"/>
        <v/>
      </c>
      <c r="O453" s="206" t="str">
        <f t="shared" si="96"/>
        <v/>
      </c>
      <c r="P453" s="84" t="str">
        <f t="shared" si="97"/>
        <v/>
      </c>
      <c r="Q453" s="205"/>
      <c r="R453" s="70" t="str">
        <f>IF(S453="IN",'BOM_Phan II'!$Y$3,"")</f>
        <v/>
      </c>
      <c r="S453" s="69" t="str">
        <f t="shared" si="89"/>
        <v/>
      </c>
      <c r="T453">
        <f t="shared" si="98"/>
        <v>3</v>
      </c>
      <c r="U453" t="str">
        <f t="shared" si="101"/>
        <v>KIỆN 14</v>
      </c>
      <c r="V453" t="str">
        <f t="shared" si="99"/>
        <v/>
      </c>
      <c r="W453" s="266"/>
      <c r="X453" s="266"/>
      <c r="Y453" s="266" t="str">
        <f t="shared" si="91"/>
        <v/>
      </c>
      <c r="Z453" s="266"/>
    </row>
    <row r="454" spans="1:26" ht="27" hidden="1" customHeight="1">
      <c r="A454" s="70" t="str">
        <f t="shared" si="87"/>
        <v/>
      </c>
      <c r="B454" s="70" t="str">
        <f t="shared" si="88"/>
        <v/>
      </c>
      <c r="C454" s="204" t="str" cm="1">
        <f t="array" ref="C454">IF(D454="","",
    IF(AND(ISNUMBER(D454), D454=INT(D454)),
        $V$6 &amp; " " &amp; (IFERROR(MAX($Y$12:$Y453), 0) + 1),
        IF(ISNUMBER(SEARCH(".", D454)), "", INDEX($C$12:$C454, MATCH(2, 1/($C$12:$C454 &lt;&gt; ""))))
    )
)</f>
        <v/>
      </c>
      <c r="D454" s="206"/>
      <c r="E454" s="206" t="str">
        <f>IF(AA454 = "", "",
    IF(ISNUMBER(SEARCH("Kiện", C454)),
       " GÓI " &amp; COUNTIF($C$13:C454, "*Kiện*") &amp; "/" &amp; COUNTIF($C$13:$C$1000, "*Kiện*") &amp; " " &amp; AA454,
       AA454)
)</f>
        <v/>
      </c>
      <c r="F454" s="206"/>
      <c r="G454" s="206"/>
      <c r="H454" s="206"/>
      <c r="I454" s="206"/>
      <c r="J454" s="206" t="str">
        <f t="shared" si="90"/>
        <v/>
      </c>
      <c r="K454" s="206" t="str">
        <f t="shared" si="92"/>
        <v/>
      </c>
      <c r="L454" s="206" t="str">
        <f t="shared" si="93"/>
        <v/>
      </c>
      <c r="M454" s="206" t="str">
        <f t="shared" si="94"/>
        <v/>
      </c>
      <c r="N454" s="206" t="str">
        <f t="shared" si="95"/>
        <v/>
      </c>
      <c r="O454" s="206" t="str">
        <f t="shared" si="96"/>
        <v/>
      </c>
      <c r="P454" s="84" t="str">
        <f t="shared" si="97"/>
        <v/>
      </c>
      <c r="Q454" s="205"/>
      <c r="R454" s="70" t="str">
        <f>IF(S454="IN",'BOM_Phan II'!$Y$3,"")</f>
        <v/>
      </c>
      <c r="S454" s="69" t="str">
        <f t="shared" si="89"/>
        <v/>
      </c>
      <c r="T454">
        <f t="shared" si="98"/>
        <v>3</v>
      </c>
      <c r="U454" t="str">
        <f t="shared" si="101"/>
        <v>KIỆN 14</v>
      </c>
      <c r="V454" t="str">
        <f t="shared" si="99"/>
        <v/>
      </c>
      <c r="W454" s="266"/>
      <c r="X454" s="266"/>
      <c r="Y454" s="266" t="str">
        <f t="shared" si="91"/>
        <v/>
      </c>
      <c r="Z454" s="266"/>
    </row>
    <row r="455" spans="1:26" ht="27" hidden="1" customHeight="1">
      <c r="A455" s="70" t="str">
        <f t="shared" si="87"/>
        <v/>
      </c>
      <c r="B455" s="70" t="str">
        <f t="shared" si="88"/>
        <v/>
      </c>
      <c r="C455" s="204" t="str" cm="1">
        <f t="array" ref="C455">IF(D455="","",
    IF(AND(ISNUMBER(D455), D455=INT(D455)),
        $V$6 &amp; " " &amp; (IFERROR(MAX($Y$12:$Y454), 0) + 1),
        IF(ISNUMBER(SEARCH(".", D455)), "", INDEX($C$12:$C455, MATCH(2, 1/($C$12:$C455 &lt;&gt; ""))))
    )
)</f>
        <v/>
      </c>
      <c r="D455" s="206"/>
      <c r="E455" s="206" t="str">
        <f>IF(AA455 = "", "",
    IF(ISNUMBER(SEARCH("Kiện", C455)),
       " GÓI " &amp; COUNTIF($C$13:C455, "*Kiện*") &amp; "/" &amp; COUNTIF($C$13:$C$1000, "*Kiện*") &amp; " " &amp; AA455,
       AA455)
)</f>
        <v/>
      </c>
      <c r="F455" s="206"/>
      <c r="G455" s="206"/>
      <c r="H455" s="206"/>
      <c r="I455" s="206"/>
      <c r="J455" s="206" t="str">
        <f t="shared" si="90"/>
        <v/>
      </c>
      <c r="K455" s="206" t="str">
        <f t="shared" si="92"/>
        <v/>
      </c>
      <c r="L455" s="206" t="str">
        <f t="shared" si="93"/>
        <v/>
      </c>
      <c r="M455" s="206" t="str">
        <f t="shared" si="94"/>
        <v/>
      </c>
      <c r="N455" s="206" t="str">
        <f t="shared" si="95"/>
        <v/>
      </c>
      <c r="O455" s="206" t="str">
        <f t="shared" si="96"/>
        <v/>
      </c>
      <c r="P455" s="84" t="str">
        <f t="shared" si="97"/>
        <v/>
      </c>
      <c r="Q455" s="205"/>
      <c r="R455" s="70" t="str">
        <f>IF(S455="IN",'BOM_Phan II'!$Y$3,"")</f>
        <v/>
      </c>
      <c r="S455" s="69" t="str">
        <f t="shared" si="89"/>
        <v/>
      </c>
      <c r="T455">
        <f t="shared" si="98"/>
        <v>3</v>
      </c>
      <c r="U455" t="str">
        <f t="shared" si="101"/>
        <v>KIỆN 14</v>
      </c>
      <c r="V455" t="str">
        <f t="shared" si="99"/>
        <v/>
      </c>
      <c r="W455" s="266"/>
      <c r="X455" s="266"/>
      <c r="Y455" s="266" t="str">
        <f t="shared" si="91"/>
        <v/>
      </c>
      <c r="Z455" s="266"/>
    </row>
    <row r="456" spans="1:26" ht="27" hidden="1" customHeight="1">
      <c r="A456" s="70" t="str">
        <f t="shared" si="87"/>
        <v/>
      </c>
      <c r="B456" s="70" t="str">
        <f t="shared" si="88"/>
        <v/>
      </c>
      <c r="C456" s="204" t="str" cm="1">
        <f t="array" ref="C456">IF(D456="","",
    IF(AND(ISNUMBER(D456), D456=INT(D456)),
        $V$6 &amp; " " &amp; (IFERROR(MAX($Y$12:$Y455), 0) + 1),
        IF(ISNUMBER(SEARCH(".", D456)), "", INDEX($C$12:$C456, MATCH(2, 1/($C$12:$C456 &lt;&gt; ""))))
    )
)</f>
        <v/>
      </c>
      <c r="D456" s="206"/>
      <c r="E456" s="206" t="str">
        <f>IF(AA456 = "", "",
    IF(ISNUMBER(SEARCH("Kiện", C456)),
       " GÓI " &amp; COUNTIF($C$13:C456, "*Kiện*") &amp; "/" &amp; COUNTIF($C$13:$C$1000, "*Kiện*") &amp; " " &amp; AA456,
       AA456)
)</f>
        <v/>
      </c>
      <c r="F456" s="206"/>
      <c r="G456" s="206"/>
      <c r="H456" s="206"/>
      <c r="I456" s="206"/>
      <c r="J456" s="206" t="str">
        <f t="shared" si="90"/>
        <v/>
      </c>
      <c r="K456" s="206" t="str">
        <f t="shared" si="92"/>
        <v/>
      </c>
      <c r="L456" s="206" t="str">
        <f t="shared" si="93"/>
        <v/>
      </c>
      <c r="M456" s="206" t="str">
        <f t="shared" si="94"/>
        <v/>
      </c>
      <c r="N456" s="206" t="str">
        <f t="shared" si="95"/>
        <v/>
      </c>
      <c r="O456" s="206" t="str">
        <f t="shared" si="96"/>
        <v/>
      </c>
      <c r="P456" s="84" t="str">
        <f t="shared" si="97"/>
        <v/>
      </c>
      <c r="Q456" s="205"/>
      <c r="R456" s="70" t="str">
        <f>IF(S456="IN",'BOM_Phan II'!$Y$3,"")</f>
        <v/>
      </c>
      <c r="S456" s="69" t="str">
        <f t="shared" si="89"/>
        <v/>
      </c>
      <c r="T456">
        <f t="shared" si="98"/>
        <v>3</v>
      </c>
      <c r="U456" t="str">
        <f t="shared" si="101"/>
        <v>KIỆN 14</v>
      </c>
      <c r="V456" t="str">
        <f t="shared" si="99"/>
        <v/>
      </c>
      <c r="W456" s="266"/>
      <c r="X456" s="266"/>
      <c r="Y456" s="266" t="str">
        <f t="shared" si="91"/>
        <v/>
      </c>
      <c r="Z456" s="266"/>
    </row>
    <row r="457" spans="1:26" ht="27" hidden="1" customHeight="1">
      <c r="A457" s="70" t="str">
        <f t="shared" si="87"/>
        <v/>
      </c>
      <c r="B457" s="70" t="str">
        <f t="shared" si="88"/>
        <v/>
      </c>
      <c r="C457" s="204" t="str" cm="1">
        <f t="array" ref="C457">IF(D457="","",
    IF(AND(ISNUMBER(D457), D457=INT(D457)),
        $V$6 &amp; " " &amp; (IFERROR(MAX($Y$12:$Y456), 0) + 1),
        IF(ISNUMBER(SEARCH(".", D457)), "", INDEX($C$12:$C457, MATCH(2, 1/($C$12:$C457 &lt;&gt; ""))))
    )
)</f>
        <v/>
      </c>
      <c r="D457" s="206"/>
      <c r="E457" s="206" t="str">
        <f>IF(AA457 = "", "",
    IF(ISNUMBER(SEARCH("Kiện", C457)),
       " GÓI " &amp; COUNTIF($C$13:C457, "*Kiện*") &amp; "/" &amp; COUNTIF($C$13:$C$1000, "*Kiện*") &amp; " " &amp; AA457,
       AA457)
)</f>
        <v/>
      </c>
      <c r="F457" s="206"/>
      <c r="G457" s="206"/>
      <c r="H457" s="206"/>
      <c r="I457" s="206"/>
      <c r="J457" s="206" t="str">
        <f t="shared" si="90"/>
        <v/>
      </c>
      <c r="K457" s="206" t="str">
        <f t="shared" si="92"/>
        <v/>
      </c>
      <c r="L457" s="206" t="str">
        <f t="shared" si="93"/>
        <v/>
      </c>
      <c r="M457" s="206" t="str">
        <f t="shared" si="94"/>
        <v/>
      </c>
      <c r="N457" s="206" t="str">
        <f t="shared" si="95"/>
        <v/>
      </c>
      <c r="O457" s="206" t="str">
        <f t="shared" si="96"/>
        <v/>
      </c>
      <c r="P457" s="84" t="str">
        <f t="shared" si="97"/>
        <v/>
      </c>
      <c r="Q457" s="205"/>
      <c r="R457" s="70" t="str">
        <f>IF(S457="IN",'BOM_Phan II'!$Y$3,"")</f>
        <v/>
      </c>
      <c r="S457" s="69" t="str">
        <f t="shared" si="89"/>
        <v/>
      </c>
      <c r="T457">
        <f t="shared" si="98"/>
        <v>3</v>
      </c>
      <c r="U457" t="str">
        <f>IF(C457="",U342,C457)</f>
        <v>KIỆN 14</v>
      </c>
      <c r="V457" t="str">
        <f t="shared" si="99"/>
        <v/>
      </c>
      <c r="W457" s="266"/>
      <c r="X457" s="266"/>
      <c r="Y457" s="266" t="str">
        <f t="shared" si="91"/>
        <v/>
      </c>
      <c r="Z457" s="266"/>
    </row>
    <row r="458" spans="1:26" ht="27" hidden="1" customHeight="1">
      <c r="A458" s="70" t="str">
        <f t="shared" si="87"/>
        <v/>
      </c>
      <c r="B458" s="70" t="str">
        <f t="shared" si="88"/>
        <v/>
      </c>
      <c r="C458" s="204" t="str" cm="1">
        <f t="array" ref="C458">IF(D458="","",
    IF(AND(ISNUMBER(D458), D458=INT(D458)),
        $V$6 &amp; " " &amp; (IFERROR(MAX($Y$12:$Y457), 0) + 1),
        IF(ISNUMBER(SEARCH(".", D458)), "", INDEX($C$12:$C458, MATCH(2, 1/($C$12:$C458 &lt;&gt; ""))))
    )
)</f>
        <v/>
      </c>
      <c r="D458" s="206"/>
      <c r="E458" s="206" t="str">
        <f>IF(AA458 = "", "",
    IF(ISNUMBER(SEARCH("Kiện", C458)),
       " GÓI " &amp; COUNTIF($C$13:C458, "*Kiện*") &amp; "/" &amp; COUNTIF($C$13:$C$1000, "*Kiện*") &amp; " " &amp; AA458,
       AA458)
)</f>
        <v/>
      </c>
      <c r="F458" s="206"/>
      <c r="G458" s="206"/>
      <c r="H458" s="206"/>
      <c r="I458" s="206"/>
      <c r="J458" s="206" t="str">
        <f t="shared" si="90"/>
        <v/>
      </c>
      <c r="K458" s="206" t="str">
        <f t="shared" si="92"/>
        <v/>
      </c>
      <c r="L458" s="206" t="str">
        <f t="shared" si="93"/>
        <v/>
      </c>
      <c r="M458" s="206" t="str">
        <f t="shared" si="94"/>
        <v/>
      </c>
      <c r="N458" s="206" t="str">
        <f t="shared" si="95"/>
        <v/>
      </c>
      <c r="O458" s="206" t="str">
        <f t="shared" si="96"/>
        <v/>
      </c>
      <c r="P458" s="84" t="str">
        <f t="shared" si="97"/>
        <v/>
      </c>
      <c r="Q458" s="205"/>
      <c r="R458" s="70" t="str">
        <f>IF(S458="IN",'BOM_Phan II'!$Y$3,"")</f>
        <v/>
      </c>
      <c r="S458" s="69" t="str">
        <f t="shared" si="89"/>
        <v/>
      </c>
      <c r="T458">
        <f t="shared" si="98"/>
        <v>3</v>
      </c>
      <c r="U458" t="str">
        <f t="shared" ref="U458:U488" si="102">IF(C458="",U457,C458)</f>
        <v>KIỆN 14</v>
      </c>
      <c r="V458" t="str">
        <f t="shared" si="99"/>
        <v/>
      </c>
      <c r="W458" s="266"/>
      <c r="X458" s="266"/>
      <c r="Y458" s="266" t="str">
        <f t="shared" si="91"/>
        <v/>
      </c>
      <c r="Z458" s="266"/>
    </row>
    <row r="459" spans="1:26" ht="27" hidden="1" customHeight="1">
      <c r="A459" s="70" t="str">
        <f t="shared" si="87"/>
        <v/>
      </c>
      <c r="B459" s="70" t="str">
        <f t="shared" si="88"/>
        <v/>
      </c>
      <c r="C459" s="204" t="str" cm="1">
        <f t="array" ref="C459">IF(D459="","",
    IF(AND(ISNUMBER(D459), D459=INT(D459)),
        $V$6 &amp; " " &amp; (IFERROR(MAX($Y$12:$Y458), 0) + 1),
        IF(ISNUMBER(SEARCH(".", D459)), "", INDEX($C$12:$C459, MATCH(2, 1/($C$12:$C459 &lt;&gt; ""))))
    )
)</f>
        <v/>
      </c>
      <c r="D459" s="206"/>
      <c r="E459" s="206" t="str">
        <f>IF(AA459 = "", "",
    IF(ISNUMBER(SEARCH("Kiện", C459)),
       " GÓI " &amp; COUNTIF($C$13:C459, "*Kiện*") &amp; "/" &amp; COUNTIF($C$13:$C$1000, "*Kiện*") &amp; " " &amp; AA459,
       AA459)
)</f>
        <v/>
      </c>
      <c r="F459" s="206"/>
      <c r="G459" s="206"/>
      <c r="H459" s="206"/>
      <c r="I459" s="206"/>
      <c r="J459" s="206" t="str">
        <f t="shared" si="90"/>
        <v/>
      </c>
      <c r="K459" s="206" t="str">
        <f t="shared" si="92"/>
        <v/>
      </c>
      <c r="L459" s="206" t="str">
        <f t="shared" si="93"/>
        <v/>
      </c>
      <c r="M459" s="206" t="str">
        <f t="shared" si="94"/>
        <v/>
      </c>
      <c r="N459" s="206" t="str">
        <f t="shared" si="95"/>
        <v/>
      </c>
      <c r="O459" s="206" t="str">
        <f t="shared" si="96"/>
        <v/>
      </c>
      <c r="P459" s="84" t="str">
        <f t="shared" si="97"/>
        <v/>
      </c>
      <c r="Q459" s="205"/>
      <c r="R459" s="70" t="str">
        <f>IF(S459="IN",'BOM_Phan II'!$Y$3,"")</f>
        <v/>
      </c>
      <c r="S459" s="69" t="str">
        <f t="shared" si="89"/>
        <v/>
      </c>
      <c r="T459">
        <f t="shared" si="98"/>
        <v>3</v>
      </c>
      <c r="U459" t="str">
        <f t="shared" si="102"/>
        <v>KIỆN 14</v>
      </c>
      <c r="V459" t="str">
        <f t="shared" si="99"/>
        <v/>
      </c>
      <c r="W459" s="266"/>
      <c r="X459" s="266"/>
      <c r="Y459" s="266" t="str">
        <f t="shared" si="91"/>
        <v/>
      </c>
      <c r="Z459" s="266"/>
    </row>
    <row r="460" spans="1:26" ht="27" hidden="1" customHeight="1">
      <c r="A460" s="70" t="str">
        <f t="shared" ref="A460:A523" si="103">IF(S460="IN",$E$6,"")</f>
        <v/>
      </c>
      <c r="B460" s="70" t="str">
        <f t="shared" ref="B460:B523" si="104">IF(S460="IN","Muc "&amp;$E$7,"")</f>
        <v/>
      </c>
      <c r="C460" s="204" t="str" cm="1">
        <f t="array" ref="C460">IF(D460="","",
    IF(AND(ISNUMBER(D460), D460=INT(D460)),
        $V$6 &amp; " " &amp; (IFERROR(MAX($Y$12:$Y459), 0) + 1),
        IF(ISNUMBER(SEARCH(".", D460)), "", INDEX($C$12:$C460, MATCH(2, 1/($C$12:$C460 &lt;&gt; ""))))
    )
)</f>
        <v/>
      </c>
      <c r="D460" s="206"/>
      <c r="E460" s="206" t="str">
        <f>IF(AA460 = "", "",
    IF(ISNUMBER(SEARCH("Kiện", C460)),
       " GÓI " &amp; COUNTIF($C$13:C460, "*Kiện*") &amp; "/" &amp; COUNTIF($C$13:$C$1000, "*Kiện*") &amp; " " &amp; AA460,
       AA460)
)</f>
        <v/>
      </c>
      <c r="F460" s="206"/>
      <c r="G460" s="206"/>
      <c r="H460" s="206"/>
      <c r="I460" s="206"/>
      <c r="J460" s="206" t="str">
        <f t="shared" si="90"/>
        <v/>
      </c>
      <c r="K460" s="206" t="str">
        <f t="shared" si="92"/>
        <v/>
      </c>
      <c r="L460" s="206" t="str">
        <f t="shared" si="93"/>
        <v/>
      </c>
      <c r="M460" s="206" t="str">
        <f t="shared" si="94"/>
        <v/>
      </c>
      <c r="N460" s="206" t="str">
        <f t="shared" si="95"/>
        <v/>
      </c>
      <c r="O460" s="206" t="str">
        <f t="shared" si="96"/>
        <v/>
      </c>
      <c r="P460" s="84" t="str">
        <f t="shared" si="97"/>
        <v/>
      </c>
      <c r="Q460" s="205"/>
      <c r="R460" s="70" t="str">
        <f>IF(S460="IN",'BOM_Phan II'!$Y$3,"")</f>
        <v/>
      </c>
      <c r="S460" s="69" t="str">
        <f t="shared" ref="S460:S523" si="105">IF(OR(E460&lt;&gt;"",D460&lt;&gt;""),"IN","")</f>
        <v/>
      </c>
      <c r="T460">
        <f t="shared" si="98"/>
        <v>3</v>
      </c>
      <c r="U460" t="str">
        <f t="shared" si="102"/>
        <v>KIỆN 14</v>
      </c>
      <c r="V460" t="str">
        <f t="shared" si="99"/>
        <v/>
      </c>
      <c r="W460" s="266"/>
      <c r="X460" s="266"/>
      <c r="Y460" s="266" t="str">
        <f t="shared" si="91"/>
        <v/>
      </c>
      <c r="Z460" s="266"/>
    </row>
    <row r="461" spans="1:26" ht="27" hidden="1" customHeight="1">
      <c r="A461" s="70" t="str">
        <f t="shared" si="103"/>
        <v/>
      </c>
      <c r="B461" s="70" t="str">
        <f t="shared" si="104"/>
        <v/>
      </c>
      <c r="C461" s="204" t="str" cm="1">
        <f t="array" ref="C461">IF(D461="","",
    IF(AND(ISNUMBER(D461), D461=INT(D461)),
        $V$6 &amp; " " &amp; (IFERROR(MAX($Y$12:$Y460), 0) + 1),
        IF(ISNUMBER(SEARCH(".", D461)), "", INDEX($C$12:$C461, MATCH(2, 1/($C$12:$C461 &lt;&gt; ""))))
    )
)</f>
        <v/>
      </c>
      <c r="D461" s="206"/>
      <c r="E461" s="206" t="str">
        <f>IF(AA461 = "", "",
    IF(ISNUMBER(SEARCH("Kiện", C461)),
       " GÓI " &amp; COUNTIF($C$13:C461, "*Kiện*") &amp; "/" &amp; COUNTIF($C$13:$C$1000, "*Kiện*") &amp; " " &amp; AA461,
       AA461)
)</f>
        <v/>
      </c>
      <c r="F461" s="206"/>
      <c r="G461" s="206"/>
      <c r="H461" s="206"/>
      <c r="I461" s="206"/>
      <c r="J461" s="206" t="str">
        <f t="shared" ref="J461:J524" si="106">IF(C461&lt;&gt;"",C461&amp;"_"&amp;$E$6,"")</f>
        <v/>
      </c>
      <c r="K461" s="206" t="str">
        <f t="shared" si="92"/>
        <v/>
      </c>
      <c r="L461" s="206" t="str">
        <f t="shared" si="93"/>
        <v/>
      </c>
      <c r="M461" s="206" t="str">
        <f t="shared" si="94"/>
        <v/>
      </c>
      <c r="N461" s="206" t="str">
        <f t="shared" si="95"/>
        <v/>
      </c>
      <c r="O461" s="206" t="str">
        <f t="shared" si="96"/>
        <v/>
      </c>
      <c r="P461" s="84" t="str">
        <f t="shared" si="97"/>
        <v/>
      </c>
      <c r="Q461" s="205"/>
      <c r="R461" s="70" t="str">
        <f>IF(S461="IN",'BOM_Phan II'!$Y$3,"")</f>
        <v/>
      </c>
      <c r="S461" s="69" t="str">
        <f t="shared" si="105"/>
        <v/>
      </c>
      <c r="T461">
        <f t="shared" si="98"/>
        <v>3</v>
      </c>
      <c r="U461" t="str">
        <f t="shared" si="102"/>
        <v>KIỆN 14</v>
      </c>
      <c r="V461" t="str">
        <f t="shared" si="99"/>
        <v/>
      </c>
      <c r="W461" s="266"/>
      <c r="X461" s="266"/>
      <c r="Y461" s="266" t="str">
        <f t="shared" ref="Y461:Y524" si="107">IFERROR(VALUE(RIGHT(C461,LEN(C461)-5)),"")</f>
        <v/>
      </c>
      <c r="Z461" s="266"/>
    </row>
    <row r="462" spans="1:26" ht="27" hidden="1" customHeight="1">
      <c r="A462" s="70" t="str">
        <f t="shared" si="103"/>
        <v/>
      </c>
      <c r="B462" s="70" t="str">
        <f t="shared" si="104"/>
        <v/>
      </c>
      <c r="C462" s="204" t="str" cm="1">
        <f t="array" ref="C462">IF(D462="","",
    IF(AND(ISNUMBER(D462), D462=INT(D462)),
        $V$6 &amp; " " &amp; (IFERROR(MAX($Y$12:$Y461), 0) + 1),
        IF(ISNUMBER(SEARCH(".", D462)), "", INDEX($C$12:$C462, MATCH(2, 1/($C$12:$C462 &lt;&gt; ""))))
    )
)</f>
        <v/>
      </c>
      <c r="D462" s="206"/>
      <c r="E462" s="206" t="str">
        <f>IF(AA462 = "", "",
    IF(ISNUMBER(SEARCH("Kiện", C462)),
       " GÓI " &amp; COUNTIF($C$13:C462, "*Kiện*") &amp; "/" &amp; COUNTIF($C$13:$C$1000, "*Kiện*") &amp; " " &amp; AA462,
       AA462)
)</f>
        <v/>
      </c>
      <c r="F462" s="206"/>
      <c r="G462" s="206"/>
      <c r="H462" s="206"/>
      <c r="I462" s="206"/>
      <c r="J462" s="206" t="str">
        <f t="shared" si="106"/>
        <v/>
      </c>
      <c r="K462" s="206" t="str">
        <f t="shared" ref="K462:K525" si="108">IFERROR(IF($C462&lt;&gt;"",IF($T$13=1,F462+20,IF($T$13=2,F462+20,IF($T$13=3,F462+50,IF($T$13=4,F462+40,IF($T$13=5,F462+50,IF($T$13=51,F462+50,IF($T$13=6,F462+50,IF($T$13=7,F462+50,"")))))))),""),"")</f>
        <v/>
      </c>
      <c r="L462" s="206" t="str">
        <f t="shared" ref="L462:L525" si="109">IFERROR(IF($C462&lt;&gt;"",IF($T$13=1,G462+20,IF($T$13=2,G462+20,IF($T$13=3,G462+50,IF($T$13=4,G462+40,IF($T$13=5,G462+50,IF($T$13=51,G462+50,IF($T$13=6,G462+50,IF($T$13=7,G462+50,"")))))))),""),"")</f>
        <v/>
      </c>
      <c r="M462" s="206" t="str">
        <f t="shared" ref="M462:M525" si="110">IFERROR(IF($C462&lt;&gt;"",IF($T$13=1,H462+20,IF($T$13=2,H462+20,IF($T$13=3,H462+70,IF($T$13=4,H462+40,IF($T$13=5,H462+50,IF($T$13=51,H462+150,IF($T$13=6,H462+50,IF($T$13=7,H462+50,"")))))))),""),"")</f>
        <v/>
      </c>
      <c r="N462" s="206" t="str">
        <f t="shared" ref="N462:N525" si="111">IF(C462&lt;&gt;"",I462,"")</f>
        <v/>
      </c>
      <c r="O462" s="206" t="str">
        <f t="shared" ref="O462:O525" si="112">IF(C462&lt;&gt;"",$O$13,"")</f>
        <v/>
      </c>
      <c r="P462" s="84" t="str">
        <f t="shared" ref="P462:P525" si="113">IFERROR(IF(C462&lt;&gt;"",SUMIFS($V$13:$V$969,$U$13:$U$969,C462)*$S$6,V462*$S$6),"")</f>
        <v/>
      </c>
      <c r="Q462" s="205"/>
      <c r="R462" s="70" t="str">
        <f>IF(S462="IN",'BOM_Phan II'!$Y$3,"")</f>
        <v/>
      </c>
      <c r="S462" s="69" t="str">
        <f t="shared" si="105"/>
        <v/>
      </c>
      <c r="T462">
        <f t="shared" ref="T462:T525" si="114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3</v>
      </c>
      <c r="U462" t="str">
        <f t="shared" si="102"/>
        <v>KIỆN 14</v>
      </c>
      <c r="V462" t="str">
        <f t="shared" ref="V462:V525" si="115">IFERROR(IF(AND(C462="", OR($W462="1", $W462="2")), IF(I462="", "", F462*G462*H462*I462/10^9), ""), "")</f>
        <v/>
      </c>
      <c r="W462" s="266"/>
      <c r="X462" s="266"/>
      <c r="Y462" s="266" t="str">
        <f t="shared" si="107"/>
        <v/>
      </c>
      <c r="Z462" s="266"/>
    </row>
    <row r="463" spans="1:26" ht="27" hidden="1" customHeight="1">
      <c r="A463" s="70" t="str">
        <f t="shared" si="103"/>
        <v/>
      </c>
      <c r="B463" s="70" t="str">
        <f t="shared" si="104"/>
        <v/>
      </c>
      <c r="C463" s="204" t="str" cm="1">
        <f t="array" ref="C463">IF(D463="","",
    IF(AND(ISNUMBER(D463), D463=INT(D463)),
        $V$6 &amp; " " &amp; (IFERROR(MAX($Y$12:$Y462), 0) + 1),
        IF(ISNUMBER(SEARCH(".", D463)), "", INDEX($C$12:$C463, MATCH(2, 1/($C$12:$C463 &lt;&gt; ""))))
    )
)</f>
        <v/>
      </c>
      <c r="D463" s="206"/>
      <c r="E463" s="206" t="str">
        <f>IF(AA463 = "", "",
    IF(ISNUMBER(SEARCH("Kiện", C463)),
       " GÓI " &amp; COUNTIF($C$13:C463, "*Kiện*") &amp; "/" &amp; COUNTIF($C$13:$C$1000, "*Kiện*") &amp; " " &amp; AA463,
       AA463)
)</f>
        <v/>
      </c>
      <c r="F463" s="206"/>
      <c r="G463" s="206"/>
      <c r="H463" s="206"/>
      <c r="I463" s="206"/>
      <c r="J463" s="206" t="str">
        <f t="shared" si="106"/>
        <v/>
      </c>
      <c r="K463" s="206" t="str">
        <f t="shared" si="108"/>
        <v/>
      </c>
      <c r="L463" s="206" t="str">
        <f t="shared" si="109"/>
        <v/>
      </c>
      <c r="M463" s="206" t="str">
        <f t="shared" si="110"/>
        <v/>
      </c>
      <c r="N463" s="206" t="str">
        <f t="shared" si="111"/>
        <v/>
      </c>
      <c r="O463" s="206" t="str">
        <f t="shared" si="112"/>
        <v/>
      </c>
      <c r="P463" s="84" t="str">
        <f t="shared" si="113"/>
        <v/>
      </c>
      <c r="Q463" s="205"/>
      <c r="R463" s="70" t="str">
        <f>IF(S463="IN",'BOM_Phan II'!$Y$3,"")</f>
        <v/>
      </c>
      <c r="S463" s="69" t="str">
        <f t="shared" si="105"/>
        <v/>
      </c>
      <c r="T463">
        <f t="shared" si="114"/>
        <v>3</v>
      </c>
      <c r="U463" t="str">
        <f t="shared" si="102"/>
        <v>KIỆN 14</v>
      </c>
      <c r="V463" t="str">
        <f t="shared" si="115"/>
        <v/>
      </c>
      <c r="W463" s="266"/>
      <c r="X463" s="266"/>
      <c r="Y463" s="266" t="str">
        <f t="shared" si="107"/>
        <v/>
      </c>
      <c r="Z463" s="266"/>
    </row>
    <row r="464" spans="1:26" ht="27" hidden="1" customHeight="1">
      <c r="A464" s="70" t="str">
        <f t="shared" si="103"/>
        <v/>
      </c>
      <c r="B464" s="70" t="str">
        <f t="shared" si="104"/>
        <v/>
      </c>
      <c r="C464" s="204" t="str" cm="1">
        <f t="array" ref="C464">IF(D464="","",
    IF(AND(ISNUMBER(D464), D464=INT(D464)),
        $V$6 &amp; " " &amp; (IFERROR(MAX($Y$12:$Y463), 0) + 1),
        IF(ISNUMBER(SEARCH(".", D464)), "", INDEX($C$12:$C464, MATCH(2, 1/($C$12:$C464 &lt;&gt; ""))))
    )
)</f>
        <v/>
      </c>
      <c r="D464" s="206"/>
      <c r="E464" s="206" t="str">
        <f>IF(AA464 = "", "",
    IF(ISNUMBER(SEARCH("Kiện", C464)),
       " GÓI " &amp; COUNTIF($C$13:C464, "*Kiện*") &amp; "/" &amp; COUNTIF($C$13:$C$1000, "*Kiện*") &amp; " " &amp; AA464,
       AA464)
)</f>
        <v/>
      </c>
      <c r="F464" s="206"/>
      <c r="G464" s="206"/>
      <c r="H464" s="206"/>
      <c r="I464" s="206"/>
      <c r="J464" s="206" t="str">
        <f t="shared" si="106"/>
        <v/>
      </c>
      <c r="K464" s="206" t="str">
        <f t="shared" si="108"/>
        <v/>
      </c>
      <c r="L464" s="206" t="str">
        <f t="shared" si="109"/>
        <v/>
      </c>
      <c r="M464" s="206" t="str">
        <f t="shared" si="110"/>
        <v/>
      </c>
      <c r="N464" s="206" t="str">
        <f t="shared" si="111"/>
        <v/>
      </c>
      <c r="O464" s="206" t="str">
        <f t="shared" si="112"/>
        <v/>
      </c>
      <c r="P464" s="84" t="str">
        <f t="shared" si="113"/>
        <v/>
      </c>
      <c r="Q464" s="205"/>
      <c r="R464" s="70" t="str">
        <f>IF(S464="IN",'BOM_Phan II'!$Y$3,"")</f>
        <v/>
      </c>
      <c r="S464" s="69" t="str">
        <f t="shared" si="105"/>
        <v/>
      </c>
      <c r="T464">
        <f t="shared" si="114"/>
        <v>3</v>
      </c>
      <c r="U464" t="str">
        <f t="shared" si="102"/>
        <v>KIỆN 14</v>
      </c>
      <c r="V464" t="str">
        <f t="shared" si="115"/>
        <v/>
      </c>
      <c r="W464" s="266"/>
      <c r="X464" s="266"/>
      <c r="Y464" s="266" t="str">
        <f t="shared" si="107"/>
        <v/>
      </c>
      <c r="Z464" s="266"/>
    </row>
    <row r="465" spans="1:26" ht="27" hidden="1" customHeight="1">
      <c r="A465" s="70" t="str">
        <f t="shared" si="103"/>
        <v/>
      </c>
      <c r="B465" s="70" t="str">
        <f t="shared" si="104"/>
        <v/>
      </c>
      <c r="C465" s="204" t="str" cm="1">
        <f t="array" ref="C465">IF(D465="","",
    IF(AND(ISNUMBER(D465), D465=INT(D465)),
        $V$6 &amp; " " &amp; (IFERROR(MAX($Y$12:$Y464), 0) + 1),
        IF(ISNUMBER(SEARCH(".", D465)), "", INDEX($C$12:$C465, MATCH(2, 1/($C$12:$C465 &lt;&gt; ""))))
    )
)</f>
        <v/>
      </c>
      <c r="D465" s="206"/>
      <c r="E465" s="206" t="str">
        <f>IF(AA465 = "", "",
    IF(ISNUMBER(SEARCH("Kiện", C465)),
       " GÓI " &amp; COUNTIF($C$13:C465, "*Kiện*") &amp; "/" &amp; COUNTIF($C$13:$C$1000, "*Kiện*") &amp; " " &amp; AA465,
       AA465)
)</f>
        <v/>
      </c>
      <c r="F465" s="206"/>
      <c r="G465" s="206"/>
      <c r="H465" s="206"/>
      <c r="I465" s="206"/>
      <c r="J465" s="206" t="str">
        <f t="shared" si="106"/>
        <v/>
      </c>
      <c r="K465" s="206" t="str">
        <f t="shared" si="108"/>
        <v/>
      </c>
      <c r="L465" s="206" t="str">
        <f t="shared" si="109"/>
        <v/>
      </c>
      <c r="M465" s="206" t="str">
        <f t="shared" si="110"/>
        <v/>
      </c>
      <c r="N465" s="206" t="str">
        <f t="shared" si="111"/>
        <v/>
      </c>
      <c r="O465" s="206" t="str">
        <f t="shared" si="112"/>
        <v/>
      </c>
      <c r="P465" s="84" t="str">
        <f t="shared" si="113"/>
        <v/>
      </c>
      <c r="Q465" s="205"/>
      <c r="R465" s="70" t="str">
        <f>IF(S465="IN",'BOM_Phan II'!$Y$3,"")</f>
        <v/>
      </c>
      <c r="S465" s="69" t="str">
        <f t="shared" si="105"/>
        <v/>
      </c>
      <c r="T465">
        <f t="shared" si="114"/>
        <v>3</v>
      </c>
      <c r="U465" t="str">
        <f t="shared" si="102"/>
        <v>KIỆN 14</v>
      </c>
      <c r="V465" t="str">
        <f t="shared" si="115"/>
        <v/>
      </c>
      <c r="W465" s="266"/>
      <c r="X465" s="266"/>
      <c r="Y465" s="266" t="str">
        <f t="shared" si="107"/>
        <v/>
      </c>
      <c r="Z465" s="266"/>
    </row>
    <row r="466" spans="1:26" ht="27" hidden="1" customHeight="1">
      <c r="A466" s="70" t="str">
        <f t="shared" si="103"/>
        <v/>
      </c>
      <c r="B466" s="70" t="str">
        <f t="shared" si="104"/>
        <v/>
      </c>
      <c r="C466" s="204" t="str" cm="1">
        <f t="array" ref="C466">IF(D466="","",
    IF(AND(ISNUMBER(D466), D466=INT(D466)),
        $V$6 &amp; " " &amp; (IFERROR(MAX($Y$12:$Y465), 0) + 1),
        IF(ISNUMBER(SEARCH(".", D466)), "", INDEX($C$12:$C466, MATCH(2, 1/($C$12:$C466 &lt;&gt; ""))))
    )
)</f>
        <v/>
      </c>
      <c r="D466" s="206"/>
      <c r="E466" s="206" t="str">
        <f>IF(AA466 = "", "",
    IF(ISNUMBER(SEARCH("Kiện", C466)),
       " GÓI " &amp; COUNTIF($C$13:C466, "*Kiện*") &amp; "/" &amp; COUNTIF($C$13:$C$1000, "*Kiện*") &amp; " " &amp; AA466,
       AA466)
)</f>
        <v/>
      </c>
      <c r="F466" s="206"/>
      <c r="G466" s="206"/>
      <c r="H466" s="206"/>
      <c r="I466" s="206"/>
      <c r="J466" s="206" t="str">
        <f t="shared" si="106"/>
        <v/>
      </c>
      <c r="K466" s="206" t="str">
        <f t="shared" si="108"/>
        <v/>
      </c>
      <c r="L466" s="206" t="str">
        <f t="shared" si="109"/>
        <v/>
      </c>
      <c r="M466" s="206" t="str">
        <f t="shared" si="110"/>
        <v/>
      </c>
      <c r="N466" s="206" t="str">
        <f t="shared" si="111"/>
        <v/>
      </c>
      <c r="O466" s="206" t="str">
        <f t="shared" si="112"/>
        <v/>
      </c>
      <c r="P466" s="84" t="str">
        <f t="shared" si="113"/>
        <v/>
      </c>
      <c r="Q466" s="205"/>
      <c r="R466" s="70" t="str">
        <f>IF(S466="IN",'BOM_Phan II'!$Y$3,"")</f>
        <v/>
      </c>
      <c r="S466" s="69" t="str">
        <f t="shared" si="105"/>
        <v/>
      </c>
      <c r="T466">
        <f t="shared" si="114"/>
        <v>3</v>
      </c>
      <c r="U466" t="str">
        <f t="shared" si="102"/>
        <v>KIỆN 14</v>
      </c>
      <c r="V466" t="str">
        <f t="shared" si="115"/>
        <v/>
      </c>
      <c r="W466" s="266"/>
      <c r="X466" s="266"/>
      <c r="Y466" s="266" t="str">
        <f t="shared" si="107"/>
        <v/>
      </c>
      <c r="Z466" s="266"/>
    </row>
    <row r="467" spans="1:26" ht="27" hidden="1" customHeight="1">
      <c r="A467" s="70" t="str">
        <f t="shared" si="103"/>
        <v/>
      </c>
      <c r="B467" s="70" t="str">
        <f t="shared" si="104"/>
        <v/>
      </c>
      <c r="C467" s="204" t="str" cm="1">
        <f t="array" ref="C467">IF(D467="","",
    IF(AND(ISNUMBER(D467), D467=INT(D467)),
        $V$6 &amp; " " &amp; (IFERROR(MAX($Y$12:$Y466), 0) + 1),
        IF(ISNUMBER(SEARCH(".", D467)), "", INDEX($C$12:$C467, MATCH(2, 1/($C$12:$C467 &lt;&gt; ""))))
    )
)</f>
        <v/>
      </c>
      <c r="D467" s="206"/>
      <c r="E467" s="206" t="str">
        <f>IF(AA467 = "", "",
    IF(ISNUMBER(SEARCH("Kiện", C467)),
       " GÓI " &amp; COUNTIF($C$13:C467, "*Kiện*") &amp; "/" &amp; COUNTIF($C$13:$C$1000, "*Kiện*") &amp; " " &amp; AA467,
       AA467)
)</f>
        <v/>
      </c>
      <c r="F467" s="206"/>
      <c r="G467" s="206"/>
      <c r="H467" s="206"/>
      <c r="I467" s="206"/>
      <c r="J467" s="206" t="str">
        <f t="shared" si="106"/>
        <v/>
      </c>
      <c r="K467" s="206" t="str">
        <f t="shared" si="108"/>
        <v/>
      </c>
      <c r="L467" s="206" t="str">
        <f t="shared" si="109"/>
        <v/>
      </c>
      <c r="M467" s="206" t="str">
        <f t="shared" si="110"/>
        <v/>
      </c>
      <c r="N467" s="206" t="str">
        <f t="shared" si="111"/>
        <v/>
      </c>
      <c r="O467" s="206" t="str">
        <f t="shared" si="112"/>
        <v/>
      </c>
      <c r="P467" s="84" t="str">
        <f t="shared" si="113"/>
        <v/>
      </c>
      <c r="Q467" s="205"/>
      <c r="R467" s="70" t="str">
        <f>IF(S467="IN",'BOM_Phan II'!$Y$3,"")</f>
        <v/>
      </c>
      <c r="S467" s="69" t="str">
        <f t="shared" si="105"/>
        <v/>
      </c>
      <c r="T467">
        <f t="shared" si="114"/>
        <v>3</v>
      </c>
      <c r="U467" t="str">
        <f t="shared" si="102"/>
        <v>KIỆN 14</v>
      </c>
      <c r="V467" t="str">
        <f t="shared" si="115"/>
        <v/>
      </c>
      <c r="W467" s="266"/>
      <c r="X467" s="266"/>
      <c r="Y467" s="266" t="str">
        <f t="shared" si="107"/>
        <v/>
      </c>
      <c r="Z467" s="266"/>
    </row>
    <row r="468" spans="1:26" ht="27" hidden="1" customHeight="1">
      <c r="A468" s="70" t="str">
        <f t="shared" si="103"/>
        <v/>
      </c>
      <c r="B468" s="70" t="str">
        <f t="shared" si="104"/>
        <v/>
      </c>
      <c r="C468" s="204" t="str" cm="1">
        <f t="array" ref="C468">IF(D468="","",
    IF(AND(ISNUMBER(D468), D468=INT(D468)),
        $V$6 &amp; " " &amp; (IFERROR(MAX($Y$12:$Y467), 0) + 1),
        IF(ISNUMBER(SEARCH(".", D468)), "", INDEX($C$12:$C468, MATCH(2, 1/($C$12:$C468 &lt;&gt; ""))))
    )
)</f>
        <v/>
      </c>
      <c r="D468" s="206"/>
      <c r="E468" s="206" t="str">
        <f>IF(AA468 = "", "",
    IF(ISNUMBER(SEARCH("Kiện", C468)),
       " GÓI " &amp; COUNTIF($C$13:C468, "*Kiện*") &amp; "/" &amp; COUNTIF($C$13:$C$1000, "*Kiện*") &amp; " " &amp; AA468,
       AA468)
)</f>
        <v/>
      </c>
      <c r="F468" s="206"/>
      <c r="G468" s="206"/>
      <c r="H468" s="206"/>
      <c r="I468" s="206"/>
      <c r="J468" s="206" t="str">
        <f t="shared" si="106"/>
        <v/>
      </c>
      <c r="K468" s="206" t="str">
        <f t="shared" si="108"/>
        <v/>
      </c>
      <c r="L468" s="206" t="str">
        <f t="shared" si="109"/>
        <v/>
      </c>
      <c r="M468" s="206" t="str">
        <f t="shared" si="110"/>
        <v/>
      </c>
      <c r="N468" s="206" t="str">
        <f t="shared" si="111"/>
        <v/>
      </c>
      <c r="O468" s="206" t="str">
        <f t="shared" si="112"/>
        <v/>
      </c>
      <c r="P468" s="84" t="str">
        <f t="shared" si="113"/>
        <v/>
      </c>
      <c r="Q468" s="205"/>
      <c r="R468" s="70" t="str">
        <f>IF(S468="IN",'BOM_Phan II'!$Y$3,"")</f>
        <v/>
      </c>
      <c r="S468" s="69" t="str">
        <f t="shared" si="105"/>
        <v/>
      </c>
      <c r="T468">
        <f t="shared" si="114"/>
        <v>3</v>
      </c>
      <c r="U468" t="str">
        <f t="shared" si="102"/>
        <v>KIỆN 14</v>
      </c>
      <c r="V468" t="str">
        <f t="shared" si="115"/>
        <v/>
      </c>
      <c r="W468" s="266"/>
      <c r="X468" s="266"/>
      <c r="Y468" s="266" t="str">
        <f t="shared" si="107"/>
        <v/>
      </c>
      <c r="Z468" s="266"/>
    </row>
    <row r="469" spans="1:26" ht="27" hidden="1" customHeight="1">
      <c r="A469" s="70" t="str">
        <f t="shared" si="103"/>
        <v/>
      </c>
      <c r="B469" s="70" t="str">
        <f t="shared" si="104"/>
        <v/>
      </c>
      <c r="C469" s="204" t="str" cm="1">
        <f t="array" ref="C469">IF(D469="","",
    IF(AND(ISNUMBER(D469), D469=INT(D469)),
        $V$6 &amp; " " &amp; (IFERROR(MAX($Y$12:$Y468), 0) + 1),
        IF(ISNUMBER(SEARCH(".", D469)), "", INDEX($C$12:$C469, MATCH(2, 1/($C$12:$C469 &lt;&gt; ""))))
    )
)</f>
        <v/>
      </c>
      <c r="D469" s="206"/>
      <c r="E469" s="206" t="str">
        <f>IF(AA469 = "", "",
    IF(ISNUMBER(SEARCH("Kiện", C469)),
       " GÓI " &amp; COUNTIF($C$13:C469, "*Kiện*") &amp; "/" &amp; COUNTIF($C$13:$C$1000, "*Kiện*") &amp; " " &amp; AA469,
       AA469)
)</f>
        <v/>
      </c>
      <c r="F469" s="206"/>
      <c r="G469" s="206"/>
      <c r="H469" s="206"/>
      <c r="I469" s="206"/>
      <c r="J469" s="206" t="str">
        <f t="shared" si="106"/>
        <v/>
      </c>
      <c r="K469" s="206" t="str">
        <f t="shared" si="108"/>
        <v/>
      </c>
      <c r="L469" s="206" t="str">
        <f t="shared" si="109"/>
        <v/>
      </c>
      <c r="M469" s="206" t="str">
        <f t="shared" si="110"/>
        <v/>
      </c>
      <c r="N469" s="206" t="str">
        <f t="shared" si="111"/>
        <v/>
      </c>
      <c r="O469" s="206" t="str">
        <f t="shared" si="112"/>
        <v/>
      </c>
      <c r="P469" s="84" t="str">
        <f t="shared" si="113"/>
        <v/>
      </c>
      <c r="Q469" s="205"/>
      <c r="R469" s="70" t="str">
        <f>IF(S469="IN",'BOM_Phan II'!$Y$3,"")</f>
        <v/>
      </c>
      <c r="S469" s="69" t="str">
        <f t="shared" si="105"/>
        <v/>
      </c>
      <c r="T469">
        <f t="shared" si="114"/>
        <v>3</v>
      </c>
      <c r="U469" t="str">
        <f t="shared" si="102"/>
        <v>KIỆN 14</v>
      </c>
      <c r="V469" t="str">
        <f t="shared" si="115"/>
        <v/>
      </c>
      <c r="W469" s="266"/>
      <c r="X469" s="266"/>
      <c r="Y469" s="266" t="str">
        <f t="shared" si="107"/>
        <v/>
      </c>
      <c r="Z469" s="266"/>
    </row>
    <row r="470" spans="1:26" ht="27" hidden="1" customHeight="1">
      <c r="A470" s="70" t="str">
        <f t="shared" si="103"/>
        <v/>
      </c>
      <c r="B470" s="70" t="str">
        <f t="shared" si="104"/>
        <v/>
      </c>
      <c r="C470" s="204" t="str" cm="1">
        <f t="array" ref="C470">IF(D470="","",
    IF(AND(ISNUMBER(D470), D470=INT(D470)),
        $V$6 &amp; " " &amp; (IFERROR(MAX($Y$12:$Y469), 0) + 1),
        IF(ISNUMBER(SEARCH(".", D470)), "", INDEX($C$12:$C470, MATCH(2, 1/($C$12:$C470 &lt;&gt; ""))))
    )
)</f>
        <v/>
      </c>
      <c r="D470" s="206"/>
      <c r="E470" s="206" t="str">
        <f>IF(AA470 = "", "",
    IF(ISNUMBER(SEARCH("Kiện", C470)),
       " GÓI " &amp; COUNTIF($C$13:C470, "*Kiện*") &amp; "/" &amp; COUNTIF($C$13:$C$1000, "*Kiện*") &amp; " " &amp; AA470,
       AA470)
)</f>
        <v/>
      </c>
      <c r="F470" s="206"/>
      <c r="G470" s="206"/>
      <c r="H470" s="206"/>
      <c r="I470" s="206"/>
      <c r="J470" s="206" t="str">
        <f t="shared" si="106"/>
        <v/>
      </c>
      <c r="K470" s="206" t="str">
        <f t="shared" si="108"/>
        <v/>
      </c>
      <c r="L470" s="206" t="str">
        <f t="shared" si="109"/>
        <v/>
      </c>
      <c r="M470" s="206" t="str">
        <f t="shared" si="110"/>
        <v/>
      </c>
      <c r="N470" s="206" t="str">
        <f t="shared" si="111"/>
        <v/>
      </c>
      <c r="O470" s="206" t="str">
        <f t="shared" si="112"/>
        <v/>
      </c>
      <c r="P470" s="84" t="str">
        <f t="shared" si="113"/>
        <v/>
      </c>
      <c r="Q470" s="205"/>
      <c r="R470" s="70" t="str">
        <f>IF(S470="IN",'BOM_Phan II'!$Y$3,"")</f>
        <v/>
      </c>
      <c r="S470" s="69" t="str">
        <f t="shared" si="105"/>
        <v/>
      </c>
      <c r="T470">
        <f t="shared" si="114"/>
        <v>3</v>
      </c>
      <c r="U470" t="str">
        <f t="shared" si="102"/>
        <v>KIỆN 14</v>
      </c>
      <c r="V470" t="str">
        <f t="shared" si="115"/>
        <v/>
      </c>
      <c r="W470" s="266"/>
      <c r="X470" s="266"/>
      <c r="Y470" s="266" t="str">
        <f t="shared" si="107"/>
        <v/>
      </c>
      <c r="Z470" s="266"/>
    </row>
    <row r="471" spans="1:26" ht="27" hidden="1" customHeight="1">
      <c r="A471" s="70" t="str">
        <f t="shared" si="103"/>
        <v/>
      </c>
      <c r="B471" s="70" t="str">
        <f t="shared" si="104"/>
        <v/>
      </c>
      <c r="C471" s="204" t="str" cm="1">
        <f t="array" ref="C471">IF(D471="","",
    IF(AND(ISNUMBER(D471), D471=INT(D471)),
        $V$6 &amp; " " &amp; (IFERROR(MAX($Y$12:$Y470), 0) + 1),
        IF(ISNUMBER(SEARCH(".", D471)), "", INDEX($C$12:$C471, MATCH(2, 1/($C$12:$C471 &lt;&gt; ""))))
    )
)</f>
        <v/>
      </c>
      <c r="D471" s="206"/>
      <c r="E471" s="206" t="str">
        <f>IF(AA471 = "", "",
    IF(ISNUMBER(SEARCH("Kiện", C471)),
       " GÓI " &amp; COUNTIF($C$13:C471, "*Kiện*") &amp; "/" &amp; COUNTIF($C$13:$C$1000, "*Kiện*") &amp; " " &amp; AA471,
       AA471)
)</f>
        <v/>
      </c>
      <c r="F471" s="206"/>
      <c r="G471" s="206"/>
      <c r="H471" s="206"/>
      <c r="I471" s="206"/>
      <c r="J471" s="206" t="str">
        <f t="shared" si="106"/>
        <v/>
      </c>
      <c r="K471" s="206" t="str">
        <f t="shared" si="108"/>
        <v/>
      </c>
      <c r="L471" s="206" t="str">
        <f t="shared" si="109"/>
        <v/>
      </c>
      <c r="M471" s="206" t="str">
        <f t="shared" si="110"/>
        <v/>
      </c>
      <c r="N471" s="206" t="str">
        <f t="shared" si="111"/>
        <v/>
      </c>
      <c r="O471" s="206" t="str">
        <f t="shared" si="112"/>
        <v/>
      </c>
      <c r="P471" s="84" t="str">
        <f t="shared" si="113"/>
        <v/>
      </c>
      <c r="Q471" s="205"/>
      <c r="R471" s="70" t="str">
        <f>IF(S471="IN",'BOM_Phan II'!$Y$3,"")</f>
        <v/>
      </c>
      <c r="S471" s="69" t="str">
        <f t="shared" si="105"/>
        <v/>
      </c>
      <c r="T471">
        <f t="shared" si="114"/>
        <v>3</v>
      </c>
      <c r="U471" t="str">
        <f t="shared" si="102"/>
        <v>KIỆN 14</v>
      </c>
      <c r="V471" t="str">
        <f t="shared" si="115"/>
        <v/>
      </c>
      <c r="W471" s="266"/>
      <c r="X471" s="266"/>
      <c r="Y471" s="266" t="str">
        <f t="shared" si="107"/>
        <v/>
      </c>
      <c r="Z471" s="266"/>
    </row>
    <row r="472" spans="1:26" ht="27" hidden="1" customHeight="1">
      <c r="A472" s="70" t="str">
        <f t="shared" si="103"/>
        <v/>
      </c>
      <c r="B472" s="70" t="str">
        <f t="shared" si="104"/>
        <v/>
      </c>
      <c r="C472" s="204" t="str" cm="1">
        <f t="array" ref="C472">IF(D472="","",
    IF(AND(ISNUMBER(D472), D472=INT(D472)),
        $V$6 &amp; " " &amp; (IFERROR(MAX($Y$12:$Y471), 0) + 1),
        IF(ISNUMBER(SEARCH(".", D472)), "", INDEX($C$12:$C472, MATCH(2, 1/($C$12:$C472 &lt;&gt; ""))))
    )
)</f>
        <v/>
      </c>
      <c r="D472" s="206"/>
      <c r="E472" s="206" t="str">
        <f>IF(AA472 = "", "",
    IF(ISNUMBER(SEARCH("Kiện", C472)),
       " GÓI " &amp; COUNTIF($C$13:C472, "*Kiện*") &amp; "/" &amp; COUNTIF($C$13:$C$1000, "*Kiện*") &amp; " " &amp; AA472,
       AA472)
)</f>
        <v/>
      </c>
      <c r="F472" s="206"/>
      <c r="G472" s="206"/>
      <c r="H472" s="206"/>
      <c r="I472" s="206"/>
      <c r="J472" s="206" t="str">
        <f t="shared" si="106"/>
        <v/>
      </c>
      <c r="K472" s="206" t="str">
        <f t="shared" si="108"/>
        <v/>
      </c>
      <c r="L472" s="206" t="str">
        <f t="shared" si="109"/>
        <v/>
      </c>
      <c r="M472" s="206" t="str">
        <f t="shared" si="110"/>
        <v/>
      </c>
      <c r="N472" s="206" t="str">
        <f t="shared" si="111"/>
        <v/>
      </c>
      <c r="O472" s="206" t="str">
        <f t="shared" si="112"/>
        <v/>
      </c>
      <c r="P472" s="84" t="str">
        <f t="shared" si="113"/>
        <v/>
      </c>
      <c r="Q472" s="205"/>
      <c r="R472" s="70" t="str">
        <f>IF(S472="IN",'BOM_Phan II'!$Y$3,"")</f>
        <v/>
      </c>
      <c r="S472" s="69" t="str">
        <f t="shared" si="105"/>
        <v/>
      </c>
      <c r="T472">
        <f t="shared" si="114"/>
        <v>3</v>
      </c>
      <c r="U472" t="str">
        <f t="shared" si="102"/>
        <v>KIỆN 14</v>
      </c>
      <c r="V472" t="str">
        <f t="shared" si="115"/>
        <v/>
      </c>
      <c r="W472" s="266"/>
      <c r="X472" s="266"/>
      <c r="Y472" s="266" t="str">
        <f t="shared" si="107"/>
        <v/>
      </c>
      <c r="Z472" s="266"/>
    </row>
    <row r="473" spans="1:26" ht="27" hidden="1" customHeight="1">
      <c r="A473" s="70" t="str">
        <f t="shared" si="103"/>
        <v/>
      </c>
      <c r="B473" s="70" t="str">
        <f t="shared" si="104"/>
        <v/>
      </c>
      <c r="C473" s="204" t="str" cm="1">
        <f t="array" ref="C473">IF(D473="","",
    IF(AND(ISNUMBER(D473), D473=INT(D473)),
        $V$6 &amp; " " &amp; (IFERROR(MAX($Y$12:$Y472), 0) + 1),
        IF(ISNUMBER(SEARCH(".", D473)), "", INDEX($C$12:$C473, MATCH(2, 1/($C$12:$C473 &lt;&gt; ""))))
    )
)</f>
        <v/>
      </c>
      <c r="D473" s="206"/>
      <c r="E473" s="206" t="str">
        <f>IF(AA473 = "", "",
    IF(ISNUMBER(SEARCH("Kiện", C473)),
       " GÓI " &amp; COUNTIF($C$13:C473, "*Kiện*") &amp; "/" &amp; COUNTIF($C$13:$C$1000, "*Kiện*") &amp; " " &amp; AA473,
       AA473)
)</f>
        <v/>
      </c>
      <c r="F473" s="206"/>
      <c r="G473" s="206"/>
      <c r="H473" s="206"/>
      <c r="I473" s="206"/>
      <c r="J473" s="206" t="str">
        <f t="shared" si="106"/>
        <v/>
      </c>
      <c r="K473" s="206" t="str">
        <f t="shared" si="108"/>
        <v/>
      </c>
      <c r="L473" s="206" t="str">
        <f t="shared" si="109"/>
        <v/>
      </c>
      <c r="M473" s="206" t="str">
        <f t="shared" si="110"/>
        <v/>
      </c>
      <c r="N473" s="206" t="str">
        <f t="shared" si="111"/>
        <v/>
      </c>
      <c r="O473" s="206" t="str">
        <f t="shared" si="112"/>
        <v/>
      </c>
      <c r="P473" s="84" t="str">
        <f t="shared" si="113"/>
        <v/>
      </c>
      <c r="Q473" s="205"/>
      <c r="R473" s="70" t="str">
        <f>IF(S473="IN",'BOM_Phan II'!$Y$3,"")</f>
        <v/>
      </c>
      <c r="S473" s="69" t="str">
        <f t="shared" si="105"/>
        <v/>
      </c>
      <c r="T473">
        <f t="shared" si="114"/>
        <v>3</v>
      </c>
      <c r="U473" t="str">
        <f t="shared" si="102"/>
        <v>KIỆN 14</v>
      </c>
      <c r="V473" t="str">
        <f t="shared" si="115"/>
        <v/>
      </c>
      <c r="W473" s="266"/>
      <c r="X473" s="266"/>
      <c r="Y473" s="266" t="str">
        <f t="shared" si="107"/>
        <v/>
      </c>
      <c r="Z473" s="266"/>
    </row>
    <row r="474" spans="1:26" ht="27" hidden="1" customHeight="1">
      <c r="A474" s="70" t="str">
        <f t="shared" si="103"/>
        <v/>
      </c>
      <c r="B474" s="70" t="str">
        <f t="shared" si="104"/>
        <v/>
      </c>
      <c r="C474" s="204" t="str" cm="1">
        <f t="array" ref="C474">IF(D474="","",
    IF(AND(ISNUMBER(D474), D474=INT(D474)),
        $V$6 &amp; " " &amp; (IFERROR(MAX($Y$12:$Y473), 0) + 1),
        IF(ISNUMBER(SEARCH(".", D474)), "", INDEX($C$12:$C474, MATCH(2, 1/($C$12:$C474 &lt;&gt; ""))))
    )
)</f>
        <v/>
      </c>
      <c r="D474" s="206"/>
      <c r="E474" s="206" t="str">
        <f>IF(AA474 = "", "",
    IF(ISNUMBER(SEARCH("Kiện", C474)),
       " GÓI " &amp; COUNTIF($C$13:C474, "*Kiện*") &amp; "/" &amp; COUNTIF($C$13:$C$1000, "*Kiện*") &amp; " " &amp; AA474,
       AA474)
)</f>
        <v/>
      </c>
      <c r="F474" s="206"/>
      <c r="G474" s="206"/>
      <c r="H474" s="206"/>
      <c r="I474" s="206"/>
      <c r="J474" s="206" t="str">
        <f t="shared" si="106"/>
        <v/>
      </c>
      <c r="K474" s="206" t="str">
        <f t="shared" si="108"/>
        <v/>
      </c>
      <c r="L474" s="206" t="str">
        <f t="shared" si="109"/>
        <v/>
      </c>
      <c r="M474" s="206" t="str">
        <f t="shared" si="110"/>
        <v/>
      </c>
      <c r="N474" s="206" t="str">
        <f t="shared" si="111"/>
        <v/>
      </c>
      <c r="O474" s="206" t="str">
        <f t="shared" si="112"/>
        <v/>
      </c>
      <c r="P474" s="84" t="str">
        <f t="shared" si="113"/>
        <v/>
      </c>
      <c r="Q474" s="205"/>
      <c r="R474" s="70" t="str">
        <f>IF(S474="IN",'BOM_Phan II'!$Y$3,"")</f>
        <v/>
      </c>
      <c r="S474" s="69" t="str">
        <f t="shared" si="105"/>
        <v/>
      </c>
      <c r="T474">
        <f t="shared" si="114"/>
        <v>3</v>
      </c>
      <c r="U474" t="str">
        <f t="shared" si="102"/>
        <v>KIỆN 14</v>
      </c>
      <c r="V474" t="str">
        <f t="shared" si="115"/>
        <v/>
      </c>
      <c r="W474" s="266"/>
      <c r="X474" s="266"/>
      <c r="Y474" s="266" t="str">
        <f t="shared" si="107"/>
        <v/>
      </c>
      <c r="Z474" s="266"/>
    </row>
    <row r="475" spans="1:26" ht="27" hidden="1" customHeight="1">
      <c r="A475" s="70" t="str">
        <f t="shared" si="103"/>
        <v/>
      </c>
      <c r="B475" s="70" t="str">
        <f t="shared" si="104"/>
        <v/>
      </c>
      <c r="C475" s="204" t="str" cm="1">
        <f t="array" ref="C475">IF(D475="","",
    IF(AND(ISNUMBER(D475), D475=INT(D475)),
        $V$6 &amp; " " &amp; (IFERROR(MAX($Y$12:$Y474), 0) + 1),
        IF(ISNUMBER(SEARCH(".", D475)), "", INDEX($C$12:$C475, MATCH(2, 1/($C$12:$C475 &lt;&gt; ""))))
    )
)</f>
        <v/>
      </c>
      <c r="D475" s="206"/>
      <c r="E475" s="206" t="str">
        <f>IF(AA475 = "", "",
    IF(ISNUMBER(SEARCH("Kiện", C475)),
       " GÓI " &amp; COUNTIF($C$13:C475, "*Kiện*") &amp; "/" &amp; COUNTIF($C$13:$C$1000, "*Kiện*") &amp; " " &amp; AA475,
       AA475)
)</f>
        <v/>
      </c>
      <c r="F475" s="206"/>
      <c r="G475" s="206"/>
      <c r="H475" s="206"/>
      <c r="I475" s="206"/>
      <c r="J475" s="206" t="str">
        <f t="shared" si="106"/>
        <v/>
      </c>
      <c r="K475" s="206" t="str">
        <f t="shared" si="108"/>
        <v/>
      </c>
      <c r="L475" s="206" t="str">
        <f t="shared" si="109"/>
        <v/>
      </c>
      <c r="M475" s="206" t="str">
        <f t="shared" si="110"/>
        <v/>
      </c>
      <c r="N475" s="206" t="str">
        <f t="shared" si="111"/>
        <v/>
      </c>
      <c r="O475" s="206" t="str">
        <f t="shared" si="112"/>
        <v/>
      </c>
      <c r="P475" s="84" t="str">
        <f t="shared" si="113"/>
        <v/>
      </c>
      <c r="Q475" s="205"/>
      <c r="R475" s="70" t="str">
        <f>IF(S475="IN",'BOM_Phan II'!$Y$3,"")</f>
        <v/>
      </c>
      <c r="S475" s="69" t="str">
        <f t="shared" si="105"/>
        <v/>
      </c>
      <c r="T475">
        <f t="shared" si="114"/>
        <v>3</v>
      </c>
      <c r="U475" t="str">
        <f t="shared" si="102"/>
        <v>KIỆN 14</v>
      </c>
      <c r="V475" t="str">
        <f t="shared" si="115"/>
        <v/>
      </c>
      <c r="W475" s="266"/>
      <c r="X475" s="266"/>
      <c r="Y475" s="266" t="str">
        <f t="shared" si="107"/>
        <v/>
      </c>
      <c r="Z475" s="266"/>
    </row>
    <row r="476" spans="1:26" ht="27" hidden="1" customHeight="1">
      <c r="A476" s="70" t="str">
        <f t="shared" si="103"/>
        <v/>
      </c>
      <c r="B476" s="70" t="str">
        <f t="shared" si="104"/>
        <v/>
      </c>
      <c r="C476" s="204" t="str" cm="1">
        <f t="array" ref="C476">IF(D476="","",
    IF(AND(ISNUMBER(D476), D476=INT(D476)),
        $V$6 &amp; " " &amp; (IFERROR(MAX($Y$12:$Y475), 0) + 1),
        IF(ISNUMBER(SEARCH(".", D476)), "", INDEX($C$12:$C476, MATCH(2, 1/($C$12:$C476 &lt;&gt; ""))))
    )
)</f>
        <v/>
      </c>
      <c r="D476" s="206"/>
      <c r="E476" s="206" t="str">
        <f>IF(AA476 = "", "",
    IF(ISNUMBER(SEARCH("Kiện", C476)),
       " GÓI " &amp; COUNTIF($C$13:C476, "*Kiện*") &amp; "/" &amp; COUNTIF($C$13:$C$1000, "*Kiện*") &amp; " " &amp; AA476,
       AA476)
)</f>
        <v/>
      </c>
      <c r="F476" s="206"/>
      <c r="G476" s="206"/>
      <c r="H476" s="206"/>
      <c r="I476" s="206"/>
      <c r="J476" s="206" t="str">
        <f t="shared" si="106"/>
        <v/>
      </c>
      <c r="K476" s="206" t="str">
        <f t="shared" si="108"/>
        <v/>
      </c>
      <c r="L476" s="206" t="str">
        <f t="shared" si="109"/>
        <v/>
      </c>
      <c r="M476" s="206" t="str">
        <f t="shared" si="110"/>
        <v/>
      </c>
      <c r="N476" s="206" t="str">
        <f t="shared" si="111"/>
        <v/>
      </c>
      <c r="O476" s="206" t="str">
        <f t="shared" si="112"/>
        <v/>
      </c>
      <c r="P476" s="84" t="str">
        <f t="shared" si="113"/>
        <v/>
      </c>
      <c r="Q476" s="205"/>
      <c r="R476" s="70" t="str">
        <f>IF(S476="IN",'BOM_Phan II'!$Y$3,"")</f>
        <v/>
      </c>
      <c r="S476" s="69" t="str">
        <f t="shared" si="105"/>
        <v/>
      </c>
      <c r="T476">
        <f t="shared" si="114"/>
        <v>3</v>
      </c>
      <c r="U476" t="str">
        <f t="shared" si="102"/>
        <v>KIỆN 14</v>
      </c>
      <c r="V476" t="str">
        <f t="shared" si="115"/>
        <v/>
      </c>
      <c r="W476" s="266"/>
      <c r="X476" s="266"/>
      <c r="Y476" s="266" t="str">
        <f t="shared" si="107"/>
        <v/>
      </c>
      <c r="Z476" s="266"/>
    </row>
    <row r="477" spans="1:26" ht="27" hidden="1" customHeight="1">
      <c r="A477" s="70" t="str">
        <f t="shared" si="103"/>
        <v/>
      </c>
      <c r="B477" s="70" t="str">
        <f t="shared" si="104"/>
        <v/>
      </c>
      <c r="C477" s="204" t="str" cm="1">
        <f t="array" ref="C477">IF(D477="","",
    IF(AND(ISNUMBER(D477), D477=INT(D477)),
        $V$6 &amp; " " &amp; (IFERROR(MAX($Y$12:$Y476), 0) + 1),
        IF(ISNUMBER(SEARCH(".", D477)), "", INDEX($C$12:$C477, MATCH(2, 1/($C$12:$C477 &lt;&gt; ""))))
    )
)</f>
        <v/>
      </c>
      <c r="D477" s="206"/>
      <c r="E477" s="206" t="str">
        <f>IF(AA477 = "", "",
    IF(ISNUMBER(SEARCH("Kiện", C477)),
       " GÓI " &amp; COUNTIF($C$13:C477, "*Kiện*") &amp; "/" &amp; COUNTIF($C$13:$C$1000, "*Kiện*") &amp; " " &amp; AA477,
       AA477)
)</f>
        <v/>
      </c>
      <c r="F477" s="206"/>
      <c r="G477" s="206"/>
      <c r="H477" s="206"/>
      <c r="I477" s="206"/>
      <c r="J477" s="206" t="str">
        <f t="shared" si="106"/>
        <v/>
      </c>
      <c r="K477" s="206" t="str">
        <f t="shared" si="108"/>
        <v/>
      </c>
      <c r="L477" s="206" t="str">
        <f t="shared" si="109"/>
        <v/>
      </c>
      <c r="M477" s="206" t="str">
        <f t="shared" si="110"/>
        <v/>
      </c>
      <c r="N477" s="206" t="str">
        <f t="shared" si="111"/>
        <v/>
      </c>
      <c r="O477" s="206" t="str">
        <f t="shared" si="112"/>
        <v/>
      </c>
      <c r="P477" s="84" t="str">
        <f t="shared" si="113"/>
        <v/>
      </c>
      <c r="Q477" s="205"/>
      <c r="R477" s="70" t="str">
        <f>IF(S477="IN",'BOM_Phan II'!$Y$3,"")</f>
        <v/>
      </c>
      <c r="S477" s="69" t="str">
        <f t="shared" si="105"/>
        <v/>
      </c>
      <c r="T477">
        <f t="shared" si="114"/>
        <v>3</v>
      </c>
      <c r="U477" t="str">
        <f t="shared" si="102"/>
        <v>KIỆN 14</v>
      </c>
      <c r="V477" t="str">
        <f t="shared" si="115"/>
        <v/>
      </c>
      <c r="W477" s="266"/>
      <c r="X477" s="266"/>
      <c r="Y477" s="266" t="str">
        <f t="shared" si="107"/>
        <v/>
      </c>
      <c r="Z477" s="266"/>
    </row>
    <row r="478" spans="1:26" ht="27" hidden="1" customHeight="1">
      <c r="A478" s="70" t="str">
        <f t="shared" si="103"/>
        <v/>
      </c>
      <c r="B478" s="70" t="str">
        <f t="shared" si="104"/>
        <v/>
      </c>
      <c r="C478" s="204" t="str" cm="1">
        <f t="array" ref="C478">IF(D478="","",
    IF(AND(ISNUMBER(D478), D478=INT(D478)),
        $V$6 &amp; " " &amp; (IFERROR(MAX($Y$12:$Y477), 0) + 1),
        IF(ISNUMBER(SEARCH(".", D478)), "", INDEX($C$12:$C478, MATCH(2, 1/($C$12:$C478 &lt;&gt; ""))))
    )
)</f>
        <v/>
      </c>
      <c r="D478" s="206"/>
      <c r="E478" s="206" t="str">
        <f>IF(AA478 = "", "",
    IF(ISNUMBER(SEARCH("Kiện", C478)),
       " GÓI " &amp; COUNTIF($C$13:C478, "*Kiện*") &amp; "/" &amp; COUNTIF($C$13:$C$1000, "*Kiện*") &amp; " " &amp; AA478,
       AA478)
)</f>
        <v/>
      </c>
      <c r="F478" s="206"/>
      <c r="G478" s="206"/>
      <c r="H478" s="206"/>
      <c r="I478" s="206"/>
      <c r="J478" s="206" t="str">
        <f t="shared" si="106"/>
        <v/>
      </c>
      <c r="K478" s="206" t="str">
        <f t="shared" si="108"/>
        <v/>
      </c>
      <c r="L478" s="206" t="str">
        <f t="shared" si="109"/>
        <v/>
      </c>
      <c r="M478" s="206" t="str">
        <f t="shared" si="110"/>
        <v/>
      </c>
      <c r="N478" s="206" t="str">
        <f t="shared" si="111"/>
        <v/>
      </c>
      <c r="O478" s="206" t="str">
        <f t="shared" si="112"/>
        <v/>
      </c>
      <c r="P478" s="84" t="str">
        <f t="shared" si="113"/>
        <v/>
      </c>
      <c r="Q478" s="205"/>
      <c r="R478" s="70" t="str">
        <f>IF(S478="IN",'BOM_Phan II'!$Y$3,"")</f>
        <v/>
      </c>
      <c r="S478" s="69" t="str">
        <f t="shared" si="105"/>
        <v/>
      </c>
      <c r="T478">
        <f t="shared" si="114"/>
        <v>3</v>
      </c>
      <c r="U478" t="str">
        <f t="shared" si="102"/>
        <v>KIỆN 14</v>
      </c>
      <c r="V478" t="str">
        <f t="shared" si="115"/>
        <v/>
      </c>
      <c r="W478" s="266"/>
      <c r="X478" s="266"/>
      <c r="Y478" s="266" t="str">
        <f t="shared" si="107"/>
        <v/>
      </c>
      <c r="Z478" s="266"/>
    </row>
    <row r="479" spans="1:26" ht="27" hidden="1" customHeight="1">
      <c r="A479" s="70" t="str">
        <f t="shared" si="103"/>
        <v/>
      </c>
      <c r="B479" s="70" t="str">
        <f t="shared" si="104"/>
        <v/>
      </c>
      <c r="C479" s="204" t="str" cm="1">
        <f t="array" ref="C479">IF(D479="","",
    IF(AND(ISNUMBER(D479), D479=INT(D479)),
        $V$6 &amp; " " &amp; (IFERROR(MAX($Y$12:$Y478), 0) + 1),
        IF(ISNUMBER(SEARCH(".", D479)), "", INDEX($C$12:$C479, MATCH(2, 1/($C$12:$C479 &lt;&gt; ""))))
    )
)</f>
        <v/>
      </c>
      <c r="D479" s="206"/>
      <c r="E479" s="206" t="str">
        <f>IF(AA479 = "", "",
    IF(ISNUMBER(SEARCH("Kiện", C479)),
       " GÓI " &amp; COUNTIF($C$13:C479, "*Kiện*") &amp; "/" &amp; COUNTIF($C$13:$C$1000, "*Kiện*") &amp; " " &amp; AA479,
       AA479)
)</f>
        <v/>
      </c>
      <c r="F479" s="206"/>
      <c r="G479" s="206"/>
      <c r="H479" s="206"/>
      <c r="I479" s="206"/>
      <c r="J479" s="206" t="str">
        <f t="shared" si="106"/>
        <v/>
      </c>
      <c r="K479" s="206" t="str">
        <f t="shared" si="108"/>
        <v/>
      </c>
      <c r="L479" s="206" t="str">
        <f t="shared" si="109"/>
        <v/>
      </c>
      <c r="M479" s="206" t="str">
        <f t="shared" si="110"/>
        <v/>
      </c>
      <c r="N479" s="206" t="str">
        <f t="shared" si="111"/>
        <v/>
      </c>
      <c r="O479" s="206" t="str">
        <f t="shared" si="112"/>
        <v/>
      </c>
      <c r="P479" s="84" t="str">
        <f t="shared" si="113"/>
        <v/>
      </c>
      <c r="Q479" s="205"/>
      <c r="R479" s="70" t="str">
        <f>IF(S479="IN",'BOM_Phan II'!$Y$3,"")</f>
        <v/>
      </c>
      <c r="S479" s="69" t="str">
        <f t="shared" si="105"/>
        <v/>
      </c>
      <c r="T479">
        <f t="shared" si="114"/>
        <v>3</v>
      </c>
      <c r="U479" t="str">
        <f t="shared" si="102"/>
        <v>KIỆN 14</v>
      </c>
      <c r="V479" t="str">
        <f t="shared" si="115"/>
        <v/>
      </c>
      <c r="W479" s="266"/>
      <c r="X479" s="266"/>
      <c r="Y479" s="266" t="str">
        <f t="shared" si="107"/>
        <v/>
      </c>
      <c r="Z479" s="266"/>
    </row>
    <row r="480" spans="1:26" ht="27" hidden="1" customHeight="1">
      <c r="A480" s="70" t="str">
        <f t="shared" si="103"/>
        <v/>
      </c>
      <c r="B480" s="70" t="str">
        <f t="shared" si="104"/>
        <v/>
      </c>
      <c r="C480" s="204" t="str" cm="1">
        <f t="array" ref="C480">IF(D480="","",
    IF(AND(ISNUMBER(D480), D480=INT(D480)),
        $V$6 &amp; " " &amp; (IFERROR(MAX($Y$12:$Y479), 0) + 1),
        IF(ISNUMBER(SEARCH(".", D480)), "", INDEX($C$12:$C480, MATCH(2, 1/($C$12:$C480 &lt;&gt; ""))))
    )
)</f>
        <v/>
      </c>
      <c r="D480" s="206"/>
      <c r="E480" s="206" t="str">
        <f>IF(AA480 = "", "",
    IF(ISNUMBER(SEARCH("Kiện", C480)),
       " GÓI " &amp; COUNTIF($C$13:C480, "*Kiện*") &amp; "/" &amp; COUNTIF($C$13:$C$1000, "*Kiện*") &amp; " " &amp; AA480,
       AA480)
)</f>
        <v/>
      </c>
      <c r="F480" s="206"/>
      <c r="G480" s="206"/>
      <c r="H480" s="206"/>
      <c r="I480" s="206"/>
      <c r="J480" s="206" t="str">
        <f t="shared" si="106"/>
        <v/>
      </c>
      <c r="K480" s="206" t="str">
        <f t="shared" si="108"/>
        <v/>
      </c>
      <c r="L480" s="206" t="str">
        <f t="shared" si="109"/>
        <v/>
      </c>
      <c r="M480" s="206" t="str">
        <f t="shared" si="110"/>
        <v/>
      </c>
      <c r="N480" s="206" t="str">
        <f t="shared" si="111"/>
        <v/>
      </c>
      <c r="O480" s="206" t="str">
        <f t="shared" si="112"/>
        <v/>
      </c>
      <c r="P480" s="84" t="str">
        <f t="shared" si="113"/>
        <v/>
      </c>
      <c r="Q480" s="205"/>
      <c r="R480" s="70" t="str">
        <f>IF(S480="IN",'BOM_Phan II'!$Y$3,"")</f>
        <v/>
      </c>
      <c r="S480" s="69" t="str">
        <f t="shared" si="105"/>
        <v/>
      </c>
      <c r="T480">
        <f t="shared" si="114"/>
        <v>3</v>
      </c>
      <c r="U480" t="str">
        <f t="shared" si="102"/>
        <v>KIỆN 14</v>
      </c>
      <c r="V480" t="str">
        <f t="shared" si="115"/>
        <v/>
      </c>
      <c r="W480" s="266"/>
      <c r="X480" s="266"/>
      <c r="Y480" s="266" t="str">
        <f t="shared" si="107"/>
        <v/>
      </c>
      <c r="Z480" s="266"/>
    </row>
    <row r="481" spans="1:26" ht="27" hidden="1" customHeight="1">
      <c r="A481" s="70" t="str">
        <f t="shared" si="103"/>
        <v/>
      </c>
      <c r="B481" s="70" t="str">
        <f t="shared" si="104"/>
        <v/>
      </c>
      <c r="C481" s="204" t="str" cm="1">
        <f t="array" ref="C481">IF(D481="","",
    IF(AND(ISNUMBER(D481), D481=INT(D481)),
        $V$6 &amp; " " &amp; (IFERROR(MAX($Y$12:$Y480), 0) + 1),
        IF(ISNUMBER(SEARCH(".", D481)), "", INDEX($C$12:$C481, MATCH(2, 1/($C$12:$C481 &lt;&gt; ""))))
    )
)</f>
        <v/>
      </c>
      <c r="D481" s="206"/>
      <c r="E481" s="206" t="str">
        <f>IF(AA481 = "", "",
    IF(ISNUMBER(SEARCH("Kiện", C481)),
       " GÓI " &amp; COUNTIF($C$13:C481, "*Kiện*") &amp; "/" &amp; COUNTIF($C$13:$C$1000, "*Kiện*") &amp; " " &amp; AA481,
       AA481)
)</f>
        <v/>
      </c>
      <c r="F481" s="206"/>
      <c r="G481" s="206"/>
      <c r="H481" s="206"/>
      <c r="I481" s="206"/>
      <c r="J481" s="206" t="str">
        <f t="shared" si="106"/>
        <v/>
      </c>
      <c r="K481" s="206" t="str">
        <f t="shared" si="108"/>
        <v/>
      </c>
      <c r="L481" s="206" t="str">
        <f t="shared" si="109"/>
        <v/>
      </c>
      <c r="M481" s="206" t="str">
        <f t="shared" si="110"/>
        <v/>
      </c>
      <c r="N481" s="206" t="str">
        <f t="shared" si="111"/>
        <v/>
      </c>
      <c r="O481" s="206" t="str">
        <f t="shared" si="112"/>
        <v/>
      </c>
      <c r="P481" s="84" t="str">
        <f t="shared" si="113"/>
        <v/>
      </c>
      <c r="Q481" s="205"/>
      <c r="R481" s="70" t="str">
        <f>IF(S481="IN",'BOM_Phan II'!$Y$3,"")</f>
        <v/>
      </c>
      <c r="S481" s="69" t="str">
        <f t="shared" si="105"/>
        <v/>
      </c>
      <c r="T481">
        <f t="shared" si="114"/>
        <v>3</v>
      </c>
      <c r="U481" t="str">
        <f t="shared" si="102"/>
        <v>KIỆN 14</v>
      </c>
      <c r="V481" t="str">
        <f t="shared" si="115"/>
        <v/>
      </c>
      <c r="W481" s="266"/>
      <c r="X481" s="266"/>
      <c r="Y481" s="266" t="str">
        <f t="shared" si="107"/>
        <v/>
      </c>
      <c r="Z481" s="266"/>
    </row>
    <row r="482" spans="1:26" ht="27" hidden="1" customHeight="1">
      <c r="A482" s="70" t="str">
        <f t="shared" si="103"/>
        <v/>
      </c>
      <c r="B482" s="70" t="str">
        <f t="shared" si="104"/>
        <v/>
      </c>
      <c r="C482" s="204" t="str" cm="1">
        <f t="array" ref="C482">IF(D482="","",
    IF(AND(ISNUMBER(D482), D482=INT(D482)),
        $V$6 &amp; " " &amp; (IFERROR(MAX($Y$12:$Y481), 0) + 1),
        IF(ISNUMBER(SEARCH(".", D482)), "", INDEX($C$12:$C482, MATCH(2, 1/($C$12:$C482 &lt;&gt; ""))))
    )
)</f>
        <v/>
      </c>
      <c r="D482" s="206"/>
      <c r="E482" s="206" t="str">
        <f>IF(AA482 = "", "",
    IF(ISNUMBER(SEARCH("Kiện", C482)),
       " GÓI " &amp; COUNTIF($C$13:C482, "*Kiện*") &amp; "/" &amp; COUNTIF($C$13:$C$1000, "*Kiện*") &amp; " " &amp; AA482,
       AA482)
)</f>
        <v/>
      </c>
      <c r="F482" s="206"/>
      <c r="G482" s="206"/>
      <c r="H482" s="206"/>
      <c r="I482" s="206"/>
      <c r="J482" s="206" t="str">
        <f t="shared" si="106"/>
        <v/>
      </c>
      <c r="K482" s="206" t="str">
        <f t="shared" si="108"/>
        <v/>
      </c>
      <c r="L482" s="206" t="str">
        <f t="shared" si="109"/>
        <v/>
      </c>
      <c r="M482" s="206" t="str">
        <f t="shared" si="110"/>
        <v/>
      </c>
      <c r="N482" s="206" t="str">
        <f t="shared" si="111"/>
        <v/>
      </c>
      <c r="O482" s="206" t="str">
        <f t="shared" si="112"/>
        <v/>
      </c>
      <c r="P482" s="84" t="str">
        <f t="shared" si="113"/>
        <v/>
      </c>
      <c r="Q482" s="205"/>
      <c r="R482" s="70" t="str">
        <f>IF(S482="IN",'BOM_Phan II'!$Y$3,"")</f>
        <v/>
      </c>
      <c r="S482" s="69" t="str">
        <f t="shared" si="105"/>
        <v/>
      </c>
      <c r="T482">
        <f t="shared" si="114"/>
        <v>3</v>
      </c>
      <c r="U482" t="str">
        <f t="shared" si="102"/>
        <v>KIỆN 14</v>
      </c>
      <c r="V482" t="str">
        <f t="shared" si="115"/>
        <v/>
      </c>
      <c r="W482" s="266"/>
      <c r="X482" s="266"/>
      <c r="Y482" s="266" t="str">
        <f t="shared" si="107"/>
        <v/>
      </c>
      <c r="Z482" s="266"/>
    </row>
    <row r="483" spans="1:26" ht="27" hidden="1" customHeight="1">
      <c r="A483" s="70" t="str">
        <f t="shared" si="103"/>
        <v/>
      </c>
      <c r="B483" s="70" t="str">
        <f t="shared" si="104"/>
        <v/>
      </c>
      <c r="C483" s="204" t="str" cm="1">
        <f t="array" ref="C483">IF(D483="","",
    IF(AND(ISNUMBER(D483), D483=INT(D483)),
        $V$6 &amp; " " &amp; (IFERROR(MAX($Y$12:$Y482), 0) + 1),
        IF(ISNUMBER(SEARCH(".", D483)), "", INDEX($C$12:$C483, MATCH(2, 1/($C$12:$C483 &lt;&gt; ""))))
    )
)</f>
        <v/>
      </c>
      <c r="D483" s="206"/>
      <c r="E483" s="206" t="str">
        <f>IF(AA483 = "", "",
    IF(ISNUMBER(SEARCH("Kiện", C483)),
       " GÓI " &amp; COUNTIF($C$13:C483, "*Kiện*") &amp; "/" &amp; COUNTIF($C$13:$C$1000, "*Kiện*") &amp; " " &amp; AA483,
       AA483)
)</f>
        <v/>
      </c>
      <c r="F483" s="206"/>
      <c r="G483" s="206"/>
      <c r="H483" s="206"/>
      <c r="I483" s="206"/>
      <c r="J483" s="206" t="str">
        <f t="shared" si="106"/>
        <v/>
      </c>
      <c r="K483" s="206" t="str">
        <f t="shared" si="108"/>
        <v/>
      </c>
      <c r="L483" s="206" t="str">
        <f t="shared" si="109"/>
        <v/>
      </c>
      <c r="M483" s="206" t="str">
        <f t="shared" si="110"/>
        <v/>
      </c>
      <c r="N483" s="206" t="str">
        <f t="shared" si="111"/>
        <v/>
      </c>
      <c r="O483" s="206" t="str">
        <f t="shared" si="112"/>
        <v/>
      </c>
      <c r="P483" s="84" t="str">
        <f t="shared" si="113"/>
        <v/>
      </c>
      <c r="Q483" s="205"/>
      <c r="R483" s="70" t="str">
        <f>IF(S483="IN",'BOM_Phan II'!$Y$3,"")</f>
        <v/>
      </c>
      <c r="S483" s="69" t="str">
        <f t="shared" si="105"/>
        <v/>
      </c>
      <c r="T483">
        <f t="shared" si="114"/>
        <v>3</v>
      </c>
      <c r="U483" t="str">
        <f t="shared" si="102"/>
        <v>KIỆN 14</v>
      </c>
      <c r="V483" t="str">
        <f t="shared" si="115"/>
        <v/>
      </c>
      <c r="W483" s="266"/>
      <c r="X483" s="266"/>
      <c r="Y483" s="266" t="str">
        <f t="shared" si="107"/>
        <v/>
      </c>
      <c r="Z483" s="266"/>
    </row>
    <row r="484" spans="1:26" ht="27" hidden="1" customHeight="1">
      <c r="A484" s="70" t="str">
        <f t="shared" si="103"/>
        <v/>
      </c>
      <c r="B484" s="70" t="str">
        <f t="shared" si="104"/>
        <v/>
      </c>
      <c r="C484" s="204" t="str" cm="1">
        <f t="array" ref="C484">IF(D484="","",
    IF(AND(ISNUMBER(D484), D484=INT(D484)),
        $V$6 &amp; " " &amp; (IFERROR(MAX($Y$12:$Y483), 0) + 1),
        IF(ISNUMBER(SEARCH(".", D484)), "", INDEX($C$12:$C484, MATCH(2, 1/($C$12:$C484 &lt;&gt; ""))))
    )
)</f>
        <v/>
      </c>
      <c r="D484" s="206"/>
      <c r="E484" s="206" t="str">
        <f>IF(AA484 = "", "",
    IF(ISNUMBER(SEARCH("Kiện", C484)),
       " GÓI " &amp; COUNTIF($C$13:C484, "*Kiện*") &amp; "/" &amp; COUNTIF($C$13:$C$1000, "*Kiện*") &amp; " " &amp; AA484,
       AA484)
)</f>
        <v/>
      </c>
      <c r="F484" s="206"/>
      <c r="G484" s="206"/>
      <c r="H484" s="206"/>
      <c r="I484" s="206"/>
      <c r="J484" s="206" t="str">
        <f t="shared" si="106"/>
        <v/>
      </c>
      <c r="K484" s="206" t="str">
        <f t="shared" si="108"/>
        <v/>
      </c>
      <c r="L484" s="206" t="str">
        <f t="shared" si="109"/>
        <v/>
      </c>
      <c r="M484" s="206" t="str">
        <f t="shared" si="110"/>
        <v/>
      </c>
      <c r="N484" s="206" t="str">
        <f t="shared" si="111"/>
        <v/>
      </c>
      <c r="O484" s="206" t="str">
        <f t="shared" si="112"/>
        <v/>
      </c>
      <c r="P484" s="84" t="str">
        <f t="shared" si="113"/>
        <v/>
      </c>
      <c r="Q484" s="205"/>
      <c r="R484" s="70" t="str">
        <f>IF(S484="IN",'BOM_Phan II'!$Y$3,"")</f>
        <v/>
      </c>
      <c r="S484" s="69" t="str">
        <f t="shared" si="105"/>
        <v/>
      </c>
      <c r="T484">
        <f t="shared" si="114"/>
        <v>3</v>
      </c>
      <c r="U484" t="str">
        <f t="shared" si="102"/>
        <v>KIỆN 14</v>
      </c>
      <c r="V484" t="str">
        <f t="shared" si="115"/>
        <v/>
      </c>
      <c r="W484" s="266"/>
      <c r="X484" s="266"/>
      <c r="Y484" s="266" t="str">
        <f t="shared" si="107"/>
        <v/>
      </c>
      <c r="Z484" s="266"/>
    </row>
    <row r="485" spans="1:26" ht="27" hidden="1" customHeight="1">
      <c r="A485" s="70" t="str">
        <f t="shared" si="103"/>
        <v/>
      </c>
      <c r="B485" s="70" t="str">
        <f t="shared" si="104"/>
        <v/>
      </c>
      <c r="C485" s="204" t="str" cm="1">
        <f t="array" ref="C485">IF(D485="","",
    IF(AND(ISNUMBER(D485), D485=INT(D485)),
        $V$6 &amp; " " &amp; (IFERROR(MAX($Y$12:$Y484), 0) + 1),
        IF(ISNUMBER(SEARCH(".", D485)), "", INDEX($C$12:$C485, MATCH(2, 1/($C$12:$C485 &lt;&gt; ""))))
    )
)</f>
        <v/>
      </c>
      <c r="D485" s="206"/>
      <c r="E485" s="206" t="str">
        <f>IF(AA485 = "", "",
    IF(ISNUMBER(SEARCH("Kiện", C485)),
       " GÓI " &amp; COUNTIF($C$13:C485, "*Kiện*") &amp; "/" &amp; COUNTIF($C$13:$C$1000, "*Kiện*") &amp; " " &amp; AA485,
       AA485)
)</f>
        <v/>
      </c>
      <c r="F485" s="206"/>
      <c r="G485" s="206"/>
      <c r="H485" s="206"/>
      <c r="I485" s="206"/>
      <c r="J485" s="206" t="str">
        <f t="shared" si="106"/>
        <v/>
      </c>
      <c r="K485" s="206" t="str">
        <f t="shared" si="108"/>
        <v/>
      </c>
      <c r="L485" s="206" t="str">
        <f t="shared" si="109"/>
        <v/>
      </c>
      <c r="M485" s="206" t="str">
        <f t="shared" si="110"/>
        <v/>
      </c>
      <c r="N485" s="206" t="str">
        <f t="shared" si="111"/>
        <v/>
      </c>
      <c r="O485" s="206" t="str">
        <f t="shared" si="112"/>
        <v/>
      </c>
      <c r="P485" s="84" t="str">
        <f t="shared" si="113"/>
        <v/>
      </c>
      <c r="Q485" s="205"/>
      <c r="R485" s="70" t="str">
        <f>IF(S485="IN",'BOM_Phan II'!$Y$3,"")</f>
        <v/>
      </c>
      <c r="S485" s="69" t="str">
        <f t="shared" si="105"/>
        <v/>
      </c>
      <c r="T485">
        <f t="shared" si="114"/>
        <v>3</v>
      </c>
      <c r="U485" t="str">
        <f t="shared" si="102"/>
        <v>KIỆN 14</v>
      </c>
      <c r="V485" t="str">
        <f t="shared" si="115"/>
        <v/>
      </c>
      <c r="W485" s="266"/>
      <c r="X485" s="266"/>
      <c r="Y485" s="266" t="str">
        <f t="shared" si="107"/>
        <v/>
      </c>
      <c r="Z485" s="266"/>
    </row>
    <row r="486" spans="1:26" ht="27" hidden="1" customHeight="1">
      <c r="A486" s="70" t="str">
        <f t="shared" si="103"/>
        <v/>
      </c>
      <c r="B486" s="70" t="str">
        <f t="shared" si="104"/>
        <v/>
      </c>
      <c r="C486" s="204" t="str" cm="1">
        <f t="array" ref="C486">IF(D486="","",
    IF(AND(ISNUMBER(D486), D486=INT(D486)),
        $V$6 &amp; " " &amp; (IFERROR(MAX($Y$12:$Y485), 0) + 1),
        IF(ISNUMBER(SEARCH(".", D486)), "", INDEX($C$12:$C486, MATCH(2, 1/($C$12:$C486 &lt;&gt; ""))))
    )
)</f>
        <v/>
      </c>
      <c r="D486" s="206"/>
      <c r="E486" s="206" t="str">
        <f>IF(AA486 = "", "",
    IF(ISNUMBER(SEARCH("Kiện", C486)),
       " GÓI " &amp; COUNTIF($C$13:C486, "*Kiện*") &amp; "/" &amp; COUNTIF($C$13:$C$1000, "*Kiện*") &amp; " " &amp; AA486,
       AA486)
)</f>
        <v/>
      </c>
      <c r="F486" s="206"/>
      <c r="G486" s="206"/>
      <c r="H486" s="206"/>
      <c r="I486" s="206"/>
      <c r="J486" s="206" t="str">
        <f t="shared" si="106"/>
        <v/>
      </c>
      <c r="K486" s="206" t="str">
        <f t="shared" si="108"/>
        <v/>
      </c>
      <c r="L486" s="206" t="str">
        <f t="shared" si="109"/>
        <v/>
      </c>
      <c r="M486" s="206" t="str">
        <f t="shared" si="110"/>
        <v/>
      </c>
      <c r="N486" s="206" t="str">
        <f t="shared" si="111"/>
        <v/>
      </c>
      <c r="O486" s="206" t="str">
        <f t="shared" si="112"/>
        <v/>
      </c>
      <c r="P486" s="84" t="str">
        <f t="shared" si="113"/>
        <v/>
      </c>
      <c r="Q486" s="205"/>
      <c r="R486" s="70" t="str">
        <f>IF(S486="IN",'BOM_Phan II'!$Y$3,"")</f>
        <v/>
      </c>
      <c r="S486" s="69" t="str">
        <f t="shared" si="105"/>
        <v/>
      </c>
      <c r="T486">
        <f t="shared" si="114"/>
        <v>3</v>
      </c>
      <c r="U486" t="str">
        <f t="shared" si="102"/>
        <v>KIỆN 14</v>
      </c>
      <c r="V486" t="str">
        <f t="shared" si="115"/>
        <v/>
      </c>
      <c r="W486" s="266"/>
      <c r="X486" s="266"/>
      <c r="Y486" s="266" t="str">
        <f t="shared" si="107"/>
        <v/>
      </c>
      <c r="Z486" s="266"/>
    </row>
    <row r="487" spans="1:26" ht="27" hidden="1" customHeight="1">
      <c r="A487" s="70" t="str">
        <f t="shared" si="103"/>
        <v/>
      </c>
      <c r="B487" s="70" t="str">
        <f t="shared" si="104"/>
        <v/>
      </c>
      <c r="C487" s="204" t="str" cm="1">
        <f t="array" ref="C487">IF(D487="","",
    IF(AND(ISNUMBER(D487), D487=INT(D487)),
        $V$6 &amp; " " &amp; (IFERROR(MAX($Y$12:$Y486), 0) + 1),
        IF(ISNUMBER(SEARCH(".", D487)), "", INDEX($C$12:$C487, MATCH(2, 1/($C$12:$C487 &lt;&gt; ""))))
    )
)</f>
        <v/>
      </c>
      <c r="D487" s="206"/>
      <c r="E487" s="206" t="str">
        <f>IF(AA487 = "", "",
    IF(ISNUMBER(SEARCH("Kiện", C487)),
       " GÓI " &amp; COUNTIF($C$13:C487, "*Kiện*") &amp; "/" &amp; COUNTIF($C$13:$C$1000, "*Kiện*") &amp; " " &amp; AA487,
       AA487)
)</f>
        <v/>
      </c>
      <c r="F487" s="206"/>
      <c r="G487" s="206"/>
      <c r="H487" s="206"/>
      <c r="I487" s="206"/>
      <c r="J487" s="206" t="str">
        <f t="shared" si="106"/>
        <v/>
      </c>
      <c r="K487" s="206" t="str">
        <f t="shared" si="108"/>
        <v/>
      </c>
      <c r="L487" s="206" t="str">
        <f t="shared" si="109"/>
        <v/>
      </c>
      <c r="M487" s="206" t="str">
        <f t="shared" si="110"/>
        <v/>
      </c>
      <c r="N487" s="206" t="str">
        <f t="shared" si="111"/>
        <v/>
      </c>
      <c r="O487" s="206" t="str">
        <f t="shared" si="112"/>
        <v/>
      </c>
      <c r="P487" s="84" t="str">
        <f t="shared" si="113"/>
        <v/>
      </c>
      <c r="Q487" s="205"/>
      <c r="R487" s="70" t="str">
        <f>IF(S487="IN",'BOM_Phan II'!$Y$3,"")</f>
        <v/>
      </c>
      <c r="S487" s="69" t="str">
        <f t="shared" si="105"/>
        <v/>
      </c>
      <c r="T487">
        <f t="shared" si="114"/>
        <v>3</v>
      </c>
      <c r="U487" t="str">
        <f t="shared" si="102"/>
        <v>KIỆN 14</v>
      </c>
      <c r="V487" t="str">
        <f t="shared" si="115"/>
        <v/>
      </c>
      <c r="W487" s="266"/>
      <c r="X487" s="266"/>
      <c r="Y487" s="266" t="str">
        <f t="shared" si="107"/>
        <v/>
      </c>
      <c r="Z487" s="266"/>
    </row>
    <row r="488" spans="1:26" ht="27" hidden="1" customHeight="1">
      <c r="A488" s="70" t="str">
        <f t="shared" si="103"/>
        <v/>
      </c>
      <c r="B488" s="70" t="str">
        <f t="shared" si="104"/>
        <v/>
      </c>
      <c r="C488" s="204" t="str" cm="1">
        <f t="array" ref="C488">IF(D488="","",
    IF(AND(ISNUMBER(D488), D488=INT(D488)),
        $V$6 &amp; " " &amp; (IFERROR(MAX($Y$12:$Y487), 0) + 1),
        IF(ISNUMBER(SEARCH(".", D488)), "", INDEX($C$12:$C488, MATCH(2, 1/($C$12:$C488 &lt;&gt; ""))))
    )
)</f>
        <v/>
      </c>
      <c r="D488" s="206"/>
      <c r="E488" s="206" t="str">
        <f>IF(AA488 = "", "",
    IF(ISNUMBER(SEARCH("Kiện", C488)),
       " GÓI " &amp; COUNTIF($C$13:C488, "*Kiện*") &amp; "/" &amp; COUNTIF($C$13:$C$1000, "*Kiện*") &amp; " " &amp; AA488,
       AA488)
)</f>
        <v/>
      </c>
      <c r="F488" s="206"/>
      <c r="G488" s="206"/>
      <c r="H488" s="206"/>
      <c r="I488" s="206"/>
      <c r="J488" s="206" t="str">
        <f t="shared" si="106"/>
        <v/>
      </c>
      <c r="K488" s="206" t="str">
        <f t="shared" si="108"/>
        <v/>
      </c>
      <c r="L488" s="206" t="str">
        <f t="shared" si="109"/>
        <v/>
      </c>
      <c r="M488" s="206" t="str">
        <f t="shared" si="110"/>
        <v/>
      </c>
      <c r="N488" s="206" t="str">
        <f t="shared" si="111"/>
        <v/>
      </c>
      <c r="O488" s="206" t="str">
        <f t="shared" si="112"/>
        <v/>
      </c>
      <c r="P488" s="84" t="str">
        <f t="shared" si="113"/>
        <v/>
      </c>
      <c r="Q488" s="205"/>
      <c r="R488" s="70" t="str">
        <f>IF(S488="IN",'BOM_Phan II'!$Y$3,"")</f>
        <v/>
      </c>
      <c r="S488" s="69" t="str">
        <f t="shared" si="105"/>
        <v/>
      </c>
      <c r="T488">
        <f t="shared" si="114"/>
        <v>3</v>
      </c>
      <c r="U488" t="str">
        <f t="shared" si="102"/>
        <v>KIỆN 14</v>
      </c>
      <c r="V488" t="str">
        <f t="shared" si="115"/>
        <v/>
      </c>
      <c r="W488" s="266"/>
      <c r="X488" s="266"/>
      <c r="Y488" s="266" t="str">
        <f t="shared" si="107"/>
        <v/>
      </c>
      <c r="Z488" s="266"/>
    </row>
    <row r="489" spans="1:26" ht="27" hidden="1" customHeight="1">
      <c r="A489" s="70" t="str">
        <f t="shared" si="103"/>
        <v/>
      </c>
      <c r="B489" s="70" t="str">
        <f t="shared" si="104"/>
        <v/>
      </c>
      <c r="C489" s="204" t="str" cm="1">
        <f t="array" ref="C489">IF(D489="","",
    IF(AND(ISNUMBER(D489), D489=INT(D489)),
        $V$6 &amp; " " &amp; (IFERROR(MAX($Y$12:$Y488), 0) + 1),
        IF(ISNUMBER(SEARCH(".", D489)), "", INDEX($C$12:$C489, MATCH(2, 1/($C$12:$C489 &lt;&gt; ""))))
    )
)</f>
        <v/>
      </c>
      <c r="D489" s="206"/>
      <c r="E489" s="206" t="str">
        <f>IF(AA489 = "", "",
    IF(ISNUMBER(SEARCH("Kiện", C489)),
       " GÓI " &amp; COUNTIF($C$13:C489, "*Kiện*") &amp; "/" &amp; COUNTIF($C$13:$C$1000, "*Kiện*") &amp; " " &amp; AA489,
       AA489)
)</f>
        <v/>
      </c>
      <c r="F489" s="206"/>
      <c r="G489" s="206"/>
      <c r="H489" s="206"/>
      <c r="I489" s="206"/>
      <c r="J489" s="206" t="str">
        <f t="shared" si="106"/>
        <v/>
      </c>
      <c r="K489" s="206" t="str">
        <f t="shared" si="108"/>
        <v/>
      </c>
      <c r="L489" s="206" t="str">
        <f t="shared" si="109"/>
        <v/>
      </c>
      <c r="M489" s="206" t="str">
        <f t="shared" si="110"/>
        <v/>
      </c>
      <c r="N489" s="206" t="str">
        <f t="shared" si="111"/>
        <v/>
      </c>
      <c r="O489" s="206" t="str">
        <f t="shared" si="112"/>
        <v/>
      </c>
      <c r="P489" s="84" t="str">
        <f t="shared" si="113"/>
        <v/>
      </c>
      <c r="Q489" s="205"/>
      <c r="R489" s="70" t="str">
        <f>IF(S489="IN",'BOM_Phan II'!$Y$3,"")</f>
        <v/>
      </c>
      <c r="S489" s="69" t="str">
        <f t="shared" si="105"/>
        <v/>
      </c>
      <c r="T489">
        <f t="shared" si="114"/>
        <v>3</v>
      </c>
      <c r="U489" t="str">
        <f>IF(C489="",U424,C489)</f>
        <v>KIỆN 14</v>
      </c>
      <c r="V489" t="str">
        <f t="shared" si="115"/>
        <v/>
      </c>
      <c r="W489" s="266"/>
      <c r="X489" s="266"/>
      <c r="Y489" s="266" t="str">
        <f t="shared" si="107"/>
        <v/>
      </c>
      <c r="Z489" s="266"/>
    </row>
    <row r="490" spans="1:26" ht="27" hidden="1" customHeight="1">
      <c r="A490" s="70" t="str">
        <f t="shared" si="103"/>
        <v/>
      </c>
      <c r="B490" s="70" t="str">
        <f t="shared" si="104"/>
        <v/>
      </c>
      <c r="C490" s="204" t="str" cm="1">
        <f t="array" ref="C490">IF(D490="","",
    IF(AND(ISNUMBER(D490), D490=INT(D490)),
        $V$6 &amp; " " &amp; (IFERROR(MAX($Y$12:$Y489), 0) + 1),
        IF(ISNUMBER(SEARCH(".", D490)), "", INDEX($C$12:$C490, MATCH(2, 1/($C$12:$C490 &lt;&gt; ""))))
    )
)</f>
        <v/>
      </c>
      <c r="D490" s="206"/>
      <c r="E490" s="206" t="str">
        <f>IF(AA490 = "", "",
    IF(ISNUMBER(SEARCH("Kiện", C490)),
       " GÓI " &amp; COUNTIF($C$13:C490, "*Kiện*") &amp; "/" &amp; COUNTIF($C$13:$C$1000, "*Kiện*") &amp; " " &amp; AA490,
       AA490)
)</f>
        <v/>
      </c>
      <c r="F490" s="206"/>
      <c r="G490" s="206"/>
      <c r="H490" s="206"/>
      <c r="I490" s="206"/>
      <c r="J490" s="206" t="str">
        <f t="shared" si="106"/>
        <v/>
      </c>
      <c r="K490" s="206" t="str">
        <f t="shared" si="108"/>
        <v/>
      </c>
      <c r="L490" s="206" t="str">
        <f t="shared" si="109"/>
        <v/>
      </c>
      <c r="M490" s="206" t="str">
        <f t="shared" si="110"/>
        <v/>
      </c>
      <c r="N490" s="206" t="str">
        <f t="shared" si="111"/>
        <v/>
      </c>
      <c r="O490" s="206" t="str">
        <f t="shared" si="112"/>
        <v/>
      </c>
      <c r="P490" s="84" t="str">
        <f t="shared" si="113"/>
        <v/>
      </c>
      <c r="Q490" s="205"/>
      <c r="R490" s="70" t="str">
        <f>IF(S490="IN",'BOM_Phan II'!$Y$3,"")</f>
        <v/>
      </c>
      <c r="S490" s="69" t="str">
        <f t="shared" si="105"/>
        <v/>
      </c>
      <c r="T490">
        <f t="shared" si="114"/>
        <v>3</v>
      </c>
      <c r="U490" t="str">
        <f t="shared" ref="U490:U521" si="116">IF(C490="",U489,C490)</f>
        <v>KIỆN 14</v>
      </c>
      <c r="V490" t="str">
        <f t="shared" si="115"/>
        <v/>
      </c>
      <c r="W490" s="266"/>
      <c r="X490" s="266"/>
      <c r="Y490" s="266" t="str">
        <f t="shared" si="107"/>
        <v/>
      </c>
      <c r="Z490" s="266"/>
    </row>
    <row r="491" spans="1:26" ht="27" hidden="1" customHeight="1">
      <c r="A491" s="70" t="str">
        <f t="shared" si="103"/>
        <v/>
      </c>
      <c r="B491" s="70" t="str">
        <f t="shared" si="104"/>
        <v/>
      </c>
      <c r="C491" s="204" t="str" cm="1">
        <f t="array" ref="C491">IF(D491="","",
    IF(AND(ISNUMBER(D491), D491=INT(D491)),
        $V$6 &amp; " " &amp; (IFERROR(MAX($Y$12:$Y490), 0) + 1),
        IF(ISNUMBER(SEARCH(".", D491)), "", INDEX($C$12:$C491, MATCH(2, 1/($C$12:$C491 &lt;&gt; ""))))
    )
)</f>
        <v/>
      </c>
      <c r="D491" s="206"/>
      <c r="E491" s="206" t="str">
        <f>IF(AA491 = "", "",
    IF(ISNUMBER(SEARCH("Kiện", C491)),
       " GÓI " &amp; COUNTIF($C$13:C491, "*Kiện*") &amp; "/" &amp; COUNTIF($C$13:$C$1000, "*Kiện*") &amp; " " &amp; AA491,
       AA491)
)</f>
        <v/>
      </c>
      <c r="F491" s="206"/>
      <c r="G491" s="206"/>
      <c r="H491" s="206"/>
      <c r="I491" s="206"/>
      <c r="J491" s="206" t="str">
        <f t="shared" si="106"/>
        <v/>
      </c>
      <c r="K491" s="206" t="str">
        <f t="shared" si="108"/>
        <v/>
      </c>
      <c r="L491" s="206" t="str">
        <f t="shared" si="109"/>
        <v/>
      </c>
      <c r="M491" s="206" t="str">
        <f t="shared" si="110"/>
        <v/>
      </c>
      <c r="N491" s="206" t="str">
        <f t="shared" si="111"/>
        <v/>
      </c>
      <c r="O491" s="206" t="str">
        <f t="shared" si="112"/>
        <v/>
      </c>
      <c r="P491" s="84" t="str">
        <f t="shared" si="113"/>
        <v/>
      </c>
      <c r="Q491" s="205"/>
      <c r="R491" s="70" t="str">
        <f>IF(S491="IN",'BOM_Phan II'!$Y$3,"")</f>
        <v/>
      </c>
      <c r="S491" s="69" t="str">
        <f t="shared" si="105"/>
        <v/>
      </c>
      <c r="T491">
        <f t="shared" si="114"/>
        <v>3</v>
      </c>
      <c r="U491" t="str">
        <f t="shared" si="116"/>
        <v>KIỆN 14</v>
      </c>
      <c r="V491" t="str">
        <f t="shared" si="115"/>
        <v/>
      </c>
      <c r="W491" s="266"/>
      <c r="X491" s="266"/>
      <c r="Y491" s="266" t="str">
        <f t="shared" si="107"/>
        <v/>
      </c>
      <c r="Z491" s="266"/>
    </row>
    <row r="492" spans="1:26" ht="27" hidden="1" customHeight="1">
      <c r="A492" s="70" t="str">
        <f t="shared" si="103"/>
        <v/>
      </c>
      <c r="B492" s="70" t="str">
        <f t="shared" si="104"/>
        <v/>
      </c>
      <c r="C492" s="204" t="str" cm="1">
        <f t="array" ref="C492">IF(D492="","",
    IF(AND(ISNUMBER(D492), D492=INT(D492)),
        $V$6 &amp; " " &amp; (IFERROR(MAX($Y$12:$Y491), 0) + 1),
        IF(ISNUMBER(SEARCH(".", D492)), "", INDEX($C$12:$C492, MATCH(2, 1/($C$12:$C492 &lt;&gt; ""))))
    )
)</f>
        <v/>
      </c>
      <c r="D492" s="206"/>
      <c r="E492" s="206" t="str">
        <f>IF(AA492 = "", "",
    IF(ISNUMBER(SEARCH("Kiện", C492)),
       " GÓI " &amp; COUNTIF($C$13:C492, "*Kiện*") &amp; "/" &amp; COUNTIF($C$13:$C$1000, "*Kiện*") &amp; " " &amp; AA492,
       AA492)
)</f>
        <v/>
      </c>
      <c r="F492" s="206"/>
      <c r="G492" s="206"/>
      <c r="H492" s="206"/>
      <c r="I492" s="206"/>
      <c r="J492" s="206" t="str">
        <f t="shared" si="106"/>
        <v/>
      </c>
      <c r="K492" s="206" t="str">
        <f t="shared" si="108"/>
        <v/>
      </c>
      <c r="L492" s="206" t="str">
        <f t="shared" si="109"/>
        <v/>
      </c>
      <c r="M492" s="206" t="str">
        <f t="shared" si="110"/>
        <v/>
      </c>
      <c r="N492" s="206" t="str">
        <f t="shared" si="111"/>
        <v/>
      </c>
      <c r="O492" s="206" t="str">
        <f t="shared" si="112"/>
        <v/>
      </c>
      <c r="P492" s="84" t="str">
        <f t="shared" si="113"/>
        <v/>
      </c>
      <c r="Q492" s="205"/>
      <c r="R492" s="70" t="str">
        <f>IF(S492="IN",'BOM_Phan II'!$Y$3,"")</f>
        <v/>
      </c>
      <c r="S492" s="69" t="str">
        <f t="shared" si="105"/>
        <v/>
      </c>
      <c r="T492">
        <f t="shared" si="114"/>
        <v>3</v>
      </c>
      <c r="U492" t="str">
        <f t="shared" si="116"/>
        <v>KIỆN 14</v>
      </c>
      <c r="V492" t="str">
        <f t="shared" si="115"/>
        <v/>
      </c>
      <c r="W492" s="266"/>
      <c r="X492" s="266"/>
      <c r="Y492" s="266" t="str">
        <f t="shared" si="107"/>
        <v/>
      </c>
      <c r="Z492" s="266"/>
    </row>
    <row r="493" spans="1:26" ht="27" hidden="1" customHeight="1">
      <c r="A493" s="70" t="str">
        <f t="shared" si="103"/>
        <v/>
      </c>
      <c r="B493" s="70" t="str">
        <f t="shared" si="104"/>
        <v/>
      </c>
      <c r="C493" s="204" t="str" cm="1">
        <f t="array" ref="C493">IF(D493="","",
    IF(AND(ISNUMBER(D493), D493=INT(D493)),
        $V$6 &amp; " " &amp; (IFERROR(MAX($Y$12:$Y492), 0) + 1),
        IF(ISNUMBER(SEARCH(".", D493)), "", INDEX($C$12:$C493, MATCH(2, 1/($C$12:$C493 &lt;&gt; ""))))
    )
)</f>
        <v/>
      </c>
      <c r="D493" s="206"/>
      <c r="E493" s="206" t="str">
        <f>IF(AA493 = "", "",
    IF(ISNUMBER(SEARCH("Kiện", C493)),
       " GÓI " &amp; COUNTIF($C$13:C493, "*Kiện*") &amp; "/" &amp; COUNTIF($C$13:$C$1000, "*Kiện*") &amp; " " &amp; AA493,
       AA493)
)</f>
        <v/>
      </c>
      <c r="F493" s="206"/>
      <c r="G493" s="206"/>
      <c r="H493" s="206"/>
      <c r="I493" s="206"/>
      <c r="J493" s="206" t="str">
        <f t="shared" si="106"/>
        <v/>
      </c>
      <c r="K493" s="206" t="str">
        <f t="shared" si="108"/>
        <v/>
      </c>
      <c r="L493" s="206" t="str">
        <f t="shared" si="109"/>
        <v/>
      </c>
      <c r="M493" s="206" t="str">
        <f t="shared" si="110"/>
        <v/>
      </c>
      <c r="N493" s="206" t="str">
        <f t="shared" si="111"/>
        <v/>
      </c>
      <c r="O493" s="206" t="str">
        <f t="shared" si="112"/>
        <v/>
      </c>
      <c r="P493" s="84" t="str">
        <f t="shared" si="113"/>
        <v/>
      </c>
      <c r="Q493" s="205"/>
      <c r="R493" s="70" t="str">
        <f>IF(S493="IN",'BOM_Phan II'!$Y$3,"")</f>
        <v/>
      </c>
      <c r="S493" s="69" t="str">
        <f t="shared" si="105"/>
        <v/>
      </c>
      <c r="T493">
        <f t="shared" si="114"/>
        <v>3</v>
      </c>
      <c r="U493" t="str">
        <f t="shared" si="116"/>
        <v>KIỆN 14</v>
      </c>
      <c r="V493" t="str">
        <f t="shared" si="115"/>
        <v/>
      </c>
      <c r="W493" s="266"/>
      <c r="X493" s="266"/>
      <c r="Y493" s="266" t="str">
        <f t="shared" si="107"/>
        <v/>
      </c>
      <c r="Z493" s="266"/>
    </row>
    <row r="494" spans="1:26" ht="27" hidden="1" customHeight="1">
      <c r="A494" s="70" t="str">
        <f t="shared" si="103"/>
        <v/>
      </c>
      <c r="B494" s="70" t="str">
        <f t="shared" si="104"/>
        <v/>
      </c>
      <c r="C494" s="204" t="str" cm="1">
        <f t="array" ref="C494">IF(D494="","",
    IF(AND(ISNUMBER(D494), D494=INT(D494)),
        $V$6 &amp; " " &amp; (IFERROR(MAX($Y$12:$Y493), 0) + 1),
        IF(ISNUMBER(SEARCH(".", D494)), "", INDEX($C$12:$C494, MATCH(2, 1/($C$12:$C494 &lt;&gt; ""))))
    )
)</f>
        <v/>
      </c>
      <c r="D494" s="206"/>
      <c r="E494" s="206" t="str">
        <f>IF(AA494 = "", "",
    IF(ISNUMBER(SEARCH("Kiện", C494)),
       " GÓI " &amp; COUNTIF($C$13:C494, "*Kiện*") &amp; "/" &amp; COUNTIF($C$13:$C$1000, "*Kiện*") &amp; " " &amp; AA494,
       AA494)
)</f>
        <v/>
      </c>
      <c r="F494" s="206"/>
      <c r="G494" s="206"/>
      <c r="H494" s="206"/>
      <c r="I494" s="206"/>
      <c r="J494" s="206" t="str">
        <f t="shared" si="106"/>
        <v/>
      </c>
      <c r="K494" s="206" t="str">
        <f t="shared" si="108"/>
        <v/>
      </c>
      <c r="L494" s="206" t="str">
        <f t="shared" si="109"/>
        <v/>
      </c>
      <c r="M494" s="206" t="str">
        <f t="shared" si="110"/>
        <v/>
      </c>
      <c r="N494" s="206" t="str">
        <f t="shared" si="111"/>
        <v/>
      </c>
      <c r="O494" s="206" t="str">
        <f t="shared" si="112"/>
        <v/>
      </c>
      <c r="P494" s="84" t="str">
        <f t="shared" si="113"/>
        <v/>
      </c>
      <c r="Q494" s="205"/>
      <c r="R494" s="70" t="str">
        <f>IF(S494="IN",'BOM_Phan II'!$Y$3,"")</f>
        <v/>
      </c>
      <c r="S494" s="69" t="str">
        <f t="shared" si="105"/>
        <v/>
      </c>
      <c r="T494">
        <f t="shared" si="114"/>
        <v>3</v>
      </c>
      <c r="U494" t="str">
        <f t="shared" si="116"/>
        <v>KIỆN 14</v>
      </c>
      <c r="V494" t="str">
        <f t="shared" si="115"/>
        <v/>
      </c>
      <c r="W494" s="266"/>
      <c r="X494" s="266"/>
      <c r="Y494" s="266" t="str">
        <f t="shared" si="107"/>
        <v/>
      </c>
      <c r="Z494" s="266"/>
    </row>
    <row r="495" spans="1:26" ht="27" hidden="1" customHeight="1">
      <c r="A495" s="70" t="str">
        <f t="shared" si="103"/>
        <v/>
      </c>
      <c r="B495" s="70" t="str">
        <f t="shared" si="104"/>
        <v/>
      </c>
      <c r="C495" s="204" t="str" cm="1">
        <f t="array" ref="C495">IF(D495="","",
    IF(AND(ISNUMBER(D495), D495=INT(D495)),
        $V$6 &amp; " " &amp; (IFERROR(MAX($Y$12:$Y494), 0) + 1),
        IF(ISNUMBER(SEARCH(".", D495)), "", INDEX($C$12:$C495, MATCH(2, 1/($C$12:$C495 &lt;&gt; ""))))
    )
)</f>
        <v/>
      </c>
      <c r="D495" s="206"/>
      <c r="E495" s="206" t="str">
        <f>IF(AA495 = "", "",
    IF(ISNUMBER(SEARCH("Kiện", C495)),
       " GÓI " &amp; COUNTIF($C$13:C495, "*Kiện*") &amp; "/" &amp; COUNTIF($C$13:$C$1000, "*Kiện*") &amp; " " &amp; AA495,
       AA495)
)</f>
        <v/>
      </c>
      <c r="F495" s="206"/>
      <c r="G495" s="206"/>
      <c r="H495" s="206"/>
      <c r="I495" s="206"/>
      <c r="J495" s="206" t="str">
        <f t="shared" si="106"/>
        <v/>
      </c>
      <c r="K495" s="206" t="str">
        <f t="shared" si="108"/>
        <v/>
      </c>
      <c r="L495" s="206" t="str">
        <f t="shared" si="109"/>
        <v/>
      </c>
      <c r="M495" s="206" t="str">
        <f t="shared" si="110"/>
        <v/>
      </c>
      <c r="N495" s="206" t="str">
        <f t="shared" si="111"/>
        <v/>
      </c>
      <c r="O495" s="206" t="str">
        <f t="shared" si="112"/>
        <v/>
      </c>
      <c r="P495" s="84" t="str">
        <f t="shared" si="113"/>
        <v/>
      </c>
      <c r="Q495" s="205"/>
      <c r="R495" s="70" t="str">
        <f>IF(S495="IN",'BOM_Phan II'!$Y$3,"")</f>
        <v/>
      </c>
      <c r="S495" s="69" t="str">
        <f t="shared" si="105"/>
        <v/>
      </c>
      <c r="T495">
        <f t="shared" si="114"/>
        <v>3</v>
      </c>
      <c r="U495" t="str">
        <f t="shared" si="116"/>
        <v>KIỆN 14</v>
      </c>
      <c r="V495" t="str">
        <f t="shared" si="115"/>
        <v/>
      </c>
      <c r="W495" s="266"/>
      <c r="X495" s="266"/>
      <c r="Y495" s="266" t="str">
        <f t="shared" si="107"/>
        <v/>
      </c>
      <c r="Z495" s="266"/>
    </row>
    <row r="496" spans="1:26" ht="27" hidden="1" customHeight="1">
      <c r="A496" s="70" t="str">
        <f t="shared" si="103"/>
        <v/>
      </c>
      <c r="B496" s="70" t="str">
        <f t="shared" si="104"/>
        <v/>
      </c>
      <c r="C496" s="204" t="str" cm="1">
        <f t="array" ref="C496">IF(D496="","",
    IF(AND(ISNUMBER(D496), D496=INT(D496)),
        $V$6 &amp; " " &amp; (IFERROR(MAX($Y$12:$Y495), 0) + 1),
        IF(ISNUMBER(SEARCH(".", D496)), "", INDEX($C$12:$C496, MATCH(2, 1/($C$12:$C496 &lt;&gt; ""))))
    )
)</f>
        <v/>
      </c>
      <c r="D496" s="206"/>
      <c r="E496" s="206" t="str">
        <f>IF(AA496 = "", "",
    IF(ISNUMBER(SEARCH("Kiện", C496)),
       " GÓI " &amp; COUNTIF($C$13:C496, "*Kiện*") &amp; "/" &amp; COUNTIF($C$13:$C$1000, "*Kiện*") &amp; " " &amp; AA496,
       AA496)
)</f>
        <v/>
      </c>
      <c r="F496" s="206"/>
      <c r="G496" s="206"/>
      <c r="H496" s="206"/>
      <c r="I496" s="206"/>
      <c r="J496" s="206" t="str">
        <f t="shared" si="106"/>
        <v/>
      </c>
      <c r="K496" s="206" t="str">
        <f t="shared" si="108"/>
        <v/>
      </c>
      <c r="L496" s="206" t="str">
        <f t="shared" si="109"/>
        <v/>
      </c>
      <c r="M496" s="206" t="str">
        <f t="shared" si="110"/>
        <v/>
      </c>
      <c r="N496" s="206" t="str">
        <f t="shared" si="111"/>
        <v/>
      </c>
      <c r="O496" s="206" t="str">
        <f t="shared" si="112"/>
        <v/>
      </c>
      <c r="P496" s="84" t="str">
        <f t="shared" si="113"/>
        <v/>
      </c>
      <c r="Q496" s="205"/>
      <c r="R496" s="70" t="str">
        <f>IF(S496="IN",'BOM_Phan II'!$Y$3,"")</f>
        <v/>
      </c>
      <c r="S496" s="69" t="str">
        <f t="shared" si="105"/>
        <v/>
      </c>
      <c r="T496">
        <f t="shared" si="114"/>
        <v>3</v>
      </c>
      <c r="U496" t="str">
        <f t="shared" si="116"/>
        <v>KIỆN 14</v>
      </c>
      <c r="V496" t="str">
        <f t="shared" si="115"/>
        <v/>
      </c>
      <c r="W496" s="266"/>
      <c r="X496" s="266"/>
      <c r="Y496" s="266" t="str">
        <f t="shared" si="107"/>
        <v/>
      </c>
      <c r="Z496" s="266"/>
    </row>
    <row r="497" spans="1:26" ht="27" hidden="1" customHeight="1">
      <c r="A497" s="70" t="str">
        <f t="shared" si="103"/>
        <v/>
      </c>
      <c r="B497" s="70" t="str">
        <f t="shared" si="104"/>
        <v/>
      </c>
      <c r="C497" s="204" t="str" cm="1">
        <f t="array" ref="C497">IF(D497="","",
    IF(AND(ISNUMBER(D497), D497=INT(D497)),
        $V$6 &amp; " " &amp; (IFERROR(MAX($Y$12:$Y496), 0) + 1),
        IF(ISNUMBER(SEARCH(".", D497)), "", INDEX($C$12:$C497, MATCH(2, 1/($C$12:$C497 &lt;&gt; ""))))
    )
)</f>
        <v/>
      </c>
      <c r="D497" s="206"/>
      <c r="E497" s="206" t="str">
        <f>IF(AA497 = "", "",
    IF(ISNUMBER(SEARCH("Kiện", C497)),
       " GÓI " &amp; COUNTIF($C$13:C497, "*Kiện*") &amp; "/" &amp; COUNTIF($C$13:$C$1000, "*Kiện*") &amp; " " &amp; AA497,
       AA497)
)</f>
        <v/>
      </c>
      <c r="F497" s="206"/>
      <c r="G497" s="206"/>
      <c r="H497" s="206"/>
      <c r="I497" s="206"/>
      <c r="J497" s="206" t="str">
        <f t="shared" si="106"/>
        <v/>
      </c>
      <c r="K497" s="206" t="str">
        <f t="shared" si="108"/>
        <v/>
      </c>
      <c r="L497" s="206" t="str">
        <f t="shared" si="109"/>
        <v/>
      </c>
      <c r="M497" s="206" t="str">
        <f t="shared" si="110"/>
        <v/>
      </c>
      <c r="N497" s="206" t="str">
        <f t="shared" si="111"/>
        <v/>
      </c>
      <c r="O497" s="206" t="str">
        <f t="shared" si="112"/>
        <v/>
      </c>
      <c r="P497" s="84" t="str">
        <f t="shared" si="113"/>
        <v/>
      </c>
      <c r="Q497" s="205"/>
      <c r="R497" s="70" t="str">
        <f>IF(S497="IN",'BOM_Phan II'!$Y$3,"")</f>
        <v/>
      </c>
      <c r="S497" s="69" t="str">
        <f t="shared" si="105"/>
        <v/>
      </c>
      <c r="T497">
        <f t="shared" si="114"/>
        <v>3</v>
      </c>
      <c r="U497" t="str">
        <f t="shared" si="116"/>
        <v>KIỆN 14</v>
      </c>
      <c r="V497" t="str">
        <f t="shared" si="115"/>
        <v/>
      </c>
      <c r="W497" s="266"/>
      <c r="X497" s="266"/>
      <c r="Y497" s="266" t="str">
        <f t="shared" si="107"/>
        <v/>
      </c>
      <c r="Z497" s="266"/>
    </row>
    <row r="498" spans="1:26" ht="27" hidden="1" customHeight="1">
      <c r="A498" s="70" t="str">
        <f t="shared" si="103"/>
        <v/>
      </c>
      <c r="B498" s="70" t="str">
        <f t="shared" si="104"/>
        <v/>
      </c>
      <c r="C498" s="204" t="str" cm="1">
        <f t="array" ref="C498">IF(D498="","",
    IF(AND(ISNUMBER(D498), D498=INT(D498)),
        $V$6 &amp; " " &amp; (IFERROR(MAX($Y$12:$Y497), 0) + 1),
        IF(ISNUMBER(SEARCH(".", D498)), "", INDEX($C$12:$C498, MATCH(2, 1/($C$12:$C498 &lt;&gt; ""))))
    )
)</f>
        <v/>
      </c>
      <c r="D498" s="206"/>
      <c r="E498" s="206" t="str">
        <f>IF(AA498 = "", "",
    IF(ISNUMBER(SEARCH("Kiện", C498)),
       " GÓI " &amp; COUNTIF($C$13:C498, "*Kiện*") &amp; "/" &amp; COUNTIF($C$13:$C$1000, "*Kiện*") &amp; " " &amp; AA498,
       AA498)
)</f>
        <v/>
      </c>
      <c r="F498" s="206"/>
      <c r="G498" s="206"/>
      <c r="H498" s="206"/>
      <c r="I498" s="206"/>
      <c r="J498" s="206" t="str">
        <f t="shared" si="106"/>
        <v/>
      </c>
      <c r="K498" s="206" t="str">
        <f t="shared" si="108"/>
        <v/>
      </c>
      <c r="L498" s="206" t="str">
        <f t="shared" si="109"/>
        <v/>
      </c>
      <c r="M498" s="206" t="str">
        <f t="shared" si="110"/>
        <v/>
      </c>
      <c r="N498" s="206" t="str">
        <f t="shared" si="111"/>
        <v/>
      </c>
      <c r="O498" s="206" t="str">
        <f t="shared" si="112"/>
        <v/>
      </c>
      <c r="P498" s="84" t="str">
        <f t="shared" si="113"/>
        <v/>
      </c>
      <c r="Q498" s="205"/>
      <c r="R498" s="70" t="str">
        <f>IF(S498="IN",'BOM_Phan II'!$Y$3,"")</f>
        <v/>
      </c>
      <c r="S498" s="69" t="str">
        <f t="shared" si="105"/>
        <v/>
      </c>
      <c r="T498">
        <f t="shared" si="114"/>
        <v>3</v>
      </c>
      <c r="U498" t="str">
        <f t="shared" si="116"/>
        <v>KIỆN 14</v>
      </c>
      <c r="V498" t="str">
        <f t="shared" si="115"/>
        <v/>
      </c>
      <c r="W498" s="266"/>
      <c r="X498" s="266"/>
      <c r="Y498" s="266" t="str">
        <f t="shared" si="107"/>
        <v/>
      </c>
      <c r="Z498" s="266"/>
    </row>
    <row r="499" spans="1:26" ht="27" hidden="1" customHeight="1">
      <c r="A499" s="70" t="str">
        <f t="shared" si="103"/>
        <v/>
      </c>
      <c r="B499" s="70" t="str">
        <f t="shared" si="104"/>
        <v/>
      </c>
      <c r="C499" s="204" t="str" cm="1">
        <f t="array" ref="C499">IF(D499="","",
    IF(AND(ISNUMBER(D499), D499=INT(D499)),
        $V$6 &amp; " " &amp; (IFERROR(MAX($Y$12:$Y498), 0) + 1),
        IF(ISNUMBER(SEARCH(".", D499)), "", INDEX($C$12:$C499, MATCH(2, 1/($C$12:$C499 &lt;&gt; ""))))
    )
)</f>
        <v/>
      </c>
      <c r="D499" s="206"/>
      <c r="E499" s="206" t="str">
        <f>IF(AA499 = "", "",
    IF(ISNUMBER(SEARCH("Kiện", C499)),
       " GÓI " &amp; COUNTIF($C$13:C499, "*Kiện*") &amp; "/" &amp; COUNTIF($C$13:$C$1000, "*Kiện*") &amp; " " &amp; AA499,
       AA499)
)</f>
        <v/>
      </c>
      <c r="F499" s="206"/>
      <c r="G499" s="206"/>
      <c r="H499" s="206"/>
      <c r="I499" s="206"/>
      <c r="J499" s="206" t="str">
        <f t="shared" si="106"/>
        <v/>
      </c>
      <c r="K499" s="206" t="str">
        <f t="shared" si="108"/>
        <v/>
      </c>
      <c r="L499" s="206" t="str">
        <f t="shared" si="109"/>
        <v/>
      </c>
      <c r="M499" s="206" t="str">
        <f t="shared" si="110"/>
        <v/>
      </c>
      <c r="N499" s="206" t="str">
        <f t="shared" si="111"/>
        <v/>
      </c>
      <c r="O499" s="206" t="str">
        <f t="shared" si="112"/>
        <v/>
      </c>
      <c r="P499" s="84" t="str">
        <f t="shared" si="113"/>
        <v/>
      </c>
      <c r="Q499" s="205"/>
      <c r="R499" s="70" t="str">
        <f>IF(S499="IN",'BOM_Phan II'!$Y$3,"")</f>
        <v/>
      </c>
      <c r="S499" s="69" t="str">
        <f t="shared" si="105"/>
        <v/>
      </c>
      <c r="T499">
        <f t="shared" si="114"/>
        <v>3</v>
      </c>
      <c r="U499" t="str">
        <f t="shared" si="116"/>
        <v>KIỆN 14</v>
      </c>
      <c r="V499" t="str">
        <f t="shared" si="115"/>
        <v/>
      </c>
      <c r="W499" s="266"/>
      <c r="X499" s="266"/>
      <c r="Y499" s="266" t="str">
        <f t="shared" si="107"/>
        <v/>
      </c>
      <c r="Z499" s="266"/>
    </row>
    <row r="500" spans="1:26" ht="27" hidden="1" customHeight="1">
      <c r="A500" s="70" t="str">
        <f t="shared" si="103"/>
        <v/>
      </c>
      <c r="B500" s="70" t="str">
        <f t="shared" si="104"/>
        <v/>
      </c>
      <c r="C500" s="204" t="str" cm="1">
        <f t="array" ref="C500">IF(D500="","",
    IF(AND(ISNUMBER(D500), D500=INT(D500)),
        $V$6 &amp; " " &amp; (IFERROR(MAX($Y$12:$Y499), 0) + 1),
        IF(ISNUMBER(SEARCH(".", D500)), "", INDEX($C$12:$C500, MATCH(2, 1/($C$12:$C500 &lt;&gt; ""))))
    )
)</f>
        <v/>
      </c>
      <c r="D500" s="206"/>
      <c r="E500" s="206" t="str">
        <f>IF(AA500 = "", "",
    IF(ISNUMBER(SEARCH("Kiện", C500)),
       " GÓI " &amp; COUNTIF($C$13:C500, "*Kiện*") &amp; "/" &amp; COUNTIF($C$13:$C$1000, "*Kiện*") &amp; " " &amp; AA500,
       AA500)
)</f>
        <v/>
      </c>
      <c r="F500" s="206"/>
      <c r="G500" s="206"/>
      <c r="H500" s="206"/>
      <c r="I500" s="206"/>
      <c r="J500" s="206" t="str">
        <f t="shared" si="106"/>
        <v/>
      </c>
      <c r="K500" s="206" t="str">
        <f t="shared" si="108"/>
        <v/>
      </c>
      <c r="L500" s="206" t="str">
        <f t="shared" si="109"/>
        <v/>
      </c>
      <c r="M500" s="206" t="str">
        <f t="shared" si="110"/>
        <v/>
      </c>
      <c r="N500" s="206" t="str">
        <f t="shared" si="111"/>
        <v/>
      </c>
      <c r="O500" s="206" t="str">
        <f t="shared" si="112"/>
        <v/>
      </c>
      <c r="P500" s="84" t="str">
        <f t="shared" si="113"/>
        <v/>
      </c>
      <c r="Q500" s="205"/>
      <c r="R500" s="70" t="str">
        <f>IF(S500="IN",'BOM_Phan II'!$Y$3,"")</f>
        <v/>
      </c>
      <c r="S500" s="69" t="str">
        <f t="shared" si="105"/>
        <v/>
      </c>
      <c r="T500">
        <f t="shared" si="114"/>
        <v>3</v>
      </c>
      <c r="U500" t="str">
        <f t="shared" si="116"/>
        <v>KIỆN 14</v>
      </c>
      <c r="V500" t="str">
        <f t="shared" si="115"/>
        <v/>
      </c>
      <c r="W500" s="266"/>
      <c r="X500" s="266"/>
      <c r="Y500" s="266" t="str">
        <f t="shared" si="107"/>
        <v/>
      </c>
      <c r="Z500" s="266"/>
    </row>
    <row r="501" spans="1:26" ht="27" hidden="1" customHeight="1">
      <c r="A501" s="70" t="str">
        <f t="shared" si="103"/>
        <v/>
      </c>
      <c r="B501" s="70" t="str">
        <f t="shared" si="104"/>
        <v/>
      </c>
      <c r="C501" s="204" t="str" cm="1">
        <f t="array" ref="C501">IF(D501="","",
    IF(AND(ISNUMBER(D501), D501=INT(D501)),
        $V$6 &amp; " " &amp; (IFERROR(MAX($Y$12:$Y500), 0) + 1),
        IF(ISNUMBER(SEARCH(".", D501)), "", INDEX($C$12:$C501, MATCH(2, 1/($C$12:$C501 &lt;&gt; ""))))
    )
)</f>
        <v/>
      </c>
      <c r="D501" s="206"/>
      <c r="E501" s="206" t="str">
        <f>IF(AA501 = "", "",
    IF(ISNUMBER(SEARCH("Kiện", C501)),
       " GÓI " &amp; COUNTIF($C$13:C501, "*Kiện*") &amp; "/" &amp; COUNTIF($C$13:$C$1000, "*Kiện*") &amp; " " &amp; AA501,
       AA501)
)</f>
        <v/>
      </c>
      <c r="F501" s="206"/>
      <c r="G501" s="206"/>
      <c r="H501" s="206"/>
      <c r="I501" s="206"/>
      <c r="J501" s="206" t="str">
        <f t="shared" si="106"/>
        <v/>
      </c>
      <c r="K501" s="206" t="str">
        <f t="shared" si="108"/>
        <v/>
      </c>
      <c r="L501" s="206" t="str">
        <f t="shared" si="109"/>
        <v/>
      </c>
      <c r="M501" s="206" t="str">
        <f t="shared" si="110"/>
        <v/>
      </c>
      <c r="N501" s="206" t="str">
        <f t="shared" si="111"/>
        <v/>
      </c>
      <c r="O501" s="206" t="str">
        <f t="shared" si="112"/>
        <v/>
      </c>
      <c r="P501" s="84" t="str">
        <f t="shared" si="113"/>
        <v/>
      </c>
      <c r="Q501" s="205"/>
      <c r="R501" s="70" t="str">
        <f>IF(S501="IN",'BOM_Phan II'!$Y$3,"")</f>
        <v/>
      </c>
      <c r="S501" s="69" t="str">
        <f t="shared" si="105"/>
        <v/>
      </c>
      <c r="T501">
        <f t="shared" si="114"/>
        <v>3</v>
      </c>
      <c r="U501" t="str">
        <f t="shared" si="116"/>
        <v>KIỆN 14</v>
      </c>
      <c r="V501" t="str">
        <f t="shared" si="115"/>
        <v/>
      </c>
      <c r="W501" s="266"/>
      <c r="X501" s="266"/>
      <c r="Y501" s="266" t="str">
        <f t="shared" si="107"/>
        <v/>
      </c>
      <c r="Z501" s="266"/>
    </row>
    <row r="502" spans="1:26" ht="27" hidden="1" customHeight="1">
      <c r="A502" s="70" t="str">
        <f t="shared" si="103"/>
        <v/>
      </c>
      <c r="B502" s="70" t="str">
        <f t="shared" si="104"/>
        <v/>
      </c>
      <c r="C502" s="204" t="str" cm="1">
        <f t="array" ref="C502">IF(D502="","",
    IF(AND(ISNUMBER(D502), D502=INT(D502)),
        $V$6 &amp; " " &amp; (IFERROR(MAX($Y$12:$Y501), 0) + 1),
        IF(ISNUMBER(SEARCH(".", D502)), "", INDEX($C$12:$C502, MATCH(2, 1/($C$12:$C502 &lt;&gt; ""))))
    )
)</f>
        <v/>
      </c>
      <c r="D502" s="206"/>
      <c r="E502" s="206" t="str">
        <f>IF(AA502 = "", "",
    IF(ISNUMBER(SEARCH("Kiện", C502)),
       " GÓI " &amp; COUNTIF($C$13:C502, "*Kiện*") &amp; "/" &amp; COUNTIF($C$13:$C$1000, "*Kiện*") &amp; " " &amp; AA502,
       AA502)
)</f>
        <v/>
      </c>
      <c r="F502" s="206"/>
      <c r="G502" s="206"/>
      <c r="H502" s="206"/>
      <c r="I502" s="206"/>
      <c r="J502" s="206" t="str">
        <f t="shared" si="106"/>
        <v/>
      </c>
      <c r="K502" s="206" t="str">
        <f t="shared" si="108"/>
        <v/>
      </c>
      <c r="L502" s="206" t="str">
        <f t="shared" si="109"/>
        <v/>
      </c>
      <c r="M502" s="206" t="str">
        <f t="shared" si="110"/>
        <v/>
      </c>
      <c r="N502" s="206" t="str">
        <f t="shared" si="111"/>
        <v/>
      </c>
      <c r="O502" s="206" t="str">
        <f t="shared" si="112"/>
        <v/>
      </c>
      <c r="P502" s="84" t="str">
        <f t="shared" si="113"/>
        <v/>
      </c>
      <c r="Q502" s="205"/>
      <c r="R502" s="70" t="str">
        <f>IF(S502="IN",'BOM_Phan II'!$Y$3,"")</f>
        <v/>
      </c>
      <c r="S502" s="69" t="str">
        <f t="shared" si="105"/>
        <v/>
      </c>
      <c r="T502">
        <f t="shared" si="114"/>
        <v>3</v>
      </c>
      <c r="U502" t="str">
        <f t="shared" si="116"/>
        <v>KIỆN 14</v>
      </c>
      <c r="V502" t="str">
        <f t="shared" si="115"/>
        <v/>
      </c>
      <c r="W502" s="266"/>
      <c r="X502" s="266"/>
      <c r="Y502" s="266" t="str">
        <f t="shared" si="107"/>
        <v/>
      </c>
      <c r="Z502" s="266"/>
    </row>
    <row r="503" spans="1:26" ht="27" hidden="1" customHeight="1">
      <c r="A503" s="70" t="str">
        <f t="shared" si="103"/>
        <v/>
      </c>
      <c r="B503" s="70" t="str">
        <f t="shared" si="104"/>
        <v/>
      </c>
      <c r="C503" s="204" t="str" cm="1">
        <f t="array" ref="C503">IF(D503="","",
    IF(AND(ISNUMBER(D503), D503=INT(D503)),
        $V$6 &amp; " " &amp; (IFERROR(MAX($Y$12:$Y502), 0) + 1),
        IF(ISNUMBER(SEARCH(".", D503)), "", INDEX($C$12:$C503, MATCH(2, 1/($C$12:$C503 &lt;&gt; ""))))
    )
)</f>
        <v/>
      </c>
      <c r="D503" s="206"/>
      <c r="E503" s="206" t="str">
        <f>IF(AA503 = "", "",
    IF(ISNUMBER(SEARCH("Kiện", C503)),
       " GÓI " &amp; COUNTIF($C$13:C503, "*Kiện*") &amp; "/" &amp; COUNTIF($C$13:$C$1000, "*Kiện*") &amp; " " &amp; AA503,
       AA503)
)</f>
        <v/>
      </c>
      <c r="F503" s="206"/>
      <c r="G503" s="206"/>
      <c r="H503" s="206"/>
      <c r="I503" s="206"/>
      <c r="J503" s="206" t="str">
        <f t="shared" si="106"/>
        <v/>
      </c>
      <c r="K503" s="206" t="str">
        <f t="shared" si="108"/>
        <v/>
      </c>
      <c r="L503" s="206" t="str">
        <f t="shared" si="109"/>
        <v/>
      </c>
      <c r="M503" s="206" t="str">
        <f t="shared" si="110"/>
        <v/>
      </c>
      <c r="N503" s="206" t="str">
        <f t="shared" si="111"/>
        <v/>
      </c>
      <c r="O503" s="206" t="str">
        <f t="shared" si="112"/>
        <v/>
      </c>
      <c r="P503" s="84" t="str">
        <f t="shared" si="113"/>
        <v/>
      </c>
      <c r="Q503" s="205"/>
      <c r="R503" s="70" t="str">
        <f>IF(S503="IN",'BOM_Phan II'!$Y$3,"")</f>
        <v/>
      </c>
      <c r="S503" s="69" t="str">
        <f t="shared" si="105"/>
        <v/>
      </c>
      <c r="T503">
        <f t="shared" si="114"/>
        <v>3</v>
      </c>
      <c r="U503" t="str">
        <f t="shared" si="116"/>
        <v>KIỆN 14</v>
      </c>
      <c r="V503" t="str">
        <f t="shared" si="115"/>
        <v/>
      </c>
      <c r="W503" s="266"/>
      <c r="X503" s="266"/>
      <c r="Y503" s="266" t="str">
        <f t="shared" si="107"/>
        <v/>
      </c>
      <c r="Z503" s="266"/>
    </row>
    <row r="504" spans="1:26" ht="27" hidden="1" customHeight="1">
      <c r="A504" s="70" t="str">
        <f t="shared" si="103"/>
        <v/>
      </c>
      <c r="B504" s="70" t="str">
        <f t="shared" si="104"/>
        <v/>
      </c>
      <c r="C504" s="204" t="str" cm="1">
        <f t="array" ref="C504">IF(D504="","",
    IF(AND(ISNUMBER(D504), D504=INT(D504)),
        $V$6 &amp; " " &amp; (IFERROR(MAX($Y$12:$Y503), 0) + 1),
        IF(ISNUMBER(SEARCH(".", D504)), "", INDEX($C$12:$C504, MATCH(2, 1/($C$12:$C504 &lt;&gt; ""))))
    )
)</f>
        <v/>
      </c>
      <c r="D504" s="206"/>
      <c r="E504" s="206" t="str">
        <f>IF(AA504 = "", "",
    IF(ISNUMBER(SEARCH("Kiện", C504)),
       " GÓI " &amp; COUNTIF($C$13:C504, "*Kiện*") &amp; "/" &amp; COUNTIF($C$13:$C$1000, "*Kiện*") &amp; " " &amp; AA504,
       AA504)
)</f>
        <v/>
      </c>
      <c r="F504" s="206"/>
      <c r="G504" s="206"/>
      <c r="H504" s="206"/>
      <c r="I504" s="206"/>
      <c r="J504" s="206" t="str">
        <f t="shared" si="106"/>
        <v/>
      </c>
      <c r="K504" s="206" t="str">
        <f t="shared" si="108"/>
        <v/>
      </c>
      <c r="L504" s="206" t="str">
        <f t="shared" si="109"/>
        <v/>
      </c>
      <c r="M504" s="206" t="str">
        <f t="shared" si="110"/>
        <v/>
      </c>
      <c r="N504" s="206" t="str">
        <f t="shared" si="111"/>
        <v/>
      </c>
      <c r="O504" s="206" t="str">
        <f t="shared" si="112"/>
        <v/>
      </c>
      <c r="P504" s="84" t="str">
        <f t="shared" si="113"/>
        <v/>
      </c>
      <c r="Q504" s="205"/>
      <c r="R504" s="70" t="str">
        <f>IF(S504="IN",'BOM_Phan II'!$Y$3,"")</f>
        <v/>
      </c>
      <c r="S504" s="69" t="str">
        <f t="shared" si="105"/>
        <v/>
      </c>
      <c r="T504">
        <f t="shared" si="114"/>
        <v>3</v>
      </c>
      <c r="U504" t="str">
        <f t="shared" si="116"/>
        <v>KIỆN 14</v>
      </c>
      <c r="V504" t="str">
        <f t="shared" si="115"/>
        <v/>
      </c>
      <c r="W504" s="266"/>
      <c r="X504" s="266"/>
      <c r="Y504" s="266" t="str">
        <f t="shared" si="107"/>
        <v/>
      </c>
      <c r="Z504" s="266"/>
    </row>
    <row r="505" spans="1:26" ht="27" hidden="1" customHeight="1">
      <c r="A505" s="70" t="str">
        <f t="shared" si="103"/>
        <v/>
      </c>
      <c r="B505" s="70" t="str">
        <f t="shared" si="104"/>
        <v/>
      </c>
      <c r="C505" s="204" t="str" cm="1">
        <f t="array" ref="C505">IF(D505="","",
    IF(AND(ISNUMBER(D505), D505=INT(D505)),
        $V$6 &amp; " " &amp; (IFERROR(MAX($Y$12:$Y504), 0) + 1),
        IF(ISNUMBER(SEARCH(".", D505)), "", INDEX($C$12:$C505, MATCH(2, 1/($C$12:$C505 &lt;&gt; ""))))
    )
)</f>
        <v/>
      </c>
      <c r="D505" s="206"/>
      <c r="E505" s="206" t="str">
        <f>IF(AA505 = "", "",
    IF(ISNUMBER(SEARCH("Kiện", C505)),
       " GÓI " &amp; COUNTIF($C$13:C505, "*Kiện*") &amp; "/" &amp; COUNTIF($C$13:$C$1000, "*Kiện*") &amp; " " &amp; AA505,
       AA505)
)</f>
        <v/>
      </c>
      <c r="F505" s="206"/>
      <c r="G505" s="206"/>
      <c r="H505" s="206"/>
      <c r="I505" s="206"/>
      <c r="J505" s="206" t="str">
        <f t="shared" si="106"/>
        <v/>
      </c>
      <c r="K505" s="206" t="str">
        <f t="shared" si="108"/>
        <v/>
      </c>
      <c r="L505" s="206" t="str">
        <f t="shared" si="109"/>
        <v/>
      </c>
      <c r="M505" s="206" t="str">
        <f t="shared" si="110"/>
        <v/>
      </c>
      <c r="N505" s="206" t="str">
        <f t="shared" si="111"/>
        <v/>
      </c>
      <c r="O505" s="206" t="str">
        <f t="shared" si="112"/>
        <v/>
      </c>
      <c r="P505" s="84" t="str">
        <f t="shared" si="113"/>
        <v/>
      </c>
      <c r="Q505" s="205"/>
      <c r="R505" s="70" t="str">
        <f>IF(S505="IN",'BOM_Phan II'!$Y$3,"")</f>
        <v/>
      </c>
      <c r="S505" s="69" t="str">
        <f t="shared" si="105"/>
        <v/>
      </c>
      <c r="T505">
        <f t="shared" si="114"/>
        <v>3</v>
      </c>
      <c r="U505" t="str">
        <f t="shared" si="116"/>
        <v>KIỆN 14</v>
      </c>
      <c r="V505" t="str">
        <f t="shared" si="115"/>
        <v/>
      </c>
      <c r="W505" s="266"/>
      <c r="X505" s="266"/>
      <c r="Y505" s="266" t="str">
        <f t="shared" si="107"/>
        <v/>
      </c>
      <c r="Z505" s="266"/>
    </row>
    <row r="506" spans="1:26" ht="27" hidden="1" customHeight="1">
      <c r="A506" s="70" t="str">
        <f t="shared" si="103"/>
        <v/>
      </c>
      <c r="B506" s="70" t="str">
        <f t="shared" si="104"/>
        <v/>
      </c>
      <c r="C506" s="204" t="str" cm="1">
        <f t="array" ref="C506">IF(D506="","",
    IF(AND(ISNUMBER(D506), D506=INT(D506)),
        $V$6 &amp; " " &amp; (IFERROR(MAX($Y$12:$Y505), 0) + 1),
        IF(ISNUMBER(SEARCH(".", D506)), "", INDEX($C$12:$C506, MATCH(2, 1/($C$12:$C506 &lt;&gt; ""))))
    )
)</f>
        <v/>
      </c>
      <c r="D506" s="206"/>
      <c r="E506" s="206" t="str">
        <f>IF(AA506 = "", "",
    IF(ISNUMBER(SEARCH("Kiện", C506)),
       " GÓI " &amp; COUNTIF($C$13:C506, "*Kiện*") &amp; "/" &amp; COUNTIF($C$13:$C$1000, "*Kiện*") &amp; " " &amp; AA506,
       AA506)
)</f>
        <v/>
      </c>
      <c r="F506" s="206"/>
      <c r="G506" s="206"/>
      <c r="H506" s="206"/>
      <c r="I506" s="206"/>
      <c r="J506" s="206" t="str">
        <f t="shared" si="106"/>
        <v/>
      </c>
      <c r="K506" s="206" t="str">
        <f t="shared" si="108"/>
        <v/>
      </c>
      <c r="L506" s="206" t="str">
        <f t="shared" si="109"/>
        <v/>
      </c>
      <c r="M506" s="206" t="str">
        <f t="shared" si="110"/>
        <v/>
      </c>
      <c r="N506" s="206" t="str">
        <f t="shared" si="111"/>
        <v/>
      </c>
      <c r="O506" s="206" t="str">
        <f t="shared" si="112"/>
        <v/>
      </c>
      <c r="P506" s="84" t="str">
        <f t="shared" si="113"/>
        <v/>
      </c>
      <c r="Q506" s="205"/>
      <c r="R506" s="70" t="str">
        <f>IF(S506="IN",'BOM_Phan II'!$Y$3,"")</f>
        <v/>
      </c>
      <c r="S506" s="69" t="str">
        <f t="shared" si="105"/>
        <v/>
      </c>
      <c r="T506">
        <f t="shared" si="114"/>
        <v>3</v>
      </c>
      <c r="U506" t="str">
        <f t="shared" si="116"/>
        <v>KIỆN 14</v>
      </c>
      <c r="V506" t="str">
        <f t="shared" si="115"/>
        <v/>
      </c>
      <c r="W506" s="266"/>
      <c r="X506" s="266"/>
      <c r="Y506" s="266" t="str">
        <f t="shared" si="107"/>
        <v/>
      </c>
      <c r="Z506" s="266"/>
    </row>
    <row r="507" spans="1:26" ht="27" hidden="1" customHeight="1">
      <c r="A507" s="70" t="str">
        <f t="shared" si="103"/>
        <v/>
      </c>
      <c r="B507" s="70" t="str">
        <f t="shared" si="104"/>
        <v/>
      </c>
      <c r="C507" s="204" t="str" cm="1">
        <f t="array" ref="C507">IF(D507="","",
    IF(AND(ISNUMBER(D507), D507=INT(D507)),
        $V$6 &amp; " " &amp; (IFERROR(MAX($Y$12:$Y506), 0) + 1),
        IF(ISNUMBER(SEARCH(".", D507)), "", INDEX($C$12:$C507, MATCH(2, 1/($C$12:$C507 &lt;&gt; ""))))
    )
)</f>
        <v/>
      </c>
      <c r="D507" s="206"/>
      <c r="E507" s="206" t="str">
        <f>IF(AA507 = "", "",
    IF(ISNUMBER(SEARCH("Kiện", C507)),
       " GÓI " &amp; COUNTIF($C$13:C507, "*Kiện*") &amp; "/" &amp; COUNTIF($C$13:$C$1000, "*Kiện*") &amp; " " &amp; AA507,
       AA507)
)</f>
        <v/>
      </c>
      <c r="F507" s="206"/>
      <c r="G507" s="206"/>
      <c r="H507" s="206"/>
      <c r="I507" s="206"/>
      <c r="J507" s="206" t="str">
        <f t="shared" si="106"/>
        <v/>
      </c>
      <c r="K507" s="206" t="str">
        <f t="shared" si="108"/>
        <v/>
      </c>
      <c r="L507" s="206" t="str">
        <f t="shared" si="109"/>
        <v/>
      </c>
      <c r="M507" s="206" t="str">
        <f t="shared" si="110"/>
        <v/>
      </c>
      <c r="N507" s="206" t="str">
        <f t="shared" si="111"/>
        <v/>
      </c>
      <c r="O507" s="206" t="str">
        <f t="shared" si="112"/>
        <v/>
      </c>
      <c r="P507" s="84" t="str">
        <f t="shared" si="113"/>
        <v/>
      </c>
      <c r="Q507" s="205"/>
      <c r="R507" s="70" t="str">
        <f>IF(S507="IN",'BOM_Phan II'!$Y$3,"")</f>
        <v/>
      </c>
      <c r="S507" s="69" t="str">
        <f t="shared" si="105"/>
        <v/>
      </c>
      <c r="T507">
        <f t="shared" si="114"/>
        <v>3</v>
      </c>
      <c r="U507" t="str">
        <f t="shared" si="116"/>
        <v>KIỆN 14</v>
      </c>
      <c r="V507" t="str">
        <f t="shared" si="115"/>
        <v/>
      </c>
      <c r="W507" s="266"/>
      <c r="X507" s="266"/>
      <c r="Y507" s="266" t="str">
        <f t="shared" si="107"/>
        <v/>
      </c>
      <c r="Z507" s="266"/>
    </row>
    <row r="508" spans="1:26" ht="27" hidden="1" customHeight="1">
      <c r="A508" s="70" t="str">
        <f t="shared" si="103"/>
        <v/>
      </c>
      <c r="B508" s="70" t="str">
        <f t="shared" si="104"/>
        <v/>
      </c>
      <c r="C508" s="204" t="str" cm="1">
        <f t="array" ref="C508">IF(D508="","",
    IF(AND(ISNUMBER(D508), D508=INT(D508)),
        $V$6 &amp; " " &amp; (IFERROR(MAX($Y$12:$Y507), 0) + 1),
        IF(ISNUMBER(SEARCH(".", D508)), "", INDEX($C$12:$C508, MATCH(2, 1/($C$12:$C508 &lt;&gt; ""))))
    )
)</f>
        <v/>
      </c>
      <c r="D508" s="206"/>
      <c r="E508" s="206" t="str">
        <f>IF(AA508 = "", "",
    IF(ISNUMBER(SEARCH("Kiện", C508)),
       " GÓI " &amp; COUNTIF($C$13:C508, "*Kiện*") &amp; "/" &amp; COUNTIF($C$13:$C$1000, "*Kiện*") &amp; " " &amp; AA508,
       AA508)
)</f>
        <v/>
      </c>
      <c r="F508" s="206"/>
      <c r="G508" s="206"/>
      <c r="H508" s="206"/>
      <c r="I508" s="206"/>
      <c r="J508" s="206" t="str">
        <f t="shared" si="106"/>
        <v/>
      </c>
      <c r="K508" s="206" t="str">
        <f t="shared" si="108"/>
        <v/>
      </c>
      <c r="L508" s="206" t="str">
        <f t="shared" si="109"/>
        <v/>
      </c>
      <c r="M508" s="206" t="str">
        <f t="shared" si="110"/>
        <v/>
      </c>
      <c r="N508" s="206" t="str">
        <f t="shared" si="111"/>
        <v/>
      </c>
      <c r="O508" s="206" t="str">
        <f t="shared" si="112"/>
        <v/>
      </c>
      <c r="P508" s="84" t="str">
        <f t="shared" si="113"/>
        <v/>
      </c>
      <c r="Q508" s="205"/>
      <c r="R508" s="70" t="str">
        <f>IF(S508="IN",'BOM_Phan II'!$Y$3,"")</f>
        <v/>
      </c>
      <c r="S508" s="69" t="str">
        <f t="shared" si="105"/>
        <v/>
      </c>
      <c r="T508">
        <f t="shared" si="114"/>
        <v>3</v>
      </c>
      <c r="U508" t="str">
        <f t="shared" si="116"/>
        <v>KIỆN 14</v>
      </c>
      <c r="V508" t="str">
        <f t="shared" si="115"/>
        <v/>
      </c>
      <c r="W508" s="266"/>
      <c r="X508" s="266"/>
      <c r="Y508" s="266" t="str">
        <f t="shared" si="107"/>
        <v/>
      </c>
      <c r="Z508" s="266"/>
    </row>
    <row r="509" spans="1:26" ht="27" hidden="1" customHeight="1">
      <c r="A509" s="70" t="str">
        <f t="shared" si="103"/>
        <v/>
      </c>
      <c r="B509" s="70" t="str">
        <f t="shared" si="104"/>
        <v/>
      </c>
      <c r="C509" s="204" t="str" cm="1">
        <f t="array" ref="C509">IF(D509="","",
    IF(AND(ISNUMBER(D509), D509=INT(D509)),
        $V$6 &amp; " " &amp; (IFERROR(MAX($Y$12:$Y508), 0) + 1),
        IF(ISNUMBER(SEARCH(".", D509)), "", INDEX($C$12:$C509, MATCH(2, 1/($C$12:$C509 &lt;&gt; ""))))
    )
)</f>
        <v/>
      </c>
      <c r="D509" s="206"/>
      <c r="E509" s="206" t="str">
        <f>IF(AA509 = "", "",
    IF(ISNUMBER(SEARCH("Kiện", C509)),
       " GÓI " &amp; COUNTIF($C$13:C509, "*Kiện*") &amp; "/" &amp; COUNTIF($C$13:$C$1000, "*Kiện*") &amp; " " &amp; AA509,
       AA509)
)</f>
        <v/>
      </c>
      <c r="F509" s="206"/>
      <c r="G509" s="206"/>
      <c r="H509" s="206"/>
      <c r="I509" s="206"/>
      <c r="J509" s="206" t="str">
        <f t="shared" si="106"/>
        <v/>
      </c>
      <c r="K509" s="206" t="str">
        <f t="shared" si="108"/>
        <v/>
      </c>
      <c r="L509" s="206" t="str">
        <f t="shared" si="109"/>
        <v/>
      </c>
      <c r="M509" s="206" t="str">
        <f t="shared" si="110"/>
        <v/>
      </c>
      <c r="N509" s="206" t="str">
        <f t="shared" si="111"/>
        <v/>
      </c>
      <c r="O509" s="206" t="str">
        <f t="shared" si="112"/>
        <v/>
      </c>
      <c r="P509" s="84" t="str">
        <f t="shared" si="113"/>
        <v/>
      </c>
      <c r="Q509" s="205"/>
      <c r="R509" s="70" t="str">
        <f>IF(S509="IN",'BOM_Phan II'!$Y$3,"")</f>
        <v/>
      </c>
      <c r="S509" s="69" t="str">
        <f t="shared" si="105"/>
        <v/>
      </c>
      <c r="T509">
        <f t="shared" si="114"/>
        <v>3</v>
      </c>
      <c r="U509" t="str">
        <f t="shared" si="116"/>
        <v>KIỆN 14</v>
      </c>
      <c r="V509" t="str">
        <f t="shared" si="115"/>
        <v/>
      </c>
      <c r="W509" s="266"/>
      <c r="X509" s="266"/>
      <c r="Y509" s="266" t="str">
        <f t="shared" si="107"/>
        <v/>
      </c>
      <c r="Z509" s="266"/>
    </row>
    <row r="510" spans="1:26" ht="27" hidden="1" customHeight="1">
      <c r="A510" s="70" t="str">
        <f t="shared" si="103"/>
        <v/>
      </c>
      <c r="B510" s="70" t="str">
        <f t="shared" si="104"/>
        <v/>
      </c>
      <c r="C510" s="204" t="str" cm="1">
        <f t="array" ref="C510">IF(D510="","",
    IF(AND(ISNUMBER(D510), D510=INT(D510)),
        $V$6 &amp; " " &amp; (IFERROR(MAX($Y$12:$Y509), 0) + 1),
        IF(ISNUMBER(SEARCH(".", D510)), "", INDEX($C$12:$C510, MATCH(2, 1/($C$12:$C510 &lt;&gt; ""))))
    )
)</f>
        <v/>
      </c>
      <c r="D510" s="206"/>
      <c r="E510" s="206" t="str">
        <f>IF(AA510 = "", "",
    IF(ISNUMBER(SEARCH("Kiện", C510)),
       " GÓI " &amp; COUNTIF($C$13:C510, "*Kiện*") &amp; "/" &amp; COUNTIF($C$13:$C$1000, "*Kiện*") &amp; " " &amp; AA510,
       AA510)
)</f>
        <v/>
      </c>
      <c r="F510" s="206"/>
      <c r="G510" s="206"/>
      <c r="H510" s="206"/>
      <c r="I510" s="206"/>
      <c r="J510" s="206" t="str">
        <f t="shared" si="106"/>
        <v/>
      </c>
      <c r="K510" s="206" t="str">
        <f t="shared" si="108"/>
        <v/>
      </c>
      <c r="L510" s="206" t="str">
        <f t="shared" si="109"/>
        <v/>
      </c>
      <c r="M510" s="206" t="str">
        <f t="shared" si="110"/>
        <v/>
      </c>
      <c r="N510" s="206" t="str">
        <f t="shared" si="111"/>
        <v/>
      </c>
      <c r="O510" s="206" t="str">
        <f t="shared" si="112"/>
        <v/>
      </c>
      <c r="P510" s="84" t="str">
        <f t="shared" si="113"/>
        <v/>
      </c>
      <c r="Q510" s="205"/>
      <c r="R510" s="70" t="str">
        <f>IF(S510="IN",'BOM_Phan II'!$Y$3,"")</f>
        <v/>
      </c>
      <c r="S510" s="69" t="str">
        <f t="shared" si="105"/>
        <v/>
      </c>
      <c r="T510">
        <f t="shared" si="114"/>
        <v>3</v>
      </c>
      <c r="U510" t="str">
        <f t="shared" si="116"/>
        <v>KIỆN 14</v>
      </c>
      <c r="V510" t="str">
        <f t="shared" si="115"/>
        <v/>
      </c>
      <c r="W510" s="266"/>
      <c r="X510" s="266"/>
      <c r="Y510" s="266" t="str">
        <f t="shared" si="107"/>
        <v/>
      </c>
      <c r="Z510" s="266"/>
    </row>
    <row r="511" spans="1:26" ht="27" hidden="1" customHeight="1">
      <c r="A511" s="70" t="str">
        <f t="shared" si="103"/>
        <v/>
      </c>
      <c r="B511" s="70" t="str">
        <f t="shared" si="104"/>
        <v/>
      </c>
      <c r="C511" s="204" t="str" cm="1">
        <f t="array" ref="C511">IF(D511="","",
    IF(AND(ISNUMBER(D511), D511=INT(D511)),
        $V$6 &amp; " " &amp; (IFERROR(MAX($Y$12:$Y510), 0) + 1),
        IF(ISNUMBER(SEARCH(".", D511)), "", INDEX($C$12:$C511, MATCH(2, 1/($C$12:$C511 &lt;&gt; ""))))
    )
)</f>
        <v/>
      </c>
      <c r="D511" s="206"/>
      <c r="E511" s="206" t="str">
        <f>IF(AA511 = "", "",
    IF(ISNUMBER(SEARCH("Kiện", C511)),
       " GÓI " &amp; COUNTIF($C$13:C511, "*Kiện*") &amp; "/" &amp; COUNTIF($C$13:$C$1000, "*Kiện*") &amp; " " &amp; AA511,
       AA511)
)</f>
        <v/>
      </c>
      <c r="F511" s="206"/>
      <c r="G511" s="206"/>
      <c r="H511" s="206"/>
      <c r="I511" s="206"/>
      <c r="J511" s="206" t="str">
        <f t="shared" si="106"/>
        <v/>
      </c>
      <c r="K511" s="206" t="str">
        <f t="shared" si="108"/>
        <v/>
      </c>
      <c r="L511" s="206" t="str">
        <f t="shared" si="109"/>
        <v/>
      </c>
      <c r="M511" s="206" t="str">
        <f t="shared" si="110"/>
        <v/>
      </c>
      <c r="N511" s="206" t="str">
        <f t="shared" si="111"/>
        <v/>
      </c>
      <c r="O511" s="206" t="str">
        <f t="shared" si="112"/>
        <v/>
      </c>
      <c r="P511" s="84" t="str">
        <f t="shared" si="113"/>
        <v/>
      </c>
      <c r="Q511" s="205"/>
      <c r="R511" s="70" t="str">
        <f>IF(S511="IN",'BOM_Phan II'!$Y$3,"")</f>
        <v/>
      </c>
      <c r="S511" s="69" t="str">
        <f t="shared" si="105"/>
        <v/>
      </c>
      <c r="T511">
        <f t="shared" si="114"/>
        <v>3</v>
      </c>
      <c r="U511" t="str">
        <f t="shared" si="116"/>
        <v>KIỆN 14</v>
      </c>
      <c r="V511" t="str">
        <f t="shared" si="115"/>
        <v/>
      </c>
      <c r="W511" s="266"/>
      <c r="X511" s="266"/>
      <c r="Y511" s="266" t="str">
        <f t="shared" si="107"/>
        <v/>
      </c>
      <c r="Z511" s="266"/>
    </row>
    <row r="512" spans="1:26" ht="27" hidden="1" customHeight="1">
      <c r="A512" s="70" t="str">
        <f t="shared" si="103"/>
        <v/>
      </c>
      <c r="B512" s="70" t="str">
        <f t="shared" si="104"/>
        <v/>
      </c>
      <c r="C512" s="204" t="str" cm="1">
        <f t="array" ref="C512">IF(D512="","",
    IF(AND(ISNUMBER(D512), D512=INT(D512)),
        $V$6 &amp; " " &amp; (IFERROR(MAX($Y$12:$Y511), 0) + 1),
        IF(ISNUMBER(SEARCH(".", D512)), "", INDEX($C$12:$C512, MATCH(2, 1/($C$12:$C512 &lt;&gt; ""))))
    )
)</f>
        <v/>
      </c>
      <c r="D512" s="206"/>
      <c r="E512" s="206" t="str">
        <f>IF(AA512 = "", "",
    IF(ISNUMBER(SEARCH("Kiện", C512)),
       " GÓI " &amp; COUNTIF($C$13:C512, "*Kiện*") &amp; "/" &amp; COUNTIF($C$13:$C$1000, "*Kiện*") &amp; " " &amp; AA512,
       AA512)
)</f>
        <v/>
      </c>
      <c r="F512" s="206"/>
      <c r="G512" s="206"/>
      <c r="H512" s="206"/>
      <c r="I512" s="206"/>
      <c r="J512" s="206" t="str">
        <f t="shared" si="106"/>
        <v/>
      </c>
      <c r="K512" s="206" t="str">
        <f t="shared" si="108"/>
        <v/>
      </c>
      <c r="L512" s="206" t="str">
        <f t="shared" si="109"/>
        <v/>
      </c>
      <c r="M512" s="206" t="str">
        <f t="shared" si="110"/>
        <v/>
      </c>
      <c r="N512" s="206" t="str">
        <f t="shared" si="111"/>
        <v/>
      </c>
      <c r="O512" s="206" t="str">
        <f t="shared" si="112"/>
        <v/>
      </c>
      <c r="P512" s="84" t="str">
        <f t="shared" si="113"/>
        <v/>
      </c>
      <c r="Q512" s="205"/>
      <c r="R512" s="70" t="str">
        <f>IF(S512="IN",'BOM_Phan II'!$Y$3,"")</f>
        <v/>
      </c>
      <c r="S512" s="69" t="str">
        <f t="shared" si="105"/>
        <v/>
      </c>
      <c r="T512">
        <f t="shared" si="114"/>
        <v>3</v>
      </c>
      <c r="U512" t="str">
        <f t="shared" si="116"/>
        <v>KIỆN 14</v>
      </c>
      <c r="V512" t="str">
        <f t="shared" si="115"/>
        <v/>
      </c>
      <c r="W512" s="266"/>
      <c r="X512" s="266"/>
      <c r="Y512" s="266" t="str">
        <f t="shared" si="107"/>
        <v/>
      </c>
      <c r="Z512" s="266"/>
    </row>
    <row r="513" spans="1:26" ht="27" hidden="1" customHeight="1">
      <c r="A513" s="70" t="str">
        <f t="shared" si="103"/>
        <v/>
      </c>
      <c r="B513" s="70" t="str">
        <f t="shared" si="104"/>
        <v/>
      </c>
      <c r="C513" s="204" t="str" cm="1">
        <f t="array" ref="C513">IF(D513="","",
    IF(AND(ISNUMBER(D513), D513=INT(D513)),
        $V$6 &amp; " " &amp; (IFERROR(MAX($Y$12:$Y512), 0) + 1),
        IF(ISNUMBER(SEARCH(".", D513)), "", INDEX($C$12:$C513, MATCH(2, 1/($C$12:$C513 &lt;&gt; ""))))
    )
)</f>
        <v/>
      </c>
      <c r="D513" s="206"/>
      <c r="E513" s="206" t="str">
        <f>IF(AA513 = "", "",
    IF(ISNUMBER(SEARCH("Kiện", C513)),
       " GÓI " &amp; COUNTIF($C$13:C513, "*Kiện*") &amp; "/" &amp; COUNTIF($C$13:$C$1000, "*Kiện*") &amp; " " &amp; AA513,
       AA513)
)</f>
        <v/>
      </c>
      <c r="F513" s="206"/>
      <c r="G513" s="206"/>
      <c r="H513" s="206"/>
      <c r="I513" s="206"/>
      <c r="J513" s="206" t="str">
        <f t="shared" si="106"/>
        <v/>
      </c>
      <c r="K513" s="206" t="str">
        <f t="shared" si="108"/>
        <v/>
      </c>
      <c r="L513" s="206" t="str">
        <f t="shared" si="109"/>
        <v/>
      </c>
      <c r="M513" s="206" t="str">
        <f t="shared" si="110"/>
        <v/>
      </c>
      <c r="N513" s="206" t="str">
        <f t="shared" si="111"/>
        <v/>
      </c>
      <c r="O513" s="206" t="str">
        <f t="shared" si="112"/>
        <v/>
      </c>
      <c r="P513" s="84" t="str">
        <f t="shared" si="113"/>
        <v/>
      </c>
      <c r="Q513" s="205"/>
      <c r="R513" s="70" t="str">
        <f>IF(S513="IN",'BOM_Phan II'!$Y$3,"")</f>
        <v/>
      </c>
      <c r="S513" s="69" t="str">
        <f t="shared" si="105"/>
        <v/>
      </c>
      <c r="T513">
        <f t="shared" si="114"/>
        <v>3</v>
      </c>
      <c r="U513" t="str">
        <f t="shared" si="116"/>
        <v>KIỆN 14</v>
      </c>
      <c r="V513" t="str">
        <f t="shared" si="115"/>
        <v/>
      </c>
      <c r="W513" s="266"/>
      <c r="X513" s="266"/>
      <c r="Y513" s="266" t="str">
        <f t="shared" si="107"/>
        <v/>
      </c>
      <c r="Z513" s="266"/>
    </row>
    <row r="514" spans="1:26" ht="27" hidden="1" customHeight="1">
      <c r="A514" s="70" t="str">
        <f t="shared" si="103"/>
        <v/>
      </c>
      <c r="B514" s="70" t="str">
        <f t="shared" si="104"/>
        <v/>
      </c>
      <c r="C514" s="204" t="str" cm="1">
        <f t="array" ref="C514">IF(D514="","",
    IF(AND(ISNUMBER(D514), D514=INT(D514)),
        $V$6 &amp; " " &amp; (IFERROR(MAX($Y$12:$Y513), 0) + 1),
        IF(ISNUMBER(SEARCH(".", D514)), "", INDEX($C$12:$C514, MATCH(2, 1/($C$12:$C514 &lt;&gt; ""))))
    )
)</f>
        <v/>
      </c>
      <c r="D514" s="206"/>
      <c r="E514" s="206" t="str">
        <f>IF(AA514 = "", "",
    IF(ISNUMBER(SEARCH("Kiện", C514)),
       " GÓI " &amp; COUNTIF($C$13:C514, "*Kiện*") &amp; "/" &amp; COUNTIF($C$13:$C$1000, "*Kiện*") &amp; " " &amp; AA514,
       AA514)
)</f>
        <v/>
      </c>
      <c r="F514" s="206"/>
      <c r="G514" s="206"/>
      <c r="H514" s="206"/>
      <c r="I514" s="206"/>
      <c r="J514" s="206" t="str">
        <f t="shared" si="106"/>
        <v/>
      </c>
      <c r="K514" s="206" t="str">
        <f t="shared" si="108"/>
        <v/>
      </c>
      <c r="L514" s="206" t="str">
        <f t="shared" si="109"/>
        <v/>
      </c>
      <c r="M514" s="206" t="str">
        <f t="shared" si="110"/>
        <v/>
      </c>
      <c r="N514" s="206" t="str">
        <f t="shared" si="111"/>
        <v/>
      </c>
      <c r="O514" s="206" t="str">
        <f t="shared" si="112"/>
        <v/>
      </c>
      <c r="P514" s="84" t="str">
        <f t="shared" si="113"/>
        <v/>
      </c>
      <c r="Q514" s="205"/>
      <c r="R514" s="70" t="str">
        <f>IF(S514="IN",'BOM_Phan II'!$Y$3,"")</f>
        <v/>
      </c>
      <c r="S514" s="69" t="str">
        <f t="shared" si="105"/>
        <v/>
      </c>
      <c r="T514">
        <f t="shared" si="114"/>
        <v>3</v>
      </c>
      <c r="U514" t="str">
        <f t="shared" si="116"/>
        <v>KIỆN 14</v>
      </c>
      <c r="V514" t="str">
        <f t="shared" si="115"/>
        <v/>
      </c>
      <c r="W514" s="266"/>
      <c r="X514" s="266"/>
      <c r="Y514" s="266" t="str">
        <f t="shared" si="107"/>
        <v/>
      </c>
      <c r="Z514" s="266"/>
    </row>
    <row r="515" spans="1:26" ht="27" hidden="1" customHeight="1">
      <c r="A515" s="70" t="str">
        <f t="shared" si="103"/>
        <v/>
      </c>
      <c r="B515" s="70" t="str">
        <f t="shared" si="104"/>
        <v/>
      </c>
      <c r="C515" s="204" t="str" cm="1">
        <f t="array" ref="C515">IF(D515="","",
    IF(AND(ISNUMBER(D515), D515=INT(D515)),
        $V$6 &amp; " " &amp; (IFERROR(MAX($Y$12:$Y514), 0) + 1),
        IF(ISNUMBER(SEARCH(".", D515)), "", INDEX($C$12:$C515, MATCH(2, 1/($C$12:$C515 &lt;&gt; ""))))
    )
)</f>
        <v/>
      </c>
      <c r="D515" s="206"/>
      <c r="E515" s="206" t="str">
        <f>IF(AA515 = "", "",
    IF(ISNUMBER(SEARCH("Kiện", C515)),
       " GÓI " &amp; COUNTIF($C$13:C515, "*Kiện*") &amp; "/" &amp; COUNTIF($C$13:$C$1000, "*Kiện*") &amp; " " &amp; AA515,
       AA515)
)</f>
        <v/>
      </c>
      <c r="F515" s="206"/>
      <c r="G515" s="206"/>
      <c r="H515" s="206"/>
      <c r="I515" s="206"/>
      <c r="J515" s="206" t="str">
        <f t="shared" si="106"/>
        <v/>
      </c>
      <c r="K515" s="206" t="str">
        <f t="shared" si="108"/>
        <v/>
      </c>
      <c r="L515" s="206" t="str">
        <f t="shared" si="109"/>
        <v/>
      </c>
      <c r="M515" s="206" t="str">
        <f t="shared" si="110"/>
        <v/>
      </c>
      <c r="N515" s="206" t="str">
        <f t="shared" si="111"/>
        <v/>
      </c>
      <c r="O515" s="206" t="str">
        <f t="shared" si="112"/>
        <v/>
      </c>
      <c r="P515" s="84" t="str">
        <f t="shared" si="113"/>
        <v/>
      </c>
      <c r="Q515" s="205"/>
      <c r="R515" s="70" t="str">
        <f>IF(S515="IN",'BOM_Phan II'!$Y$3,"")</f>
        <v/>
      </c>
      <c r="S515" s="69" t="str">
        <f t="shared" si="105"/>
        <v/>
      </c>
      <c r="T515">
        <f t="shared" si="114"/>
        <v>3</v>
      </c>
      <c r="U515" t="str">
        <f t="shared" si="116"/>
        <v>KIỆN 14</v>
      </c>
      <c r="V515" t="str">
        <f t="shared" si="115"/>
        <v/>
      </c>
      <c r="W515" s="266"/>
      <c r="X515" s="266"/>
      <c r="Y515" s="266" t="str">
        <f t="shared" si="107"/>
        <v/>
      </c>
      <c r="Z515" s="266"/>
    </row>
    <row r="516" spans="1:26" ht="27" hidden="1" customHeight="1">
      <c r="A516" s="70" t="str">
        <f t="shared" si="103"/>
        <v/>
      </c>
      <c r="B516" s="70" t="str">
        <f t="shared" si="104"/>
        <v/>
      </c>
      <c r="C516" s="204" t="str" cm="1">
        <f t="array" ref="C516">IF(D516="","",
    IF(AND(ISNUMBER(D516), D516=INT(D516)),
        $V$6 &amp; " " &amp; (IFERROR(MAX($Y$12:$Y515), 0) + 1),
        IF(ISNUMBER(SEARCH(".", D516)), "", INDEX($C$12:$C516, MATCH(2, 1/($C$12:$C516 &lt;&gt; ""))))
    )
)</f>
        <v/>
      </c>
      <c r="D516" s="206"/>
      <c r="E516" s="206" t="str">
        <f>IF(AA516 = "", "",
    IF(ISNUMBER(SEARCH("Kiện", C516)),
       " GÓI " &amp; COUNTIF($C$13:C516, "*Kiện*") &amp; "/" &amp; COUNTIF($C$13:$C$1000, "*Kiện*") &amp; " " &amp; AA516,
       AA516)
)</f>
        <v/>
      </c>
      <c r="F516" s="206"/>
      <c r="G516" s="206"/>
      <c r="H516" s="206"/>
      <c r="I516" s="206"/>
      <c r="J516" s="206" t="str">
        <f t="shared" si="106"/>
        <v/>
      </c>
      <c r="K516" s="206" t="str">
        <f t="shared" si="108"/>
        <v/>
      </c>
      <c r="L516" s="206" t="str">
        <f t="shared" si="109"/>
        <v/>
      </c>
      <c r="M516" s="206" t="str">
        <f t="shared" si="110"/>
        <v/>
      </c>
      <c r="N516" s="206" t="str">
        <f t="shared" si="111"/>
        <v/>
      </c>
      <c r="O516" s="206" t="str">
        <f t="shared" si="112"/>
        <v/>
      </c>
      <c r="P516" s="84" t="str">
        <f t="shared" si="113"/>
        <v/>
      </c>
      <c r="Q516" s="205"/>
      <c r="R516" s="70" t="str">
        <f>IF(S516="IN",'BOM_Phan II'!$Y$3,"")</f>
        <v/>
      </c>
      <c r="S516" s="69" t="str">
        <f t="shared" si="105"/>
        <v/>
      </c>
      <c r="T516">
        <f t="shared" si="114"/>
        <v>3</v>
      </c>
      <c r="U516" t="str">
        <f t="shared" si="116"/>
        <v>KIỆN 14</v>
      </c>
      <c r="V516" t="str">
        <f t="shared" si="115"/>
        <v/>
      </c>
      <c r="W516" s="266"/>
      <c r="X516" s="266"/>
      <c r="Y516" s="266" t="str">
        <f t="shared" si="107"/>
        <v/>
      </c>
      <c r="Z516" s="266"/>
    </row>
    <row r="517" spans="1:26" ht="27" hidden="1" customHeight="1">
      <c r="A517" s="70" t="str">
        <f t="shared" si="103"/>
        <v/>
      </c>
      <c r="B517" s="70" t="str">
        <f t="shared" si="104"/>
        <v/>
      </c>
      <c r="C517" s="204" t="str" cm="1">
        <f t="array" ref="C517">IF(D517="","",
    IF(AND(ISNUMBER(D517), D517=INT(D517)),
        $V$6 &amp; " " &amp; (IFERROR(MAX($Y$12:$Y516), 0) + 1),
        IF(ISNUMBER(SEARCH(".", D517)), "", INDEX($C$12:$C517, MATCH(2, 1/($C$12:$C517 &lt;&gt; ""))))
    )
)</f>
        <v/>
      </c>
      <c r="D517" s="206"/>
      <c r="E517" s="206" t="str">
        <f>IF(AA517 = "", "",
    IF(ISNUMBER(SEARCH("Kiện", C517)),
       " GÓI " &amp; COUNTIF($C$13:C517, "*Kiện*") &amp; "/" &amp; COUNTIF($C$13:$C$1000, "*Kiện*") &amp; " " &amp; AA517,
       AA517)
)</f>
        <v/>
      </c>
      <c r="F517" s="206"/>
      <c r="G517" s="206"/>
      <c r="H517" s="206"/>
      <c r="I517" s="206"/>
      <c r="J517" s="206" t="str">
        <f t="shared" si="106"/>
        <v/>
      </c>
      <c r="K517" s="206" t="str">
        <f t="shared" si="108"/>
        <v/>
      </c>
      <c r="L517" s="206" t="str">
        <f t="shared" si="109"/>
        <v/>
      </c>
      <c r="M517" s="206" t="str">
        <f t="shared" si="110"/>
        <v/>
      </c>
      <c r="N517" s="206" t="str">
        <f t="shared" si="111"/>
        <v/>
      </c>
      <c r="O517" s="206" t="str">
        <f t="shared" si="112"/>
        <v/>
      </c>
      <c r="P517" s="84" t="str">
        <f t="shared" si="113"/>
        <v/>
      </c>
      <c r="Q517" s="205"/>
      <c r="R517" s="70" t="str">
        <f>IF(S517="IN",'BOM_Phan II'!$Y$3,"")</f>
        <v/>
      </c>
      <c r="S517" s="69" t="str">
        <f t="shared" si="105"/>
        <v/>
      </c>
      <c r="T517">
        <f t="shared" si="114"/>
        <v>3</v>
      </c>
      <c r="U517" t="str">
        <f t="shared" si="116"/>
        <v>KIỆN 14</v>
      </c>
      <c r="V517" t="str">
        <f t="shared" si="115"/>
        <v/>
      </c>
      <c r="W517" s="266"/>
      <c r="X517" s="266"/>
      <c r="Y517" s="266" t="str">
        <f t="shared" si="107"/>
        <v/>
      </c>
      <c r="Z517" s="266"/>
    </row>
    <row r="518" spans="1:26" ht="27" hidden="1" customHeight="1">
      <c r="A518" s="70" t="str">
        <f t="shared" si="103"/>
        <v/>
      </c>
      <c r="B518" s="70" t="str">
        <f t="shared" si="104"/>
        <v/>
      </c>
      <c r="C518" s="204" t="str" cm="1">
        <f t="array" ref="C518">IF(D518="","",
    IF(AND(ISNUMBER(D518), D518=INT(D518)),
        $V$6 &amp; " " &amp; (IFERROR(MAX($Y$12:$Y517), 0) + 1),
        IF(ISNUMBER(SEARCH(".", D518)), "", INDEX($C$12:$C518, MATCH(2, 1/($C$12:$C518 &lt;&gt; ""))))
    )
)</f>
        <v/>
      </c>
      <c r="D518" s="206"/>
      <c r="E518" s="206" t="str">
        <f>IF(AA518 = "", "",
    IF(ISNUMBER(SEARCH("Kiện", C518)),
       " GÓI " &amp; COUNTIF($C$13:C518, "*Kiện*") &amp; "/" &amp; COUNTIF($C$13:$C$1000, "*Kiện*") &amp; " " &amp; AA518,
       AA518)
)</f>
        <v/>
      </c>
      <c r="F518" s="206"/>
      <c r="G518" s="206"/>
      <c r="H518" s="206"/>
      <c r="I518" s="206"/>
      <c r="J518" s="206" t="str">
        <f t="shared" si="106"/>
        <v/>
      </c>
      <c r="K518" s="206" t="str">
        <f t="shared" si="108"/>
        <v/>
      </c>
      <c r="L518" s="206" t="str">
        <f t="shared" si="109"/>
        <v/>
      </c>
      <c r="M518" s="206" t="str">
        <f t="shared" si="110"/>
        <v/>
      </c>
      <c r="N518" s="206" t="str">
        <f t="shared" si="111"/>
        <v/>
      </c>
      <c r="O518" s="206" t="str">
        <f t="shared" si="112"/>
        <v/>
      </c>
      <c r="P518" s="84" t="str">
        <f t="shared" si="113"/>
        <v/>
      </c>
      <c r="Q518" s="205"/>
      <c r="R518" s="70" t="str">
        <f>IF(S518="IN",'BOM_Phan II'!$Y$3,"")</f>
        <v/>
      </c>
      <c r="S518" s="69" t="str">
        <f t="shared" si="105"/>
        <v/>
      </c>
      <c r="T518">
        <f t="shared" si="114"/>
        <v>3</v>
      </c>
      <c r="U518" t="str">
        <f t="shared" si="116"/>
        <v>KIỆN 14</v>
      </c>
      <c r="V518" t="str">
        <f t="shared" si="115"/>
        <v/>
      </c>
      <c r="W518" s="266"/>
      <c r="X518" s="266"/>
      <c r="Y518" s="266" t="str">
        <f t="shared" si="107"/>
        <v/>
      </c>
      <c r="Z518" s="266"/>
    </row>
    <row r="519" spans="1:26" ht="27" hidden="1" customHeight="1">
      <c r="A519" s="70" t="str">
        <f t="shared" si="103"/>
        <v/>
      </c>
      <c r="B519" s="70" t="str">
        <f t="shared" si="104"/>
        <v/>
      </c>
      <c r="C519" s="204" t="str" cm="1">
        <f t="array" ref="C519">IF(D519="","",
    IF(AND(ISNUMBER(D519), D519=INT(D519)),
        $V$6 &amp; " " &amp; (IFERROR(MAX($Y$12:$Y518), 0) + 1),
        IF(ISNUMBER(SEARCH(".", D519)), "", INDEX($C$12:$C519, MATCH(2, 1/($C$12:$C519 &lt;&gt; ""))))
    )
)</f>
        <v/>
      </c>
      <c r="D519" s="206"/>
      <c r="E519" s="206" t="str">
        <f>IF(AA519 = "", "",
    IF(ISNUMBER(SEARCH("Kiện", C519)),
       " GÓI " &amp; COUNTIF($C$13:C519, "*Kiện*") &amp; "/" &amp; COUNTIF($C$13:$C$1000, "*Kiện*") &amp; " " &amp; AA519,
       AA519)
)</f>
        <v/>
      </c>
      <c r="F519" s="206"/>
      <c r="G519" s="206"/>
      <c r="H519" s="206"/>
      <c r="I519" s="206"/>
      <c r="J519" s="206" t="str">
        <f t="shared" si="106"/>
        <v/>
      </c>
      <c r="K519" s="206" t="str">
        <f t="shared" si="108"/>
        <v/>
      </c>
      <c r="L519" s="206" t="str">
        <f t="shared" si="109"/>
        <v/>
      </c>
      <c r="M519" s="206" t="str">
        <f t="shared" si="110"/>
        <v/>
      </c>
      <c r="N519" s="206" t="str">
        <f t="shared" si="111"/>
        <v/>
      </c>
      <c r="O519" s="206" t="str">
        <f t="shared" si="112"/>
        <v/>
      </c>
      <c r="P519" s="84" t="str">
        <f t="shared" si="113"/>
        <v/>
      </c>
      <c r="Q519" s="205"/>
      <c r="R519" s="70" t="str">
        <f>IF(S519="IN",'BOM_Phan II'!$Y$3,"")</f>
        <v/>
      </c>
      <c r="S519" s="69" t="str">
        <f t="shared" si="105"/>
        <v/>
      </c>
      <c r="T519">
        <f t="shared" si="114"/>
        <v>3</v>
      </c>
      <c r="U519" t="str">
        <f t="shared" si="116"/>
        <v>KIỆN 14</v>
      </c>
      <c r="V519" t="str">
        <f t="shared" si="115"/>
        <v/>
      </c>
      <c r="W519" s="266"/>
      <c r="X519" s="266"/>
      <c r="Y519" s="266" t="str">
        <f t="shared" si="107"/>
        <v/>
      </c>
      <c r="Z519" s="266"/>
    </row>
    <row r="520" spans="1:26" ht="27" hidden="1" customHeight="1">
      <c r="A520" s="70" t="str">
        <f t="shared" si="103"/>
        <v/>
      </c>
      <c r="B520" s="70" t="str">
        <f t="shared" si="104"/>
        <v/>
      </c>
      <c r="C520" s="204" t="str" cm="1">
        <f t="array" ref="C520">IF(D520="","",
    IF(AND(ISNUMBER(D520), D520=INT(D520)),
        $V$6 &amp; " " &amp; (IFERROR(MAX($Y$12:$Y519), 0) + 1),
        IF(ISNUMBER(SEARCH(".", D520)), "", INDEX($C$12:$C520, MATCH(2, 1/($C$12:$C520 &lt;&gt; ""))))
    )
)</f>
        <v/>
      </c>
      <c r="D520" s="206"/>
      <c r="E520" s="206" t="str">
        <f>IF(AA520 = "", "",
    IF(ISNUMBER(SEARCH("Kiện", C520)),
       " GÓI " &amp; COUNTIF($C$13:C520, "*Kiện*") &amp; "/" &amp; COUNTIF($C$13:$C$1000, "*Kiện*") &amp; " " &amp; AA520,
       AA520)
)</f>
        <v/>
      </c>
      <c r="F520" s="206"/>
      <c r="G520" s="206"/>
      <c r="H520" s="206"/>
      <c r="I520" s="206"/>
      <c r="J520" s="206" t="str">
        <f t="shared" si="106"/>
        <v/>
      </c>
      <c r="K520" s="206" t="str">
        <f t="shared" si="108"/>
        <v/>
      </c>
      <c r="L520" s="206" t="str">
        <f t="shared" si="109"/>
        <v/>
      </c>
      <c r="M520" s="206" t="str">
        <f t="shared" si="110"/>
        <v/>
      </c>
      <c r="N520" s="206" t="str">
        <f t="shared" si="111"/>
        <v/>
      </c>
      <c r="O520" s="206" t="str">
        <f t="shared" si="112"/>
        <v/>
      </c>
      <c r="P520" s="84" t="str">
        <f t="shared" si="113"/>
        <v/>
      </c>
      <c r="Q520" s="205"/>
      <c r="R520" s="70" t="str">
        <f>IF(S520="IN",'BOM_Phan II'!$Y$3,"")</f>
        <v/>
      </c>
      <c r="S520" s="69" t="str">
        <f t="shared" si="105"/>
        <v/>
      </c>
      <c r="T520">
        <f t="shared" si="114"/>
        <v>3</v>
      </c>
      <c r="U520" t="str">
        <f t="shared" si="116"/>
        <v>KIỆN 14</v>
      </c>
      <c r="V520" t="str">
        <f t="shared" si="115"/>
        <v/>
      </c>
      <c r="W520" s="266"/>
      <c r="X520" s="266"/>
      <c r="Y520" s="266" t="str">
        <f t="shared" si="107"/>
        <v/>
      </c>
      <c r="Z520" s="266"/>
    </row>
    <row r="521" spans="1:26" ht="27" hidden="1" customHeight="1">
      <c r="A521" s="70" t="str">
        <f t="shared" si="103"/>
        <v/>
      </c>
      <c r="B521" s="70" t="str">
        <f t="shared" si="104"/>
        <v/>
      </c>
      <c r="C521" s="204" t="str" cm="1">
        <f t="array" ref="C521">IF(D521="","",
    IF(AND(ISNUMBER(D521), D521=INT(D521)),
        $V$6 &amp; " " &amp; (IFERROR(MAX($Y$12:$Y520), 0) + 1),
        IF(ISNUMBER(SEARCH(".", D521)), "", INDEX($C$12:$C521, MATCH(2, 1/($C$12:$C521 &lt;&gt; ""))))
    )
)</f>
        <v/>
      </c>
      <c r="D521" s="206"/>
      <c r="E521" s="206" t="str">
        <f>IF(AA521 = "", "",
    IF(ISNUMBER(SEARCH("Kiện", C521)),
       " GÓI " &amp; COUNTIF($C$13:C521, "*Kiện*") &amp; "/" &amp; COUNTIF($C$13:$C$1000, "*Kiện*") &amp; " " &amp; AA521,
       AA521)
)</f>
        <v/>
      </c>
      <c r="F521" s="206"/>
      <c r="G521" s="206"/>
      <c r="H521" s="206"/>
      <c r="I521" s="206"/>
      <c r="J521" s="206" t="str">
        <f t="shared" si="106"/>
        <v/>
      </c>
      <c r="K521" s="206" t="str">
        <f t="shared" si="108"/>
        <v/>
      </c>
      <c r="L521" s="206" t="str">
        <f t="shared" si="109"/>
        <v/>
      </c>
      <c r="M521" s="206" t="str">
        <f t="shared" si="110"/>
        <v/>
      </c>
      <c r="N521" s="206" t="str">
        <f t="shared" si="111"/>
        <v/>
      </c>
      <c r="O521" s="206" t="str">
        <f t="shared" si="112"/>
        <v/>
      </c>
      <c r="P521" s="84" t="str">
        <f t="shared" si="113"/>
        <v/>
      </c>
      <c r="Q521" s="205"/>
      <c r="R521" s="70" t="str">
        <f>IF(S521="IN",'BOM_Phan II'!$Y$3,"")</f>
        <v/>
      </c>
      <c r="S521" s="69" t="str">
        <f t="shared" si="105"/>
        <v/>
      </c>
      <c r="T521">
        <f t="shared" si="114"/>
        <v>3</v>
      </c>
      <c r="U521" t="str">
        <f t="shared" si="116"/>
        <v>KIỆN 14</v>
      </c>
      <c r="V521" t="str">
        <f t="shared" si="115"/>
        <v/>
      </c>
      <c r="W521" s="266"/>
      <c r="X521" s="266"/>
      <c r="Y521" s="266" t="str">
        <f t="shared" si="107"/>
        <v/>
      </c>
      <c r="Z521" s="266"/>
    </row>
    <row r="522" spans="1:26" ht="27" hidden="1" customHeight="1">
      <c r="A522" s="70" t="str">
        <f t="shared" si="103"/>
        <v/>
      </c>
      <c r="B522" s="70" t="str">
        <f t="shared" si="104"/>
        <v/>
      </c>
      <c r="C522" s="204" t="str" cm="1">
        <f t="array" ref="C522">IF(D522="","",
    IF(AND(ISNUMBER(D522), D522=INT(D522)),
        $V$6 &amp; " " &amp; (IFERROR(MAX($Y$12:$Y521), 0) + 1),
        IF(ISNUMBER(SEARCH(".", D522)), "", INDEX($C$12:$C522, MATCH(2, 1/($C$12:$C522 &lt;&gt; ""))))
    )
)</f>
        <v/>
      </c>
      <c r="D522" s="206"/>
      <c r="E522" s="206" t="str">
        <f>IF(AA522 = "", "",
    IF(ISNUMBER(SEARCH("Kiện", C522)),
       " GÓI " &amp; COUNTIF($C$13:C522, "*Kiện*") &amp; "/" &amp; COUNTIF($C$13:$C$1000, "*Kiện*") &amp; " " &amp; AA522,
       AA522)
)</f>
        <v/>
      </c>
      <c r="F522" s="206"/>
      <c r="G522" s="206"/>
      <c r="H522" s="206"/>
      <c r="I522" s="206"/>
      <c r="J522" s="206" t="str">
        <f t="shared" si="106"/>
        <v/>
      </c>
      <c r="K522" s="206" t="str">
        <f t="shared" si="108"/>
        <v/>
      </c>
      <c r="L522" s="206" t="str">
        <f t="shared" si="109"/>
        <v/>
      </c>
      <c r="M522" s="206" t="str">
        <f t="shared" si="110"/>
        <v/>
      </c>
      <c r="N522" s="206" t="str">
        <f t="shared" si="111"/>
        <v/>
      </c>
      <c r="O522" s="206" t="str">
        <f t="shared" si="112"/>
        <v/>
      </c>
      <c r="P522" s="84" t="str">
        <f t="shared" si="113"/>
        <v/>
      </c>
      <c r="Q522" s="205"/>
      <c r="R522" s="70" t="str">
        <f>IF(S522="IN",'BOM_Phan II'!$Y$3,"")</f>
        <v/>
      </c>
      <c r="S522" s="69" t="str">
        <f t="shared" si="105"/>
        <v/>
      </c>
      <c r="T522">
        <f t="shared" si="114"/>
        <v>3</v>
      </c>
      <c r="U522" t="str">
        <f t="shared" ref="U522:U553" si="117">IF(C522="",U521,C522)</f>
        <v>KIỆN 14</v>
      </c>
      <c r="V522" t="str">
        <f t="shared" si="115"/>
        <v/>
      </c>
      <c r="W522" s="266"/>
      <c r="X522" s="266"/>
      <c r="Y522" s="266" t="str">
        <f t="shared" si="107"/>
        <v/>
      </c>
      <c r="Z522" s="266"/>
    </row>
    <row r="523" spans="1:26" ht="27" hidden="1" customHeight="1">
      <c r="A523" s="70" t="str">
        <f t="shared" si="103"/>
        <v/>
      </c>
      <c r="B523" s="70" t="str">
        <f t="shared" si="104"/>
        <v/>
      </c>
      <c r="C523" s="204" t="str" cm="1">
        <f t="array" ref="C523">IF(D523="","",
    IF(AND(ISNUMBER(D523), D523=INT(D523)),
        $V$6 &amp; " " &amp; (IFERROR(MAX($Y$12:$Y522), 0) + 1),
        IF(ISNUMBER(SEARCH(".", D523)), "", INDEX($C$12:$C523, MATCH(2, 1/($C$12:$C523 &lt;&gt; ""))))
    )
)</f>
        <v/>
      </c>
      <c r="D523" s="206"/>
      <c r="E523" s="206" t="str">
        <f>IF(AA523 = "", "",
    IF(ISNUMBER(SEARCH("Kiện", C523)),
       " GÓI " &amp; COUNTIF($C$13:C523, "*Kiện*") &amp; "/" &amp; COUNTIF($C$13:$C$1000, "*Kiện*") &amp; " " &amp; AA523,
       AA523)
)</f>
        <v/>
      </c>
      <c r="F523" s="206"/>
      <c r="G523" s="206"/>
      <c r="H523" s="206"/>
      <c r="I523" s="206"/>
      <c r="J523" s="206" t="str">
        <f t="shared" si="106"/>
        <v/>
      </c>
      <c r="K523" s="206" t="str">
        <f t="shared" si="108"/>
        <v/>
      </c>
      <c r="L523" s="206" t="str">
        <f t="shared" si="109"/>
        <v/>
      </c>
      <c r="M523" s="206" t="str">
        <f t="shared" si="110"/>
        <v/>
      </c>
      <c r="N523" s="206" t="str">
        <f t="shared" si="111"/>
        <v/>
      </c>
      <c r="O523" s="206" t="str">
        <f t="shared" si="112"/>
        <v/>
      </c>
      <c r="P523" s="84" t="str">
        <f t="shared" si="113"/>
        <v/>
      </c>
      <c r="Q523" s="205"/>
      <c r="R523" s="70" t="str">
        <f>IF(S523="IN",'BOM_Phan II'!$Y$3,"")</f>
        <v/>
      </c>
      <c r="S523" s="69" t="str">
        <f t="shared" si="105"/>
        <v/>
      </c>
      <c r="T523">
        <f t="shared" si="114"/>
        <v>3</v>
      </c>
      <c r="U523" t="str">
        <f t="shared" si="117"/>
        <v>KIỆN 14</v>
      </c>
      <c r="V523" t="str">
        <f t="shared" si="115"/>
        <v/>
      </c>
      <c r="W523" s="266"/>
      <c r="X523" s="266"/>
      <c r="Y523" s="266" t="str">
        <f t="shared" si="107"/>
        <v/>
      </c>
      <c r="Z523" s="266"/>
    </row>
    <row r="524" spans="1:26" ht="27" hidden="1" customHeight="1">
      <c r="A524" s="70" t="str">
        <f t="shared" ref="A524:A587" si="118">IF(S524="IN",$E$6,"")</f>
        <v/>
      </c>
      <c r="B524" s="70" t="str">
        <f t="shared" ref="B524:B587" si="119">IF(S524="IN","Muc "&amp;$E$7,"")</f>
        <v/>
      </c>
      <c r="C524" s="204" t="str" cm="1">
        <f t="array" ref="C524">IF(D524="","",
    IF(AND(ISNUMBER(D524), D524=INT(D524)),
        $V$6 &amp; " " &amp; (IFERROR(MAX($Y$12:$Y523), 0) + 1),
        IF(ISNUMBER(SEARCH(".", D524)), "", INDEX($C$12:$C524, MATCH(2, 1/($C$12:$C524 &lt;&gt; ""))))
    )
)</f>
        <v/>
      </c>
      <c r="D524" s="206"/>
      <c r="E524" s="206" t="str">
        <f>IF(AA524 = "", "",
    IF(ISNUMBER(SEARCH("Kiện", C524)),
       " GÓI " &amp; COUNTIF($C$13:C524, "*Kiện*") &amp; "/" &amp; COUNTIF($C$13:$C$1000, "*Kiện*") &amp; " " &amp; AA524,
       AA524)
)</f>
        <v/>
      </c>
      <c r="F524" s="206"/>
      <c r="G524" s="206"/>
      <c r="H524" s="206"/>
      <c r="I524" s="206"/>
      <c r="J524" s="206" t="str">
        <f t="shared" si="106"/>
        <v/>
      </c>
      <c r="K524" s="206" t="str">
        <f t="shared" si="108"/>
        <v/>
      </c>
      <c r="L524" s="206" t="str">
        <f t="shared" si="109"/>
        <v/>
      </c>
      <c r="M524" s="206" t="str">
        <f t="shared" si="110"/>
        <v/>
      </c>
      <c r="N524" s="206" t="str">
        <f t="shared" si="111"/>
        <v/>
      </c>
      <c r="O524" s="206" t="str">
        <f t="shared" si="112"/>
        <v/>
      </c>
      <c r="P524" s="84" t="str">
        <f t="shared" si="113"/>
        <v/>
      </c>
      <c r="Q524" s="205"/>
      <c r="R524" s="70" t="str">
        <f>IF(S524="IN",'BOM_Phan II'!$Y$3,"")</f>
        <v/>
      </c>
      <c r="S524" s="69" t="str">
        <f t="shared" ref="S524:S587" si="120">IF(OR(E524&lt;&gt;"",D524&lt;&gt;""),"IN","")</f>
        <v/>
      </c>
      <c r="T524">
        <f t="shared" si="114"/>
        <v>3</v>
      </c>
      <c r="U524" t="str">
        <f t="shared" si="117"/>
        <v>KIỆN 14</v>
      </c>
      <c r="V524" t="str">
        <f t="shared" si="115"/>
        <v/>
      </c>
      <c r="W524" s="266"/>
      <c r="X524" s="266"/>
      <c r="Y524" s="266" t="str">
        <f t="shared" si="107"/>
        <v/>
      </c>
      <c r="Z524" s="266"/>
    </row>
    <row r="525" spans="1:26" ht="27" hidden="1" customHeight="1">
      <c r="A525" s="70" t="str">
        <f t="shared" si="118"/>
        <v/>
      </c>
      <c r="B525" s="70" t="str">
        <f t="shared" si="119"/>
        <v/>
      </c>
      <c r="C525" s="204" t="str" cm="1">
        <f t="array" ref="C525">IF(D525="","",
    IF(AND(ISNUMBER(D525), D525=INT(D525)),
        $V$6 &amp; " " &amp; (IFERROR(MAX($Y$12:$Y524), 0) + 1),
        IF(ISNUMBER(SEARCH(".", D525)), "", INDEX($C$12:$C525, MATCH(2, 1/($C$12:$C525 &lt;&gt; ""))))
    )
)</f>
        <v/>
      </c>
      <c r="D525" s="206"/>
      <c r="E525" s="206" t="str">
        <f>IF(AA525 = "", "",
    IF(ISNUMBER(SEARCH("Kiện", C525)),
       " GÓI " &amp; COUNTIF($C$13:C525, "*Kiện*") &amp; "/" &amp; COUNTIF($C$13:$C$1000, "*Kiện*") &amp; " " &amp; AA525,
       AA525)
)</f>
        <v/>
      </c>
      <c r="F525" s="206"/>
      <c r="G525" s="206"/>
      <c r="H525" s="206"/>
      <c r="I525" s="206"/>
      <c r="J525" s="206" t="str">
        <f t="shared" ref="J525:J588" si="121">IF(C525&lt;&gt;"",C525&amp;"_"&amp;$E$6,"")</f>
        <v/>
      </c>
      <c r="K525" s="206" t="str">
        <f t="shared" si="108"/>
        <v/>
      </c>
      <c r="L525" s="206" t="str">
        <f t="shared" si="109"/>
        <v/>
      </c>
      <c r="M525" s="206" t="str">
        <f t="shared" si="110"/>
        <v/>
      </c>
      <c r="N525" s="206" t="str">
        <f t="shared" si="111"/>
        <v/>
      </c>
      <c r="O525" s="206" t="str">
        <f t="shared" si="112"/>
        <v/>
      </c>
      <c r="P525" s="84" t="str">
        <f t="shared" si="113"/>
        <v/>
      </c>
      <c r="Q525" s="205"/>
      <c r="R525" s="70" t="str">
        <f>IF(S525="IN",'BOM_Phan II'!$Y$3,"")</f>
        <v/>
      </c>
      <c r="S525" s="69" t="str">
        <f t="shared" si="120"/>
        <v/>
      </c>
      <c r="T525">
        <f t="shared" si="114"/>
        <v>3</v>
      </c>
      <c r="U525" t="str">
        <f t="shared" si="117"/>
        <v>KIỆN 14</v>
      </c>
      <c r="V525" t="str">
        <f t="shared" si="115"/>
        <v/>
      </c>
      <c r="W525" s="266"/>
      <c r="X525" s="266"/>
      <c r="Y525" s="266" t="str">
        <f t="shared" ref="Y525:Y588" si="122">IFERROR(VALUE(RIGHT(C525,LEN(C525)-5)),"")</f>
        <v/>
      </c>
      <c r="Z525" s="266"/>
    </row>
    <row r="526" spans="1:26" ht="27" hidden="1" customHeight="1">
      <c r="A526" s="70" t="str">
        <f t="shared" si="118"/>
        <v/>
      </c>
      <c r="B526" s="70" t="str">
        <f t="shared" si="119"/>
        <v/>
      </c>
      <c r="C526" s="204" t="str" cm="1">
        <f t="array" ref="C526">IF(D526="","",
    IF(AND(ISNUMBER(D526), D526=INT(D526)),
        $V$6 &amp; " " &amp; (IFERROR(MAX($Y$12:$Y525), 0) + 1),
        IF(ISNUMBER(SEARCH(".", D526)), "", INDEX($C$12:$C526, MATCH(2, 1/($C$12:$C526 &lt;&gt; ""))))
    )
)</f>
        <v/>
      </c>
      <c r="D526" s="206"/>
      <c r="E526" s="206" t="str">
        <f>IF(AA526 = "", "",
    IF(ISNUMBER(SEARCH("Kiện", C526)),
       " GÓI " &amp; COUNTIF($C$13:C526, "*Kiện*") &amp; "/" &amp; COUNTIF($C$13:$C$1000, "*Kiện*") &amp; " " &amp; AA526,
       AA526)
)</f>
        <v/>
      </c>
      <c r="F526" s="206"/>
      <c r="G526" s="206"/>
      <c r="H526" s="206"/>
      <c r="I526" s="206"/>
      <c r="J526" s="206" t="str">
        <f t="shared" si="121"/>
        <v/>
      </c>
      <c r="K526" s="206" t="str">
        <f t="shared" ref="K526:K589" si="123">IFERROR(IF($C526&lt;&gt;"",IF($T$13=1,F526+20,IF($T$13=2,F526+20,IF($T$13=3,F526+50,IF($T$13=4,F526+40,IF($T$13=5,F526+50,IF($T$13=51,F526+50,IF($T$13=6,F526+50,IF($T$13=7,F526+50,"")))))))),""),"")</f>
        <v/>
      </c>
      <c r="L526" s="206" t="str">
        <f t="shared" ref="L526:L589" si="124">IFERROR(IF($C526&lt;&gt;"",IF($T$13=1,G526+20,IF($T$13=2,G526+20,IF($T$13=3,G526+50,IF($T$13=4,G526+40,IF($T$13=5,G526+50,IF($T$13=51,G526+50,IF($T$13=6,G526+50,IF($T$13=7,G526+50,"")))))))),""),"")</f>
        <v/>
      </c>
      <c r="M526" s="206" t="str">
        <f t="shared" ref="M526:M589" si="125">IFERROR(IF($C526&lt;&gt;"",IF($T$13=1,H526+20,IF($T$13=2,H526+20,IF($T$13=3,H526+70,IF($T$13=4,H526+40,IF($T$13=5,H526+50,IF($T$13=51,H526+150,IF($T$13=6,H526+50,IF($T$13=7,H526+50,"")))))))),""),"")</f>
        <v/>
      </c>
      <c r="N526" s="206" t="str">
        <f t="shared" ref="N526:N589" si="126">IF(C526&lt;&gt;"",I526,"")</f>
        <v/>
      </c>
      <c r="O526" s="206" t="str">
        <f t="shared" ref="O526:O589" si="127">IF(C526&lt;&gt;"",$O$13,"")</f>
        <v/>
      </c>
      <c r="P526" s="84" t="str">
        <f t="shared" ref="P526:P589" si="128">IFERROR(IF(C526&lt;&gt;"",SUMIFS($V$13:$V$969,$U$13:$U$969,C526)*$S$6,V526*$S$6),"")</f>
        <v/>
      </c>
      <c r="Q526" s="205"/>
      <c r="R526" s="70" t="str">
        <f>IF(S526="IN",'BOM_Phan II'!$Y$3,"")</f>
        <v/>
      </c>
      <c r="S526" s="69" t="str">
        <f t="shared" si="120"/>
        <v/>
      </c>
      <c r="T526">
        <f t="shared" ref="T526:T589" si="129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3</v>
      </c>
      <c r="U526" t="str">
        <f t="shared" si="117"/>
        <v>KIỆN 14</v>
      </c>
      <c r="V526" t="str">
        <f t="shared" ref="V526:V589" si="130">IFERROR(IF(AND(C526="", OR($W526="1", $W526="2")), IF(I526="", "", F526*G526*H526*I526/10^9), ""), "")</f>
        <v/>
      </c>
      <c r="W526" s="266"/>
      <c r="X526" s="266"/>
      <c r="Y526" s="266" t="str">
        <f t="shared" si="122"/>
        <v/>
      </c>
      <c r="Z526" s="266"/>
    </row>
    <row r="527" spans="1:26" ht="27" hidden="1" customHeight="1">
      <c r="A527" s="70" t="str">
        <f t="shared" si="118"/>
        <v/>
      </c>
      <c r="B527" s="70" t="str">
        <f t="shared" si="119"/>
        <v/>
      </c>
      <c r="C527" s="204" t="str" cm="1">
        <f t="array" ref="C527">IF(D527="","",
    IF(AND(ISNUMBER(D527), D527=INT(D527)),
        $V$6 &amp; " " &amp; (IFERROR(MAX($Y$12:$Y526), 0) + 1),
        IF(ISNUMBER(SEARCH(".", D527)), "", INDEX($C$12:$C527, MATCH(2, 1/($C$12:$C527 &lt;&gt; ""))))
    )
)</f>
        <v/>
      </c>
      <c r="D527" s="206"/>
      <c r="E527" s="206" t="str">
        <f>IF(AA527 = "", "",
    IF(ISNUMBER(SEARCH("Kiện", C527)),
       " GÓI " &amp; COUNTIF($C$13:C527, "*Kiện*") &amp; "/" &amp; COUNTIF($C$13:$C$1000, "*Kiện*") &amp; " " &amp; AA527,
       AA527)
)</f>
        <v/>
      </c>
      <c r="F527" s="206"/>
      <c r="G527" s="206"/>
      <c r="H527" s="206"/>
      <c r="I527" s="206"/>
      <c r="J527" s="206" t="str">
        <f t="shared" si="121"/>
        <v/>
      </c>
      <c r="K527" s="206" t="str">
        <f t="shared" si="123"/>
        <v/>
      </c>
      <c r="L527" s="206" t="str">
        <f t="shared" si="124"/>
        <v/>
      </c>
      <c r="M527" s="206" t="str">
        <f t="shared" si="125"/>
        <v/>
      </c>
      <c r="N527" s="206" t="str">
        <f t="shared" si="126"/>
        <v/>
      </c>
      <c r="O527" s="206" t="str">
        <f t="shared" si="127"/>
        <v/>
      </c>
      <c r="P527" s="84" t="str">
        <f t="shared" si="128"/>
        <v/>
      </c>
      <c r="Q527" s="205"/>
      <c r="R527" s="70" t="str">
        <f>IF(S527="IN",'BOM_Phan II'!$Y$3,"")</f>
        <v/>
      </c>
      <c r="S527" s="69" t="str">
        <f t="shared" si="120"/>
        <v/>
      </c>
      <c r="T527">
        <f t="shared" si="129"/>
        <v>3</v>
      </c>
      <c r="U527" t="str">
        <f t="shared" si="117"/>
        <v>KIỆN 14</v>
      </c>
      <c r="V527" t="str">
        <f t="shared" si="130"/>
        <v/>
      </c>
      <c r="W527" s="266"/>
      <c r="X527" s="266"/>
      <c r="Y527" s="266" t="str">
        <f t="shared" si="122"/>
        <v/>
      </c>
      <c r="Z527" s="266"/>
    </row>
    <row r="528" spans="1:26" ht="27" hidden="1" customHeight="1">
      <c r="A528" s="70" t="str">
        <f t="shared" si="118"/>
        <v/>
      </c>
      <c r="B528" s="70" t="str">
        <f t="shared" si="119"/>
        <v/>
      </c>
      <c r="C528" s="204" t="str" cm="1">
        <f t="array" ref="C528">IF(D528="","",
    IF(AND(ISNUMBER(D528), D528=INT(D528)),
        $V$6 &amp; " " &amp; (IFERROR(MAX($Y$12:$Y527), 0) + 1),
        IF(ISNUMBER(SEARCH(".", D528)), "", INDEX($C$12:$C528, MATCH(2, 1/($C$12:$C528 &lt;&gt; ""))))
    )
)</f>
        <v/>
      </c>
      <c r="D528" s="206"/>
      <c r="E528" s="206" t="str">
        <f>IF(AA528 = "", "",
    IF(ISNUMBER(SEARCH("Kiện", C528)),
       " GÓI " &amp; COUNTIF($C$13:C528, "*Kiện*") &amp; "/" &amp; COUNTIF($C$13:$C$1000, "*Kiện*") &amp; " " &amp; AA528,
       AA528)
)</f>
        <v/>
      </c>
      <c r="F528" s="206"/>
      <c r="G528" s="206"/>
      <c r="H528" s="206"/>
      <c r="I528" s="206"/>
      <c r="J528" s="206" t="str">
        <f t="shared" si="121"/>
        <v/>
      </c>
      <c r="K528" s="206" t="str">
        <f t="shared" si="123"/>
        <v/>
      </c>
      <c r="L528" s="206" t="str">
        <f t="shared" si="124"/>
        <v/>
      </c>
      <c r="M528" s="206" t="str">
        <f t="shared" si="125"/>
        <v/>
      </c>
      <c r="N528" s="206" t="str">
        <f t="shared" si="126"/>
        <v/>
      </c>
      <c r="O528" s="206" t="str">
        <f t="shared" si="127"/>
        <v/>
      </c>
      <c r="P528" s="84" t="str">
        <f t="shared" si="128"/>
        <v/>
      </c>
      <c r="Q528" s="205"/>
      <c r="R528" s="70" t="str">
        <f>IF(S528="IN",'BOM_Phan II'!$Y$3,"")</f>
        <v/>
      </c>
      <c r="S528" s="69" t="str">
        <f t="shared" si="120"/>
        <v/>
      </c>
      <c r="T528">
        <f t="shared" si="129"/>
        <v>3</v>
      </c>
      <c r="U528" t="str">
        <f t="shared" si="117"/>
        <v>KIỆN 14</v>
      </c>
      <c r="V528" t="str">
        <f t="shared" si="130"/>
        <v/>
      </c>
      <c r="W528" s="266"/>
      <c r="X528" s="266"/>
      <c r="Y528" s="266" t="str">
        <f t="shared" si="122"/>
        <v/>
      </c>
      <c r="Z528" s="266"/>
    </row>
    <row r="529" spans="1:26" ht="27" hidden="1" customHeight="1">
      <c r="A529" s="70" t="str">
        <f t="shared" si="118"/>
        <v/>
      </c>
      <c r="B529" s="70" t="str">
        <f t="shared" si="119"/>
        <v/>
      </c>
      <c r="C529" s="204" t="str" cm="1">
        <f t="array" ref="C529">IF(D529="","",
    IF(AND(ISNUMBER(D529), D529=INT(D529)),
        $V$6 &amp; " " &amp; (IFERROR(MAX($Y$12:$Y528), 0) + 1),
        IF(ISNUMBER(SEARCH(".", D529)), "", INDEX($C$12:$C529, MATCH(2, 1/($C$12:$C529 &lt;&gt; ""))))
    )
)</f>
        <v/>
      </c>
      <c r="D529" s="206"/>
      <c r="E529" s="206" t="str">
        <f>IF(AA529 = "", "",
    IF(ISNUMBER(SEARCH("Kiện", C529)),
       " GÓI " &amp; COUNTIF($C$13:C529, "*Kiện*") &amp; "/" &amp; COUNTIF($C$13:$C$1000, "*Kiện*") &amp; " " &amp; AA529,
       AA529)
)</f>
        <v/>
      </c>
      <c r="F529" s="206"/>
      <c r="G529" s="206"/>
      <c r="H529" s="206"/>
      <c r="I529" s="206"/>
      <c r="J529" s="206" t="str">
        <f t="shared" si="121"/>
        <v/>
      </c>
      <c r="K529" s="206" t="str">
        <f t="shared" si="123"/>
        <v/>
      </c>
      <c r="L529" s="206" t="str">
        <f t="shared" si="124"/>
        <v/>
      </c>
      <c r="M529" s="206" t="str">
        <f t="shared" si="125"/>
        <v/>
      </c>
      <c r="N529" s="206" t="str">
        <f t="shared" si="126"/>
        <v/>
      </c>
      <c r="O529" s="206" t="str">
        <f t="shared" si="127"/>
        <v/>
      </c>
      <c r="P529" s="84" t="str">
        <f t="shared" si="128"/>
        <v/>
      </c>
      <c r="Q529" s="205"/>
      <c r="R529" s="70" t="str">
        <f>IF(S529="IN",'BOM_Phan II'!$Y$3,"")</f>
        <v/>
      </c>
      <c r="S529" s="69" t="str">
        <f t="shared" si="120"/>
        <v/>
      </c>
      <c r="T529">
        <f t="shared" si="129"/>
        <v>3</v>
      </c>
      <c r="U529" t="str">
        <f t="shared" si="117"/>
        <v>KIỆN 14</v>
      </c>
      <c r="V529" t="str">
        <f t="shared" si="130"/>
        <v/>
      </c>
      <c r="W529" s="266"/>
      <c r="X529" s="266"/>
      <c r="Y529" s="266" t="str">
        <f t="shared" si="122"/>
        <v/>
      </c>
      <c r="Z529" s="266"/>
    </row>
    <row r="530" spans="1:26" ht="27" hidden="1" customHeight="1">
      <c r="A530" s="70" t="str">
        <f t="shared" si="118"/>
        <v/>
      </c>
      <c r="B530" s="70" t="str">
        <f t="shared" si="119"/>
        <v/>
      </c>
      <c r="C530" s="204" t="str" cm="1">
        <f t="array" ref="C530">IF(D530="","",
    IF(AND(ISNUMBER(D530), D530=INT(D530)),
        $V$6 &amp; " " &amp; (IFERROR(MAX($Y$12:$Y529), 0) + 1),
        IF(ISNUMBER(SEARCH(".", D530)), "", INDEX($C$12:$C530, MATCH(2, 1/($C$12:$C530 &lt;&gt; ""))))
    )
)</f>
        <v/>
      </c>
      <c r="D530" s="206"/>
      <c r="E530" s="206" t="str">
        <f>IF(AA530 = "", "",
    IF(ISNUMBER(SEARCH("Kiện", C530)),
       " GÓI " &amp; COUNTIF($C$13:C530, "*Kiện*") &amp; "/" &amp; COUNTIF($C$13:$C$1000, "*Kiện*") &amp; " " &amp; AA530,
       AA530)
)</f>
        <v/>
      </c>
      <c r="F530" s="206"/>
      <c r="G530" s="206"/>
      <c r="H530" s="206"/>
      <c r="I530" s="206"/>
      <c r="J530" s="206" t="str">
        <f t="shared" si="121"/>
        <v/>
      </c>
      <c r="K530" s="206" t="str">
        <f t="shared" si="123"/>
        <v/>
      </c>
      <c r="L530" s="206" t="str">
        <f t="shared" si="124"/>
        <v/>
      </c>
      <c r="M530" s="206" t="str">
        <f t="shared" si="125"/>
        <v/>
      </c>
      <c r="N530" s="206" t="str">
        <f t="shared" si="126"/>
        <v/>
      </c>
      <c r="O530" s="206" t="str">
        <f t="shared" si="127"/>
        <v/>
      </c>
      <c r="P530" s="84" t="str">
        <f t="shared" si="128"/>
        <v/>
      </c>
      <c r="Q530" s="205"/>
      <c r="R530" s="70" t="str">
        <f>IF(S530="IN",'BOM_Phan II'!$Y$3,"")</f>
        <v/>
      </c>
      <c r="S530" s="69" t="str">
        <f t="shared" si="120"/>
        <v/>
      </c>
      <c r="T530">
        <f t="shared" si="129"/>
        <v>3</v>
      </c>
      <c r="U530" t="str">
        <f t="shared" si="117"/>
        <v>KIỆN 14</v>
      </c>
      <c r="V530" t="str">
        <f t="shared" si="130"/>
        <v/>
      </c>
      <c r="W530" s="266"/>
      <c r="X530" s="266"/>
      <c r="Y530" s="266" t="str">
        <f t="shared" si="122"/>
        <v/>
      </c>
      <c r="Z530" s="266"/>
    </row>
    <row r="531" spans="1:26" ht="27" hidden="1" customHeight="1">
      <c r="A531" s="70" t="str">
        <f t="shared" si="118"/>
        <v/>
      </c>
      <c r="B531" s="70" t="str">
        <f t="shared" si="119"/>
        <v/>
      </c>
      <c r="C531" s="204" t="str" cm="1">
        <f t="array" ref="C531">IF(D531="","",
    IF(AND(ISNUMBER(D531), D531=INT(D531)),
        $V$6 &amp; " " &amp; (IFERROR(MAX($Y$12:$Y530), 0) + 1),
        IF(ISNUMBER(SEARCH(".", D531)), "", INDEX($C$12:$C531, MATCH(2, 1/($C$12:$C531 &lt;&gt; ""))))
    )
)</f>
        <v/>
      </c>
      <c r="D531" s="206"/>
      <c r="E531" s="206" t="str">
        <f>IF(AA531 = "", "",
    IF(ISNUMBER(SEARCH("Kiện", C531)),
       " GÓI " &amp; COUNTIF($C$13:C531, "*Kiện*") &amp; "/" &amp; COUNTIF($C$13:$C$1000, "*Kiện*") &amp; " " &amp; AA531,
       AA531)
)</f>
        <v/>
      </c>
      <c r="F531" s="206"/>
      <c r="G531" s="206"/>
      <c r="H531" s="206"/>
      <c r="I531" s="206"/>
      <c r="J531" s="206" t="str">
        <f t="shared" si="121"/>
        <v/>
      </c>
      <c r="K531" s="206" t="str">
        <f t="shared" si="123"/>
        <v/>
      </c>
      <c r="L531" s="206" t="str">
        <f t="shared" si="124"/>
        <v/>
      </c>
      <c r="M531" s="206" t="str">
        <f t="shared" si="125"/>
        <v/>
      </c>
      <c r="N531" s="206" t="str">
        <f t="shared" si="126"/>
        <v/>
      </c>
      <c r="O531" s="206" t="str">
        <f t="shared" si="127"/>
        <v/>
      </c>
      <c r="P531" s="84" t="str">
        <f t="shared" si="128"/>
        <v/>
      </c>
      <c r="Q531" s="205"/>
      <c r="R531" s="70" t="str">
        <f>IF(S531="IN",'BOM_Phan II'!$Y$3,"")</f>
        <v/>
      </c>
      <c r="S531" s="69" t="str">
        <f t="shared" si="120"/>
        <v/>
      </c>
      <c r="T531">
        <f t="shared" si="129"/>
        <v>3</v>
      </c>
      <c r="U531" t="str">
        <f t="shared" si="117"/>
        <v>KIỆN 14</v>
      </c>
      <c r="V531" t="str">
        <f t="shared" si="130"/>
        <v/>
      </c>
      <c r="W531" s="266"/>
      <c r="X531" s="266"/>
      <c r="Y531" s="266" t="str">
        <f t="shared" si="122"/>
        <v/>
      </c>
      <c r="Z531" s="266"/>
    </row>
    <row r="532" spans="1:26" ht="27" hidden="1" customHeight="1">
      <c r="A532" s="70" t="str">
        <f t="shared" si="118"/>
        <v/>
      </c>
      <c r="B532" s="70" t="str">
        <f t="shared" si="119"/>
        <v/>
      </c>
      <c r="C532" s="204" t="str" cm="1">
        <f t="array" ref="C532">IF(D532="","",
    IF(AND(ISNUMBER(D532), D532=INT(D532)),
        $V$6 &amp; " " &amp; (IFERROR(MAX($Y$12:$Y531), 0) + 1),
        IF(ISNUMBER(SEARCH(".", D532)), "", INDEX($C$12:$C532, MATCH(2, 1/($C$12:$C532 &lt;&gt; ""))))
    )
)</f>
        <v/>
      </c>
      <c r="D532" s="206"/>
      <c r="E532" s="206" t="str">
        <f>IF(AA532 = "", "",
    IF(ISNUMBER(SEARCH("Kiện", C532)),
       " GÓI " &amp; COUNTIF($C$13:C532, "*Kiện*") &amp; "/" &amp; COUNTIF($C$13:$C$1000, "*Kiện*") &amp; " " &amp; AA532,
       AA532)
)</f>
        <v/>
      </c>
      <c r="F532" s="206"/>
      <c r="G532" s="206"/>
      <c r="H532" s="206"/>
      <c r="I532" s="206"/>
      <c r="J532" s="206" t="str">
        <f t="shared" si="121"/>
        <v/>
      </c>
      <c r="K532" s="206" t="str">
        <f t="shared" si="123"/>
        <v/>
      </c>
      <c r="L532" s="206" t="str">
        <f t="shared" si="124"/>
        <v/>
      </c>
      <c r="M532" s="206" t="str">
        <f t="shared" si="125"/>
        <v/>
      </c>
      <c r="N532" s="206" t="str">
        <f t="shared" si="126"/>
        <v/>
      </c>
      <c r="O532" s="206" t="str">
        <f t="shared" si="127"/>
        <v/>
      </c>
      <c r="P532" s="84" t="str">
        <f t="shared" si="128"/>
        <v/>
      </c>
      <c r="Q532" s="205"/>
      <c r="R532" s="70" t="str">
        <f>IF(S532="IN",'BOM_Phan II'!$Y$3,"")</f>
        <v/>
      </c>
      <c r="S532" s="69" t="str">
        <f t="shared" si="120"/>
        <v/>
      </c>
      <c r="T532">
        <f t="shared" si="129"/>
        <v>3</v>
      </c>
      <c r="U532" t="str">
        <f t="shared" si="117"/>
        <v>KIỆN 14</v>
      </c>
      <c r="V532" t="str">
        <f t="shared" si="130"/>
        <v/>
      </c>
      <c r="W532" s="266"/>
      <c r="X532" s="266"/>
      <c r="Y532" s="266" t="str">
        <f t="shared" si="122"/>
        <v/>
      </c>
      <c r="Z532" s="266"/>
    </row>
    <row r="533" spans="1:26" ht="27" hidden="1" customHeight="1">
      <c r="A533" s="70" t="str">
        <f t="shared" si="118"/>
        <v/>
      </c>
      <c r="B533" s="70" t="str">
        <f t="shared" si="119"/>
        <v/>
      </c>
      <c r="C533" s="204" t="str" cm="1">
        <f t="array" ref="C533">IF(D533="","",
    IF(AND(ISNUMBER(D533), D533=INT(D533)),
        $V$6 &amp; " " &amp; (IFERROR(MAX($Y$12:$Y532), 0) + 1),
        IF(ISNUMBER(SEARCH(".", D533)), "", INDEX($C$12:$C533, MATCH(2, 1/($C$12:$C533 &lt;&gt; ""))))
    )
)</f>
        <v/>
      </c>
      <c r="D533" s="206"/>
      <c r="E533" s="206" t="str">
        <f>IF(AA533 = "", "",
    IF(ISNUMBER(SEARCH("Kiện", C533)),
       " GÓI " &amp; COUNTIF($C$13:C533, "*Kiện*") &amp; "/" &amp; COUNTIF($C$13:$C$1000, "*Kiện*") &amp; " " &amp; AA533,
       AA533)
)</f>
        <v/>
      </c>
      <c r="F533" s="206"/>
      <c r="G533" s="206"/>
      <c r="H533" s="206"/>
      <c r="I533" s="206"/>
      <c r="J533" s="206" t="str">
        <f t="shared" si="121"/>
        <v/>
      </c>
      <c r="K533" s="206" t="str">
        <f t="shared" si="123"/>
        <v/>
      </c>
      <c r="L533" s="206" t="str">
        <f t="shared" si="124"/>
        <v/>
      </c>
      <c r="M533" s="206" t="str">
        <f t="shared" si="125"/>
        <v/>
      </c>
      <c r="N533" s="206" t="str">
        <f t="shared" si="126"/>
        <v/>
      </c>
      <c r="O533" s="206" t="str">
        <f t="shared" si="127"/>
        <v/>
      </c>
      <c r="P533" s="84" t="str">
        <f t="shared" si="128"/>
        <v/>
      </c>
      <c r="Q533" s="205"/>
      <c r="R533" s="70" t="str">
        <f>IF(S533="IN",'BOM_Phan II'!$Y$3,"")</f>
        <v/>
      </c>
      <c r="S533" s="69" t="str">
        <f t="shared" si="120"/>
        <v/>
      </c>
      <c r="T533">
        <f t="shared" si="129"/>
        <v>3</v>
      </c>
      <c r="U533" t="str">
        <f t="shared" si="117"/>
        <v>KIỆN 14</v>
      </c>
      <c r="V533" t="str">
        <f t="shared" si="130"/>
        <v/>
      </c>
      <c r="W533" s="266"/>
      <c r="X533" s="266"/>
      <c r="Y533" s="266" t="str">
        <f t="shared" si="122"/>
        <v/>
      </c>
      <c r="Z533" s="266"/>
    </row>
    <row r="534" spans="1:26" ht="27" hidden="1" customHeight="1">
      <c r="A534" s="70" t="str">
        <f t="shared" si="118"/>
        <v/>
      </c>
      <c r="B534" s="70" t="str">
        <f t="shared" si="119"/>
        <v/>
      </c>
      <c r="C534" s="204" t="str" cm="1">
        <f t="array" ref="C534">IF(D534="","",
    IF(AND(ISNUMBER(D534), D534=INT(D534)),
        $V$6 &amp; " " &amp; (IFERROR(MAX($Y$12:$Y533), 0) + 1),
        IF(ISNUMBER(SEARCH(".", D534)), "", INDEX($C$12:$C534, MATCH(2, 1/($C$12:$C534 &lt;&gt; ""))))
    )
)</f>
        <v/>
      </c>
      <c r="D534" s="206"/>
      <c r="E534" s="206" t="str">
        <f>IF(AA534 = "", "",
    IF(ISNUMBER(SEARCH("Kiện", C534)),
       " GÓI " &amp; COUNTIF($C$13:C534, "*Kiện*") &amp; "/" &amp; COUNTIF($C$13:$C$1000, "*Kiện*") &amp; " " &amp; AA534,
       AA534)
)</f>
        <v/>
      </c>
      <c r="F534" s="206"/>
      <c r="G534" s="206"/>
      <c r="H534" s="206"/>
      <c r="I534" s="206"/>
      <c r="J534" s="206" t="str">
        <f t="shared" si="121"/>
        <v/>
      </c>
      <c r="K534" s="206" t="str">
        <f t="shared" si="123"/>
        <v/>
      </c>
      <c r="L534" s="206" t="str">
        <f t="shared" si="124"/>
        <v/>
      </c>
      <c r="M534" s="206" t="str">
        <f t="shared" si="125"/>
        <v/>
      </c>
      <c r="N534" s="206" t="str">
        <f t="shared" si="126"/>
        <v/>
      </c>
      <c r="O534" s="206" t="str">
        <f t="shared" si="127"/>
        <v/>
      </c>
      <c r="P534" s="84" t="str">
        <f t="shared" si="128"/>
        <v/>
      </c>
      <c r="Q534" s="205"/>
      <c r="R534" s="70" t="str">
        <f>IF(S534="IN",'BOM_Phan II'!$Y$3,"")</f>
        <v/>
      </c>
      <c r="S534" s="69" t="str">
        <f t="shared" si="120"/>
        <v/>
      </c>
      <c r="T534">
        <f t="shared" si="129"/>
        <v>3</v>
      </c>
      <c r="U534" t="str">
        <f t="shared" si="117"/>
        <v>KIỆN 14</v>
      </c>
      <c r="V534" t="str">
        <f t="shared" si="130"/>
        <v/>
      </c>
      <c r="W534" s="266"/>
      <c r="X534" s="266"/>
      <c r="Y534" s="266" t="str">
        <f t="shared" si="122"/>
        <v/>
      </c>
      <c r="Z534" s="266"/>
    </row>
    <row r="535" spans="1:26" ht="27" hidden="1" customHeight="1">
      <c r="A535" s="70" t="str">
        <f t="shared" si="118"/>
        <v/>
      </c>
      <c r="B535" s="70" t="str">
        <f t="shared" si="119"/>
        <v/>
      </c>
      <c r="C535" s="204" t="str" cm="1">
        <f t="array" ref="C535">IF(D535="","",
    IF(AND(ISNUMBER(D535), D535=INT(D535)),
        $V$6 &amp; " " &amp; (IFERROR(MAX($Y$12:$Y534), 0) + 1),
        IF(ISNUMBER(SEARCH(".", D535)), "", INDEX($C$12:$C535, MATCH(2, 1/($C$12:$C535 &lt;&gt; ""))))
    )
)</f>
        <v/>
      </c>
      <c r="D535" s="206"/>
      <c r="E535" s="206" t="str">
        <f>IF(AA535 = "", "",
    IF(ISNUMBER(SEARCH("Kiện", C535)),
       " GÓI " &amp; COUNTIF($C$13:C535, "*Kiện*") &amp; "/" &amp; COUNTIF($C$13:$C$1000, "*Kiện*") &amp; " " &amp; AA535,
       AA535)
)</f>
        <v/>
      </c>
      <c r="F535" s="206"/>
      <c r="G535" s="206"/>
      <c r="H535" s="206"/>
      <c r="I535" s="206"/>
      <c r="J535" s="206" t="str">
        <f t="shared" si="121"/>
        <v/>
      </c>
      <c r="K535" s="206" t="str">
        <f t="shared" si="123"/>
        <v/>
      </c>
      <c r="L535" s="206" t="str">
        <f t="shared" si="124"/>
        <v/>
      </c>
      <c r="M535" s="206" t="str">
        <f t="shared" si="125"/>
        <v/>
      </c>
      <c r="N535" s="206" t="str">
        <f t="shared" si="126"/>
        <v/>
      </c>
      <c r="O535" s="206" t="str">
        <f t="shared" si="127"/>
        <v/>
      </c>
      <c r="P535" s="84" t="str">
        <f t="shared" si="128"/>
        <v/>
      </c>
      <c r="Q535" s="205"/>
      <c r="R535" s="70" t="str">
        <f>IF(S535="IN",'BOM_Phan II'!$Y$3,"")</f>
        <v/>
      </c>
      <c r="S535" s="69" t="str">
        <f t="shared" si="120"/>
        <v/>
      </c>
      <c r="T535">
        <f t="shared" si="129"/>
        <v>3</v>
      </c>
      <c r="U535" t="str">
        <f t="shared" si="117"/>
        <v>KIỆN 14</v>
      </c>
      <c r="V535" t="str">
        <f t="shared" si="130"/>
        <v/>
      </c>
      <c r="W535" s="266"/>
      <c r="X535" s="266"/>
      <c r="Y535" s="266" t="str">
        <f t="shared" si="122"/>
        <v/>
      </c>
      <c r="Z535" s="266"/>
    </row>
    <row r="536" spans="1:26" ht="27" hidden="1" customHeight="1">
      <c r="A536" s="70" t="str">
        <f t="shared" si="118"/>
        <v/>
      </c>
      <c r="B536" s="70" t="str">
        <f t="shared" si="119"/>
        <v/>
      </c>
      <c r="C536" s="204" t="str" cm="1">
        <f t="array" ref="C536">IF(D536="","",
    IF(AND(ISNUMBER(D536), D536=INT(D536)),
        $V$6 &amp; " " &amp; (IFERROR(MAX($Y$12:$Y535), 0) + 1),
        IF(ISNUMBER(SEARCH(".", D536)), "", INDEX($C$12:$C536, MATCH(2, 1/($C$12:$C536 &lt;&gt; ""))))
    )
)</f>
        <v/>
      </c>
      <c r="D536" s="206"/>
      <c r="E536" s="206" t="str">
        <f>IF(AA536 = "", "",
    IF(ISNUMBER(SEARCH("Kiện", C536)),
       " GÓI " &amp; COUNTIF($C$13:C536, "*Kiện*") &amp; "/" &amp; COUNTIF($C$13:$C$1000, "*Kiện*") &amp; " " &amp; AA536,
       AA536)
)</f>
        <v/>
      </c>
      <c r="F536" s="206"/>
      <c r="G536" s="206"/>
      <c r="H536" s="206"/>
      <c r="I536" s="206"/>
      <c r="J536" s="206" t="str">
        <f t="shared" si="121"/>
        <v/>
      </c>
      <c r="K536" s="206" t="str">
        <f t="shared" si="123"/>
        <v/>
      </c>
      <c r="L536" s="206" t="str">
        <f t="shared" si="124"/>
        <v/>
      </c>
      <c r="M536" s="206" t="str">
        <f t="shared" si="125"/>
        <v/>
      </c>
      <c r="N536" s="206" t="str">
        <f t="shared" si="126"/>
        <v/>
      </c>
      <c r="O536" s="206" t="str">
        <f t="shared" si="127"/>
        <v/>
      </c>
      <c r="P536" s="84" t="str">
        <f t="shared" si="128"/>
        <v/>
      </c>
      <c r="Q536" s="205"/>
      <c r="R536" s="70" t="str">
        <f>IF(S536="IN",'BOM_Phan II'!$Y$3,"")</f>
        <v/>
      </c>
      <c r="S536" s="69" t="str">
        <f t="shared" si="120"/>
        <v/>
      </c>
      <c r="T536">
        <f t="shared" si="129"/>
        <v>3</v>
      </c>
      <c r="U536" t="str">
        <f t="shared" si="117"/>
        <v>KIỆN 14</v>
      </c>
      <c r="V536" t="str">
        <f t="shared" si="130"/>
        <v/>
      </c>
      <c r="W536" s="266"/>
      <c r="X536" s="266"/>
      <c r="Y536" s="266" t="str">
        <f t="shared" si="122"/>
        <v/>
      </c>
      <c r="Z536" s="266"/>
    </row>
    <row r="537" spans="1:26" ht="27" hidden="1" customHeight="1">
      <c r="A537" s="70" t="str">
        <f t="shared" si="118"/>
        <v/>
      </c>
      <c r="B537" s="70" t="str">
        <f t="shared" si="119"/>
        <v/>
      </c>
      <c r="C537" s="204" t="str" cm="1">
        <f t="array" ref="C537">IF(D537="","",
    IF(AND(ISNUMBER(D537), D537=INT(D537)),
        $V$6 &amp; " " &amp; (IFERROR(MAX($Y$12:$Y536), 0) + 1),
        IF(ISNUMBER(SEARCH(".", D537)), "", INDEX($C$12:$C537, MATCH(2, 1/($C$12:$C537 &lt;&gt; ""))))
    )
)</f>
        <v/>
      </c>
      <c r="D537" s="206"/>
      <c r="E537" s="206" t="str">
        <f>IF(AA537 = "", "",
    IF(ISNUMBER(SEARCH("Kiện", C537)),
       " GÓI " &amp; COUNTIF($C$13:C537, "*Kiện*") &amp; "/" &amp; COUNTIF($C$13:$C$1000, "*Kiện*") &amp; " " &amp; AA537,
       AA537)
)</f>
        <v/>
      </c>
      <c r="F537" s="206"/>
      <c r="G537" s="206"/>
      <c r="H537" s="206"/>
      <c r="I537" s="206"/>
      <c r="J537" s="206" t="str">
        <f t="shared" si="121"/>
        <v/>
      </c>
      <c r="K537" s="206" t="str">
        <f t="shared" si="123"/>
        <v/>
      </c>
      <c r="L537" s="206" t="str">
        <f t="shared" si="124"/>
        <v/>
      </c>
      <c r="M537" s="206" t="str">
        <f t="shared" si="125"/>
        <v/>
      </c>
      <c r="N537" s="206" t="str">
        <f t="shared" si="126"/>
        <v/>
      </c>
      <c r="O537" s="206" t="str">
        <f t="shared" si="127"/>
        <v/>
      </c>
      <c r="P537" s="84" t="str">
        <f t="shared" si="128"/>
        <v/>
      </c>
      <c r="Q537" s="205"/>
      <c r="R537" s="70" t="str">
        <f>IF(S537="IN",'BOM_Phan II'!$Y$3,"")</f>
        <v/>
      </c>
      <c r="S537" s="69" t="str">
        <f t="shared" si="120"/>
        <v/>
      </c>
      <c r="T537">
        <f t="shared" si="129"/>
        <v>3</v>
      </c>
      <c r="U537" t="str">
        <f t="shared" si="117"/>
        <v>KIỆN 14</v>
      </c>
      <c r="V537" t="str">
        <f t="shared" si="130"/>
        <v/>
      </c>
      <c r="W537" s="266"/>
      <c r="X537" s="266"/>
      <c r="Y537" s="266" t="str">
        <f t="shared" si="122"/>
        <v/>
      </c>
      <c r="Z537" s="266"/>
    </row>
    <row r="538" spans="1:26" ht="27" hidden="1" customHeight="1">
      <c r="A538" s="70" t="str">
        <f t="shared" si="118"/>
        <v/>
      </c>
      <c r="B538" s="70" t="str">
        <f t="shared" si="119"/>
        <v/>
      </c>
      <c r="C538" s="204" t="str" cm="1">
        <f t="array" ref="C538">IF(D538="","",
    IF(AND(ISNUMBER(D538), D538=INT(D538)),
        $V$6 &amp; " " &amp; (IFERROR(MAX($Y$12:$Y537), 0) + 1),
        IF(ISNUMBER(SEARCH(".", D538)), "", INDEX($C$12:$C538, MATCH(2, 1/($C$12:$C538 &lt;&gt; ""))))
    )
)</f>
        <v/>
      </c>
      <c r="D538" s="206"/>
      <c r="E538" s="206" t="str">
        <f>IF(AA538 = "", "",
    IF(ISNUMBER(SEARCH("Kiện", C538)),
       " GÓI " &amp; COUNTIF($C$13:C538, "*Kiện*") &amp; "/" &amp; COUNTIF($C$13:$C$1000, "*Kiện*") &amp; " " &amp; AA538,
       AA538)
)</f>
        <v/>
      </c>
      <c r="F538" s="206"/>
      <c r="G538" s="206"/>
      <c r="H538" s="206"/>
      <c r="I538" s="206"/>
      <c r="J538" s="206" t="str">
        <f t="shared" si="121"/>
        <v/>
      </c>
      <c r="K538" s="206" t="str">
        <f t="shared" si="123"/>
        <v/>
      </c>
      <c r="L538" s="206" t="str">
        <f t="shared" si="124"/>
        <v/>
      </c>
      <c r="M538" s="206" t="str">
        <f t="shared" si="125"/>
        <v/>
      </c>
      <c r="N538" s="206" t="str">
        <f t="shared" si="126"/>
        <v/>
      </c>
      <c r="O538" s="206" t="str">
        <f t="shared" si="127"/>
        <v/>
      </c>
      <c r="P538" s="84" t="str">
        <f t="shared" si="128"/>
        <v/>
      </c>
      <c r="Q538" s="205"/>
      <c r="R538" s="70" t="str">
        <f>IF(S538="IN",'BOM_Phan II'!$Y$3,"")</f>
        <v/>
      </c>
      <c r="S538" s="69" t="str">
        <f t="shared" si="120"/>
        <v/>
      </c>
      <c r="T538">
        <f t="shared" si="129"/>
        <v>3</v>
      </c>
      <c r="U538" t="str">
        <f t="shared" si="117"/>
        <v>KIỆN 14</v>
      </c>
      <c r="V538" t="str">
        <f t="shared" si="130"/>
        <v/>
      </c>
      <c r="W538" s="266"/>
      <c r="X538" s="266"/>
      <c r="Y538" s="266" t="str">
        <f t="shared" si="122"/>
        <v/>
      </c>
      <c r="Z538" s="266"/>
    </row>
    <row r="539" spans="1:26" ht="27" hidden="1" customHeight="1">
      <c r="A539" s="70" t="str">
        <f t="shared" si="118"/>
        <v/>
      </c>
      <c r="B539" s="70" t="str">
        <f t="shared" si="119"/>
        <v/>
      </c>
      <c r="C539" s="204" t="str" cm="1">
        <f t="array" ref="C539">IF(D539="","",
    IF(AND(ISNUMBER(D539), D539=INT(D539)),
        $V$6 &amp; " " &amp; (IFERROR(MAX($Y$12:$Y538), 0) + 1),
        IF(ISNUMBER(SEARCH(".", D539)), "", INDEX($C$12:$C539, MATCH(2, 1/($C$12:$C539 &lt;&gt; ""))))
    )
)</f>
        <v/>
      </c>
      <c r="D539" s="206"/>
      <c r="E539" s="206" t="str">
        <f>IF(AA539 = "", "",
    IF(ISNUMBER(SEARCH("Kiện", C539)),
       " GÓI " &amp; COUNTIF($C$13:C539, "*Kiện*") &amp; "/" &amp; COUNTIF($C$13:$C$1000, "*Kiện*") &amp; " " &amp; AA539,
       AA539)
)</f>
        <v/>
      </c>
      <c r="F539" s="206"/>
      <c r="G539" s="206"/>
      <c r="H539" s="206"/>
      <c r="I539" s="206"/>
      <c r="J539" s="206" t="str">
        <f t="shared" si="121"/>
        <v/>
      </c>
      <c r="K539" s="206" t="str">
        <f t="shared" si="123"/>
        <v/>
      </c>
      <c r="L539" s="206" t="str">
        <f t="shared" si="124"/>
        <v/>
      </c>
      <c r="M539" s="206" t="str">
        <f t="shared" si="125"/>
        <v/>
      </c>
      <c r="N539" s="206" t="str">
        <f t="shared" si="126"/>
        <v/>
      </c>
      <c r="O539" s="206" t="str">
        <f t="shared" si="127"/>
        <v/>
      </c>
      <c r="P539" s="84" t="str">
        <f t="shared" si="128"/>
        <v/>
      </c>
      <c r="Q539" s="205"/>
      <c r="R539" s="70" t="str">
        <f>IF(S539="IN",'BOM_Phan II'!$Y$3,"")</f>
        <v/>
      </c>
      <c r="S539" s="69" t="str">
        <f t="shared" si="120"/>
        <v/>
      </c>
      <c r="T539">
        <f t="shared" si="129"/>
        <v>3</v>
      </c>
      <c r="U539" t="str">
        <f t="shared" si="117"/>
        <v>KIỆN 14</v>
      </c>
      <c r="V539" t="str">
        <f t="shared" si="130"/>
        <v/>
      </c>
      <c r="W539" s="266"/>
      <c r="X539" s="266"/>
      <c r="Y539" s="266" t="str">
        <f t="shared" si="122"/>
        <v/>
      </c>
      <c r="Z539" s="266"/>
    </row>
    <row r="540" spans="1:26" ht="27" hidden="1" customHeight="1">
      <c r="A540" s="70" t="str">
        <f t="shared" si="118"/>
        <v/>
      </c>
      <c r="B540" s="70" t="str">
        <f t="shared" si="119"/>
        <v/>
      </c>
      <c r="C540" s="204" t="str" cm="1">
        <f t="array" ref="C540">IF(D540="","",
    IF(AND(ISNUMBER(D540), D540=INT(D540)),
        $V$6 &amp; " " &amp; (IFERROR(MAX($Y$12:$Y539), 0) + 1),
        IF(ISNUMBER(SEARCH(".", D540)), "", INDEX($C$12:$C540, MATCH(2, 1/($C$12:$C540 &lt;&gt; ""))))
    )
)</f>
        <v/>
      </c>
      <c r="D540" s="206"/>
      <c r="E540" s="206" t="str">
        <f>IF(AA540 = "", "",
    IF(ISNUMBER(SEARCH("Kiện", C540)),
       " GÓI " &amp; COUNTIF($C$13:C540, "*Kiện*") &amp; "/" &amp; COUNTIF($C$13:$C$1000, "*Kiện*") &amp; " " &amp; AA540,
       AA540)
)</f>
        <v/>
      </c>
      <c r="F540" s="206"/>
      <c r="G540" s="206"/>
      <c r="H540" s="206"/>
      <c r="I540" s="206"/>
      <c r="J540" s="206" t="str">
        <f t="shared" si="121"/>
        <v/>
      </c>
      <c r="K540" s="206" t="str">
        <f t="shared" si="123"/>
        <v/>
      </c>
      <c r="L540" s="206" t="str">
        <f t="shared" si="124"/>
        <v/>
      </c>
      <c r="M540" s="206" t="str">
        <f t="shared" si="125"/>
        <v/>
      </c>
      <c r="N540" s="206" t="str">
        <f t="shared" si="126"/>
        <v/>
      </c>
      <c r="O540" s="206" t="str">
        <f t="shared" si="127"/>
        <v/>
      </c>
      <c r="P540" s="84" t="str">
        <f t="shared" si="128"/>
        <v/>
      </c>
      <c r="Q540" s="205"/>
      <c r="R540" s="70" t="str">
        <f>IF(S540="IN",'BOM_Phan II'!$Y$3,"")</f>
        <v/>
      </c>
      <c r="S540" s="69" t="str">
        <f t="shared" si="120"/>
        <v/>
      </c>
      <c r="T540">
        <f t="shared" si="129"/>
        <v>3</v>
      </c>
      <c r="U540" t="str">
        <f t="shared" si="117"/>
        <v>KIỆN 14</v>
      </c>
      <c r="V540" t="str">
        <f t="shared" si="130"/>
        <v/>
      </c>
      <c r="W540" s="266"/>
      <c r="X540" s="266"/>
      <c r="Y540" s="266" t="str">
        <f t="shared" si="122"/>
        <v/>
      </c>
      <c r="Z540" s="266"/>
    </row>
    <row r="541" spans="1:26" ht="27" hidden="1" customHeight="1">
      <c r="A541" s="70" t="str">
        <f t="shared" si="118"/>
        <v/>
      </c>
      <c r="B541" s="70" t="str">
        <f t="shared" si="119"/>
        <v/>
      </c>
      <c r="C541" s="204" t="str" cm="1">
        <f t="array" ref="C541">IF(D541="","",
    IF(AND(ISNUMBER(D541), D541=INT(D541)),
        $V$6 &amp; " " &amp; (IFERROR(MAX($Y$12:$Y540), 0) + 1),
        IF(ISNUMBER(SEARCH(".", D541)), "", INDEX($C$12:$C541, MATCH(2, 1/($C$12:$C541 &lt;&gt; ""))))
    )
)</f>
        <v/>
      </c>
      <c r="D541" s="206"/>
      <c r="E541" s="206" t="str">
        <f>IF(AA541 = "", "",
    IF(ISNUMBER(SEARCH("Kiện", C541)),
       " GÓI " &amp; COUNTIF($C$13:C541, "*Kiện*") &amp; "/" &amp; COUNTIF($C$13:$C$1000, "*Kiện*") &amp; " " &amp; AA541,
       AA541)
)</f>
        <v/>
      </c>
      <c r="F541" s="206"/>
      <c r="G541" s="206"/>
      <c r="H541" s="206"/>
      <c r="I541" s="206"/>
      <c r="J541" s="206" t="str">
        <f t="shared" si="121"/>
        <v/>
      </c>
      <c r="K541" s="206" t="str">
        <f t="shared" si="123"/>
        <v/>
      </c>
      <c r="L541" s="206" t="str">
        <f t="shared" si="124"/>
        <v/>
      </c>
      <c r="M541" s="206" t="str">
        <f t="shared" si="125"/>
        <v/>
      </c>
      <c r="N541" s="206" t="str">
        <f t="shared" si="126"/>
        <v/>
      </c>
      <c r="O541" s="206" t="str">
        <f t="shared" si="127"/>
        <v/>
      </c>
      <c r="P541" s="84" t="str">
        <f t="shared" si="128"/>
        <v/>
      </c>
      <c r="Q541" s="205"/>
      <c r="R541" s="70" t="str">
        <f>IF(S541="IN",'BOM_Phan II'!$Y$3,"")</f>
        <v/>
      </c>
      <c r="S541" s="69" t="str">
        <f t="shared" si="120"/>
        <v/>
      </c>
      <c r="T541">
        <f t="shared" si="129"/>
        <v>3</v>
      </c>
      <c r="U541" t="str">
        <f t="shared" si="117"/>
        <v>KIỆN 14</v>
      </c>
      <c r="V541" t="str">
        <f t="shared" si="130"/>
        <v/>
      </c>
      <c r="W541" s="266"/>
      <c r="X541" s="266"/>
      <c r="Y541" s="266" t="str">
        <f t="shared" si="122"/>
        <v/>
      </c>
      <c r="Z541" s="266"/>
    </row>
    <row r="542" spans="1:26" ht="27" hidden="1" customHeight="1">
      <c r="A542" s="70" t="str">
        <f t="shared" si="118"/>
        <v/>
      </c>
      <c r="B542" s="70" t="str">
        <f t="shared" si="119"/>
        <v/>
      </c>
      <c r="C542" s="204" t="str" cm="1">
        <f t="array" ref="C542">IF(D542="","",
    IF(AND(ISNUMBER(D542), D542=INT(D542)),
        $V$6 &amp; " " &amp; (IFERROR(MAX($Y$12:$Y541), 0) + 1),
        IF(ISNUMBER(SEARCH(".", D542)), "", INDEX($C$12:$C542, MATCH(2, 1/($C$12:$C542 &lt;&gt; ""))))
    )
)</f>
        <v/>
      </c>
      <c r="D542" s="206"/>
      <c r="E542" s="206" t="str">
        <f>IF(AA542 = "", "",
    IF(ISNUMBER(SEARCH("Kiện", C542)),
       " GÓI " &amp; COUNTIF($C$13:C542, "*Kiện*") &amp; "/" &amp; COUNTIF($C$13:$C$1000, "*Kiện*") &amp; " " &amp; AA542,
       AA542)
)</f>
        <v/>
      </c>
      <c r="F542" s="206"/>
      <c r="G542" s="206"/>
      <c r="H542" s="206"/>
      <c r="I542" s="206"/>
      <c r="J542" s="206" t="str">
        <f t="shared" si="121"/>
        <v/>
      </c>
      <c r="K542" s="206" t="str">
        <f t="shared" si="123"/>
        <v/>
      </c>
      <c r="L542" s="206" t="str">
        <f t="shared" si="124"/>
        <v/>
      </c>
      <c r="M542" s="206" t="str">
        <f t="shared" si="125"/>
        <v/>
      </c>
      <c r="N542" s="206" t="str">
        <f t="shared" si="126"/>
        <v/>
      </c>
      <c r="O542" s="206" t="str">
        <f t="shared" si="127"/>
        <v/>
      </c>
      <c r="P542" s="84" t="str">
        <f t="shared" si="128"/>
        <v/>
      </c>
      <c r="Q542" s="205"/>
      <c r="R542" s="70" t="str">
        <f>IF(S542="IN",'BOM_Phan II'!$Y$3,"")</f>
        <v/>
      </c>
      <c r="S542" s="69" t="str">
        <f t="shared" si="120"/>
        <v/>
      </c>
      <c r="T542">
        <f t="shared" si="129"/>
        <v>3</v>
      </c>
      <c r="U542" t="str">
        <f t="shared" si="117"/>
        <v>KIỆN 14</v>
      </c>
      <c r="V542" t="str">
        <f t="shared" si="130"/>
        <v/>
      </c>
      <c r="W542" s="266"/>
      <c r="X542" s="266"/>
      <c r="Y542" s="266" t="str">
        <f t="shared" si="122"/>
        <v/>
      </c>
      <c r="Z542" s="266"/>
    </row>
    <row r="543" spans="1:26" ht="27" hidden="1" customHeight="1">
      <c r="A543" s="70" t="str">
        <f t="shared" si="118"/>
        <v/>
      </c>
      <c r="B543" s="70" t="str">
        <f t="shared" si="119"/>
        <v/>
      </c>
      <c r="C543" s="204" t="str" cm="1">
        <f t="array" ref="C543">IF(D543="","",
    IF(AND(ISNUMBER(D543), D543=INT(D543)),
        $V$6 &amp; " " &amp; (IFERROR(MAX($Y$12:$Y542), 0) + 1),
        IF(ISNUMBER(SEARCH(".", D543)), "", INDEX($C$12:$C543, MATCH(2, 1/($C$12:$C543 &lt;&gt; ""))))
    )
)</f>
        <v/>
      </c>
      <c r="D543" s="206"/>
      <c r="E543" s="206" t="str">
        <f>IF(AA543 = "", "",
    IF(ISNUMBER(SEARCH("Kiện", C543)),
       " GÓI " &amp; COUNTIF($C$13:C543, "*Kiện*") &amp; "/" &amp; COUNTIF($C$13:$C$1000, "*Kiện*") &amp; " " &amp; AA543,
       AA543)
)</f>
        <v/>
      </c>
      <c r="F543" s="206"/>
      <c r="G543" s="206"/>
      <c r="H543" s="206"/>
      <c r="I543" s="206"/>
      <c r="J543" s="206" t="str">
        <f t="shared" si="121"/>
        <v/>
      </c>
      <c r="K543" s="206" t="str">
        <f t="shared" si="123"/>
        <v/>
      </c>
      <c r="L543" s="206" t="str">
        <f t="shared" si="124"/>
        <v/>
      </c>
      <c r="M543" s="206" t="str">
        <f t="shared" si="125"/>
        <v/>
      </c>
      <c r="N543" s="206" t="str">
        <f t="shared" si="126"/>
        <v/>
      </c>
      <c r="O543" s="206" t="str">
        <f t="shared" si="127"/>
        <v/>
      </c>
      <c r="P543" s="84" t="str">
        <f t="shared" si="128"/>
        <v/>
      </c>
      <c r="Q543" s="205"/>
      <c r="R543" s="70" t="str">
        <f>IF(S543="IN",'BOM_Phan II'!$Y$3,"")</f>
        <v/>
      </c>
      <c r="S543" s="69" t="str">
        <f t="shared" si="120"/>
        <v/>
      </c>
      <c r="T543">
        <f t="shared" si="129"/>
        <v>3</v>
      </c>
      <c r="U543" t="str">
        <f t="shared" si="117"/>
        <v>KIỆN 14</v>
      </c>
      <c r="V543" t="str">
        <f t="shared" si="130"/>
        <v/>
      </c>
      <c r="W543" s="266"/>
      <c r="X543" s="266"/>
      <c r="Y543" s="266" t="str">
        <f t="shared" si="122"/>
        <v/>
      </c>
      <c r="Z543" s="266"/>
    </row>
    <row r="544" spans="1:26" ht="27" hidden="1" customHeight="1">
      <c r="A544" s="70" t="str">
        <f t="shared" si="118"/>
        <v/>
      </c>
      <c r="B544" s="70" t="str">
        <f t="shared" si="119"/>
        <v/>
      </c>
      <c r="C544" s="204" t="str" cm="1">
        <f t="array" ref="C544">IF(D544="","",
    IF(AND(ISNUMBER(D544), D544=INT(D544)),
        $V$6 &amp; " " &amp; (IFERROR(MAX($Y$12:$Y543), 0) + 1),
        IF(ISNUMBER(SEARCH(".", D544)), "", INDEX($C$12:$C544, MATCH(2, 1/($C$12:$C544 &lt;&gt; ""))))
    )
)</f>
        <v/>
      </c>
      <c r="D544" s="206"/>
      <c r="E544" s="206" t="str">
        <f>IF(AA544 = "", "",
    IF(ISNUMBER(SEARCH("Kiện", C544)),
       " GÓI " &amp; COUNTIF($C$13:C544, "*Kiện*") &amp; "/" &amp; COUNTIF($C$13:$C$1000, "*Kiện*") &amp; " " &amp; AA544,
       AA544)
)</f>
        <v/>
      </c>
      <c r="F544" s="206"/>
      <c r="G544" s="206"/>
      <c r="H544" s="206"/>
      <c r="I544" s="206"/>
      <c r="J544" s="206" t="str">
        <f t="shared" si="121"/>
        <v/>
      </c>
      <c r="K544" s="206" t="str">
        <f t="shared" si="123"/>
        <v/>
      </c>
      <c r="L544" s="206" t="str">
        <f t="shared" si="124"/>
        <v/>
      </c>
      <c r="M544" s="206" t="str">
        <f t="shared" si="125"/>
        <v/>
      </c>
      <c r="N544" s="206" t="str">
        <f t="shared" si="126"/>
        <v/>
      </c>
      <c r="O544" s="206" t="str">
        <f t="shared" si="127"/>
        <v/>
      </c>
      <c r="P544" s="84" t="str">
        <f t="shared" si="128"/>
        <v/>
      </c>
      <c r="Q544" s="205"/>
      <c r="R544" s="70" t="str">
        <f>IF(S544="IN",'BOM_Phan II'!$Y$3,"")</f>
        <v/>
      </c>
      <c r="S544" s="69" t="str">
        <f t="shared" si="120"/>
        <v/>
      </c>
      <c r="T544">
        <f t="shared" si="129"/>
        <v>3</v>
      </c>
      <c r="U544" t="str">
        <f t="shared" si="117"/>
        <v>KIỆN 14</v>
      </c>
      <c r="V544" t="str">
        <f t="shared" si="130"/>
        <v/>
      </c>
      <c r="W544" s="266"/>
      <c r="X544" s="266"/>
      <c r="Y544" s="266" t="str">
        <f t="shared" si="122"/>
        <v/>
      </c>
      <c r="Z544" s="266"/>
    </row>
    <row r="545" spans="1:26" ht="27" hidden="1" customHeight="1">
      <c r="A545" s="70" t="str">
        <f t="shared" si="118"/>
        <v/>
      </c>
      <c r="B545" s="70" t="str">
        <f t="shared" si="119"/>
        <v/>
      </c>
      <c r="C545" s="204" t="str" cm="1">
        <f t="array" ref="C545">IF(D545="","",
    IF(AND(ISNUMBER(D545), D545=INT(D545)),
        $V$6 &amp; " " &amp; (IFERROR(MAX($Y$12:$Y544), 0) + 1),
        IF(ISNUMBER(SEARCH(".", D545)), "", INDEX($C$12:$C545, MATCH(2, 1/($C$12:$C545 &lt;&gt; ""))))
    )
)</f>
        <v/>
      </c>
      <c r="D545" s="206"/>
      <c r="E545" s="206" t="str">
        <f>IF(AA545 = "", "",
    IF(ISNUMBER(SEARCH("Kiện", C545)),
       " GÓI " &amp; COUNTIF($C$13:C545, "*Kiện*") &amp; "/" &amp; COUNTIF($C$13:$C$1000, "*Kiện*") &amp; " " &amp; AA545,
       AA545)
)</f>
        <v/>
      </c>
      <c r="F545" s="206"/>
      <c r="G545" s="206"/>
      <c r="H545" s="206"/>
      <c r="I545" s="206"/>
      <c r="J545" s="206" t="str">
        <f t="shared" si="121"/>
        <v/>
      </c>
      <c r="K545" s="206" t="str">
        <f t="shared" si="123"/>
        <v/>
      </c>
      <c r="L545" s="206" t="str">
        <f t="shared" si="124"/>
        <v/>
      </c>
      <c r="M545" s="206" t="str">
        <f t="shared" si="125"/>
        <v/>
      </c>
      <c r="N545" s="206" t="str">
        <f t="shared" si="126"/>
        <v/>
      </c>
      <c r="O545" s="206" t="str">
        <f t="shared" si="127"/>
        <v/>
      </c>
      <c r="P545" s="84" t="str">
        <f t="shared" si="128"/>
        <v/>
      </c>
      <c r="Q545" s="205"/>
      <c r="R545" s="70" t="str">
        <f>IF(S545="IN",'BOM_Phan II'!$Y$3,"")</f>
        <v/>
      </c>
      <c r="S545" s="69" t="str">
        <f t="shared" si="120"/>
        <v/>
      </c>
      <c r="T545">
        <f t="shared" si="129"/>
        <v>3</v>
      </c>
      <c r="U545" t="str">
        <f t="shared" si="117"/>
        <v>KIỆN 14</v>
      </c>
      <c r="V545" t="str">
        <f t="shared" si="130"/>
        <v/>
      </c>
      <c r="W545" s="266"/>
      <c r="X545" s="266"/>
      <c r="Y545" s="266" t="str">
        <f t="shared" si="122"/>
        <v/>
      </c>
      <c r="Z545" s="266"/>
    </row>
    <row r="546" spans="1:26" ht="27" hidden="1" customHeight="1">
      <c r="A546" s="70" t="str">
        <f t="shared" si="118"/>
        <v/>
      </c>
      <c r="B546" s="70" t="str">
        <f t="shared" si="119"/>
        <v/>
      </c>
      <c r="C546" s="204" t="str" cm="1">
        <f t="array" ref="C546">IF(D546="","",
    IF(AND(ISNUMBER(D546), D546=INT(D546)),
        $V$6 &amp; " " &amp; (IFERROR(MAX($Y$12:$Y545), 0) + 1),
        IF(ISNUMBER(SEARCH(".", D546)), "", INDEX($C$12:$C546, MATCH(2, 1/($C$12:$C546 &lt;&gt; ""))))
    )
)</f>
        <v/>
      </c>
      <c r="D546" s="206"/>
      <c r="E546" s="206" t="str">
        <f>IF(AA546 = "", "",
    IF(ISNUMBER(SEARCH("Kiện", C546)),
       " GÓI " &amp; COUNTIF($C$13:C546, "*Kiện*") &amp; "/" &amp; COUNTIF($C$13:$C$1000, "*Kiện*") &amp; " " &amp; AA546,
       AA546)
)</f>
        <v/>
      </c>
      <c r="F546" s="206"/>
      <c r="G546" s="206"/>
      <c r="H546" s="206"/>
      <c r="I546" s="206"/>
      <c r="J546" s="206" t="str">
        <f t="shared" si="121"/>
        <v/>
      </c>
      <c r="K546" s="206" t="str">
        <f t="shared" si="123"/>
        <v/>
      </c>
      <c r="L546" s="206" t="str">
        <f t="shared" si="124"/>
        <v/>
      </c>
      <c r="M546" s="206" t="str">
        <f t="shared" si="125"/>
        <v/>
      </c>
      <c r="N546" s="206" t="str">
        <f t="shared" si="126"/>
        <v/>
      </c>
      <c r="O546" s="206" t="str">
        <f t="shared" si="127"/>
        <v/>
      </c>
      <c r="P546" s="84" t="str">
        <f t="shared" si="128"/>
        <v/>
      </c>
      <c r="Q546" s="205"/>
      <c r="R546" s="70" t="str">
        <f>IF(S546="IN",'BOM_Phan II'!$Y$3,"")</f>
        <v/>
      </c>
      <c r="S546" s="69" t="str">
        <f t="shared" si="120"/>
        <v/>
      </c>
      <c r="T546">
        <f t="shared" si="129"/>
        <v>3</v>
      </c>
      <c r="U546" t="str">
        <f t="shared" si="117"/>
        <v>KIỆN 14</v>
      </c>
      <c r="V546" t="str">
        <f t="shared" si="130"/>
        <v/>
      </c>
      <c r="W546" s="266"/>
      <c r="X546" s="266"/>
      <c r="Y546" s="266" t="str">
        <f t="shared" si="122"/>
        <v/>
      </c>
      <c r="Z546" s="266"/>
    </row>
    <row r="547" spans="1:26" ht="27" hidden="1" customHeight="1">
      <c r="A547" s="70" t="str">
        <f t="shared" si="118"/>
        <v/>
      </c>
      <c r="B547" s="70" t="str">
        <f t="shared" si="119"/>
        <v/>
      </c>
      <c r="C547" s="204" t="str" cm="1">
        <f t="array" ref="C547">IF(D547="","",
    IF(AND(ISNUMBER(D547), D547=INT(D547)),
        $V$6 &amp; " " &amp; (IFERROR(MAX($Y$12:$Y546), 0) + 1),
        IF(ISNUMBER(SEARCH(".", D547)), "", INDEX($C$12:$C547, MATCH(2, 1/($C$12:$C547 &lt;&gt; ""))))
    )
)</f>
        <v/>
      </c>
      <c r="D547" s="206"/>
      <c r="E547" s="206" t="str">
        <f>IF(AA547 = "", "",
    IF(ISNUMBER(SEARCH("Kiện", C547)),
       " GÓI " &amp; COUNTIF($C$13:C547, "*Kiện*") &amp; "/" &amp; COUNTIF($C$13:$C$1000, "*Kiện*") &amp; " " &amp; AA547,
       AA547)
)</f>
        <v/>
      </c>
      <c r="F547" s="206"/>
      <c r="G547" s="206"/>
      <c r="H547" s="206"/>
      <c r="I547" s="206"/>
      <c r="J547" s="206" t="str">
        <f t="shared" si="121"/>
        <v/>
      </c>
      <c r="K547" s="206" t="str">
        <f t="shared" si="123"/>
        <v/>
      </c>
      <c r="L547" s="206" t="str">
        <f t="shared" si="124"/>
        <v/>
      </c>
      <c r="M547" s="206" t="str">
        <f t="shared" si="125"/>
        <v/>
      </c>
      <c r="N547" s="206" t="str">
        <f t="shared" si="126"/>
        <v/>
      </c>
      <c r="O547" s="206" t="str">
        <f t="shared" si="127"/>
        <v/>
      </c>
      <c r="P547" s="84" t="str">
        <f t="shared" si="128"/>
        <v/>
      </c>
      <c r="Q547" s="205"/>
      <c r="R547" s="70" t="str">
        <f>IF(S547="IN",'BOM_Phan II'!$Y$3,"")</f>
        <v/>
      </c>
      <c r="S547" s="69" t="str">
        <f t="shared" si="120"/>
        <v/>
      </c>
      <c r="T547">
        <f t="shared" si="129"/>
        <v>3</v>
      </c>
      <c r="U547" t="str">
        <f t="shared" si="117"/>
        <v>KIỆN 14</v>
      </c>
      <c r="V547" t="str">
        <f t="shared" si="130"/>
        <v/>
      </c>
      <c r="W547" s="266"/>
      <c r="X547" s="266"/>
      <c r="Y547" s="266" t="str">
        <f t="shared" si="122"/>
        <v/>
      </c>
      <c r="Z547" s="266"/>
    </row>
    <row r="548" spans="1:26" ht="27" hidden="1" customHeight="1">
      <c r="A548" s="70" t="str">
        <f t="shared" si="118"/>
        <v/>
      </c>
      <c r="B548" s="70" t="str">
        <f t="shared" si="119"/>
        <v/>
      </c>
      <c r="C548" s="204" t="str" cm="1">
        <f t="array" ref="C548">IF(D548="","",
    IF(AND(ISNUMBER(D548), D548=INT(D548)),
        $V$6 &amp; " " &amp; (IFERROR(MAX($Y$12:$Y547), 0) + 1),
        IF(ISNUMBER(SEARCH(".", D548)), "", INDEX($C$12:$C548, MATCH(2, 1/($C$12:$C548 &lt;&gt; ""))))
    )
)</f>
        <v/>
      </c>
      <c r="D548" s="206"/>
      <c r="E548" s="206" t="str">
        <f>IF(AA548 = "", "",
    IF(ISNUMBER(SEARCH("Kiện", C548)),
       " GÓI " &amp; COUNTIF($C$13:C548, "*Kiện*") &amp; "/" &amp; COUNTIF($C$13:$C$1000, "*Kiện*") &amp; " " &amp; AA548,
       AA548)
)</f>
        <v/>
      </c>
      <c r="F548" s="206"/>
      <c r="G548" s="206"/>
      <c r="H548" s="206"/>
      <c r="I548" s="206"/>
      <c r="J548" s="206" t="str">
        <f t="shared" si="121"/>
        <v/>
      </c>
      <c r="K548" s="206" t="str">
        <f t="shared" si="123"/>
        <v/>
      </c>
      <c r="L548" s="206" t="str">
        <f t="shared" si="124"/>
        <v/>
      </c>
      <c r="M548" s="206" t="str">
        <f t="shared" si="125"/>
        <v/>
      </c>
      <c r="N548" s="206" t="str">
        <f t="shared" si="126"/>
        <v/>
      </c>
      <c r="O548" s="206" t="str">
        <f t="shared" si="127"/>
        <v/>
      </c>
      <c r="P548" s="84" t="str">
        <f t="shared" si="128"/>
        <v/>
      </c>
      <c r="Q548" s="205"/>
      <c r="R548" s="70" t="str">
        <f>IF(S548="IN",'BOM_Phan II'!$Y$3,"")</f>
        <v/>
      </c>
      <c r="S548" s="69" t="str">
        <f t="shared" si="120"/>
        <v/>
      </c>
      <c r="T548">
        <f t="shared" si="129"/>
        <v>3</v>
      </c>
      <c r="U548" t="str">
        <f t="shared" si="117"/>
        <v>KIỆN 14</v>
      </c>
      <c r="V548" t="str">
        <f t="shared" si="130"/>
        <v/>
      </c>
      <c r="W548" s="266"/>
      <c r="X548" s="266"/>
      <c r="Y548" s="266" t="str">
        <f t="shared" si="122"/>
        <v/>
      </c>
      <c r="Z548" s="266"/>
    </row>
    <row r="549" spans="1:26" ht="27" hidden="1" customHeight="1">
      <c r="A549" s="70" t="str">
        <f t="shared" si="118"/>
        <v/>
      </c>
      <c r="B549" s="70" t="str">
        <f t="shared" si="119"/>
        <v/>
      </c>
      <c r="C549" s="204" t="str" cm="1">
        <f t="array" ref="C549">IF(D549="","",
    IF(AND(ISNUMBER(D549), D549=INT(D549)),
        $V$6 &amp; " " &amp; (IFERROR(MAX($Y$12:$Y548), 0) + 1),
        IF(ISNUMBER(SEARCH(".", D549)), "", INDEX($C$12:$C549, MATCH(2, 1/($C$12:$C549 &lt;&gt; ""))))
    )
)</f>
        <v/>
      </c>
      <c r="D549" s="206"/>
      <c r="E549" s="206" t="str">
        <f>IF(AA549 = "", "",
    IF(ISNUMBER(SEARCH("Kiện", C549)),
       " GÓI " &amp; COUNTIF($C$13:C549, "*Kiện*") &amp; "/" &amp; COUNTIF($C$13:$C$1000, "*Kiện*") &amp; " " &amp; AA549,
       AA549)
)</f>
        <v/>
      </c>
      <c r="F549" s="206"/>
      <c r="G549" s="206"/>
      <c r="H549" s="206"/>
      <c r="I549" s="206"/>
      <c r="J549" s="206" t="str">
        <f t="shared" si="121"/>
        <v/>
      </c>
      <c r="K549" s="206" t="str">
        <f t="shared" si="123"/>
        <v/>
      </c>
      <c r="L549" s="206" t="str">
        <f t="shared" si="124"/>
        <v/>
      </c>
      <c r="M549" s="206" t="str">
        <f t="shared" si="125"/>
        <v/>
      </c>
      <c r="N549" s="206" t="str">
        <f t="shared" si="126"/>
        <v/>
      </c>
      <c r="O549" s="206" t="str">
        <f t="shared" si="127"/>
        <v/>
      </c>
      <c r="P549" s="84" t="str">
        <f t="shared" si="128"/>
        <v/>
      </c>
      <c r="Q549" s="205"/>
      <c r="R549" s="70" t="str">
        <f>IF(S549="IN",'BOM_Phan II'!$Y$3,"")</f>
        <v/>
      </c>
      <c r="S549" s="69" t="str">
        <f t="shared" si="120"/>
        <v/>
      </c>
      <c r="T549">
        <f t="shared" si="129"/>
        <v>3</v>
      </c>
      <c r="U549" t="str">
        <f t="shared" si="117"/>
        <v>KIỆN 14</v>
      </c>
      <c r="V549" t="str">
        <f t="shared" si="130"/>
        <v/>
      </c>
      <c r="W549" s="266"/>
      <c r="X549" s="266"/>
      <c r="Y549" s="266" t="str">
        <f t="shared" si="122"/>
        <v/>
      </c>
      <c r="Z549" s="266"/>
    </row>
    <row r="550" spans="1:26" ht="27" hidden="1" customHeight="1">
      <c r="A550" s="70" t="str">
        <f t="shared" si="118"/>
        <v/>
      </c>
      <c r="B550" s="70" t="str">
        <f t="shared" si="119"/>
        <v/>
      </c>
      <c r="C550" s="204" t="str" cm="1">
        <f t="array" ref="C550">IF(D550="","",
    IF(AND(ISNUMBER(D550), D550=INT(D550)),
        $V$6 &amp; " " &amp; (IFERROR(MAX($Y$12:$Y549), 0) + 1),
        IF(ISNUMBER(SEARCH(".", D550)), "", INDEX($C$12:$C550, MATCH(2, 1/($C$12:$C550 &lt;&gt; ""))))
    )
)</f>
        <v/>
      </c>
      <c r="D550" s="206"/>
      <c r="E550" s="206" t="str">
        <f>IF(AA550 = "", "",
    IF(ISNUMBER(SEARCH("Kiện", C550)),
       " GÓI " &amp; COUNTIF($C$13:C550, "*Kiện*") &amp; "/" &amp; COUNTIF($C$13:$C$1000, "*Kiện*") &amp; " " &amp; AA550,
       AA550)
)</f>
        <v/>
      </c>
      <c r="F550" s="206"/>
      <c r="G550" s="206"/>
      <c r="H550" s="206"/>
      <c r="I550" s="206"/>
      <c r="J550" s="206" t="str">
        <f t="shared" si="121"/>
        <v/>
      </c>
      <c r="K550" s="206" t="str">
        <f t="shared" si="123"/>
        <v/>
      </c>
      <c r="L550" s="206" t="str">
        <f t="shared" si="124"/>
        <v/>
      </c>
      <c r="M550" s="206" t="str">
        <f t="shared" si="125"/>
        <v/>
      </c>
      <c r="N550" s="206" t="str">
        <f t="shared" si="126"/>
        <v/>
      </c>
      <c r="O550" s="206" t="str">
        <f t="shared" si="127"/>
        <v/>
      </c>
      <c r="P550" s="84" t="str">
        <f t="shared" si="128"/>
        <v/>
      </c>
      <c r="Q550" s="205"/>
      <c r="R550" s="70" t="str">
        <f>IF(S550="IN",'BOM_Phan II'!$Y$3,"")</f>
        <v/>
      </c>
      <c r="S550" s="69" t="str">
        <f t="shared" si="120"/>
        <v/>
      </c>
      <c r="T550">
        <f t="shared" si="129"/>
        <v>3</v>
      </c>
      <c r="U550" t="str">
        <f t="shared" si="117"/>
        <v>KIỆN 14</v>
      </c>
      <c r="V550" t="str">
        <f t="shared" si="130"/>
        <v/>
      </c>
      <c r="W550" s="266"/>
      <c r="X550" s="266"/>
      <c r="Y550" s="266" t="str">
        <f t="shared" si="122"/>
        <v/>
      </c>
      <c r="Z550" s="266"/>
    </row>
    <row r="551" spans="1:26" ht="27" hidden="1" customHeight="1">
      <c r="A551" s="70" t="str">
        <f t="shared" si="118"/>
        <v/>
      </c>
      <c r="B551" s="70" t="str">
        <f t="shared" si="119"/>
        <v/>
      </c>
      <c r="C551" s="204" t="str" cm="1">
        <f t="array" ref="C551">IF(D551="","",
    IF(AND(ISNUMBER(D551), D551=INT(D551)),
        $V$6 &amp; " " &amp; (IFERROR(MAX($Y$12:$Y550), 0) + 1),
        IF(ISNUMBER(SEARCH(".", D551)), "", INDEX($C$12:$C551, MATCH(2, 1/($C$12:$C551 &lt;&gt; ""))))
    )
)</f>
        <v/>
      </c>
      <c r="D551" s="206"/>
      <c r="E551" s="206" t="str">
        <f>IF(AA551 = "", "",
    IF(ISNUMBER(SEARCH("Kiện", C551)),
       " GÓI " &amp; COUNTIF($C$13:C551, "*Kiện*") &amp; "/" &amp; COUNTIF($C$13:$C$1000, "*Kiện*") &amp; " " &amp; AA551,
       AA551)
)</f>
        <v/>
      </c>
      <c r="F551" s="206"/>
      <c r="G551" s="206"/>
      <c r="H551" s="206"/>
      <c r="I551" s="206"/>
      <c r="J551" s="206" t="str">
        <f t="shared" si="121"/>
        <v/>
      </c>
      <c r="K551" s="206" t="str">
        <f t="shared" si="123"/>
        <v/>
      </c>
      <c r="L551" s="206" t="str">
        <f t="shared" si="124"/>
        <v/>
      </c>
      <c r="M551" s="206" t="str">
        <f t="shared" si="125"/>
        <v/>
      </c>
      <c r="N551" s="206" t="str">
        <f t="shared" si="126"/>
        <v/>
      </c>
      <c r="O551" s="206" t="str">
        <f t="shared" si="127"/>
        <v/>
      </c>
      <c r="P551" s="84" t="str">
        <f t="shared" si="128"/>
        <v/>
      </c>
      <c r="Q551" s="205"/>
      <c r="R551" s="70" t="str">
        <f>IF(S551="IN",'BOM_Phan II'!$Y$3,"")</f>
        <v/>
      </c>
      <c r="S551" s="69" t="str">
        <f t="shared" si="120"/>
        <v/>
      </c>
      <c r="T551">
        <f t="shared" si="129"/>
        <v>3</v>
      </c>
      <c r="U551" t="str">
        <f t="shared" si="117"/>
        <v>KIỆN 14</v>
      </c>
      <c r="V551" t="str">
        <f t="shared" si="130"/>
        <v/>
      </c>
      <c r="W551" s="266"/>
      <c r="X551" s="266"/>
      <c r="Y551" s="266" t="str">
        <f t="shared" si="122"/>
        <v/>
      </c>
      <c r="Z551" s="266"/>
    </row>
    <row r="552" spans="1:26" ht="27" hidden="1" customHeight="1">
      <c r="A552" s="70" t="str">
        <f t="shared" si="118"/>
        <v/>
      </c>
      <c r="B552" s="70" t="str">
        <f t="shared" si="119"/>
        <v/>
      </c>
      <c r="C552" s="204" t="str" cm="1">
        <f t="array" ref="C552">IF(D552="","",
    IF(AND(ISNUMBER(D552), D552=INT(D552)),
        $V$6 &amp; " " &amp; (IFERROR(MAX($Y$12:$Y551), 0) + 1),
        IF(ISNUMBER(SEARCH(".", D552)), "", INDEX($C$12:$C552, MATCH(2, 1/($C$12:$C552 &lt;&gt; ""))))
    )
)</f>
        <v/>
      </c>
      <c r="D552" s="206"/>
      <c r="E552" s="206" t="str">
        <f>IF(AA552 = "", "",
    IF(ISNUMBER(SEARCH("Kiện", C552)),
       " GÓI " &amp; COUNTIF($C$13:C552, "*Kiện*") &amp; "/" &amp; COUNTIF($C$13:$C$1000, "*Kiện*") &amp; " " &amp; AA552,
       AA552)
)</f>
        <v/>
      </c>
      <c r="F552" s="206"/>
      <c r="G552" s="206"/>
      <c r="H552" s="206"/>
      <c r="I552" s="206"/>
      <c r="J552" s="206" t="str">
        <f t="shared" si="121"/>
        <v/>
      </c>
      <c r="K552" s="206" t="str">
        <f t="shared" si="123"/>
        <v/>
      </c>
      <c r="L552" s="206" t="str">
        <f t="shared" si="124"/>
        <v/>
      </c>
      <c r="M552" s="206" t="str">
        <f t="shared" si="125"/>
        <v/>
      </c>
      <c r="N552" s="206" t="str">
        <f t="shared" si="126"/>
        <v/>
      </c>
      <c r="O552" s="206" t="str">
        <f t="shared" si="127"/>
        <v/>
      </c>
      <c r="P552" s="84" t="str">
        <f t="shared" si="128"/>
        <v/>
      </c>
      <c r="Q552" s="205"/>
      <c r="R552" s="70" t="str">
        <f>IF(S552="IN",'BOM_Phan II'!$Y$3,"")</f>
        <v/>
      </c>
      <c r="S552" s="69" t="str">
        <f t="shared" si="120"/>
        <v/>
      </c>
      <c r="T552">
        <f t="shared" si="129"/>
        <v>3</v>
      </c>
      <c r="U552" t="str">
        <f t="shared" si="117"/>
        <v>KIỆN 14</v>
      </c>
      <c r="V552" t="str">
        <f t="shared" si="130"/>
        <v/>
      </c>
      <c r="W552" s="266"/>
      <c r="X552" s="266"/>
      <c r="Y552" s="266" t="str">
        <f t="shared" si="122"/>
        <v/>
      </c>
      <c r="Z552" s="266"/>
    </row>
    <row r="553" spans="1:26" ht="27" hidden="1" customHeight="1">
      <c r="A553" s="70" t="str">
        <f t="shared" si="118"/>
        <v/>
      </c>
      <c r="B553" s="70" t="str">
        <f t="shared" si="119"/>
        <v/>
      </c>
      <c r="C553" s="204" t="str" cm="1">
        <f t="array" ref="C553">IF(D553="","",
    IF(AND(ISNUMBER(D553), D553=INT(D553)),
        $V$6 &amp; " " &amp; (IFERROR(MAX($Y$12:$Y552), 0) + 1),
        IF(ISNUMBER(SEARCH(".", D553)), "", INDEX($C$12:$C553, MATCH(2, 1/($C$12:$C553 &lt;&gt; ""))))
    )
)</f>
        <v/>
      </c>
      <c r="D553" s="206"/>
      <c r="E553" s="206" t="str">
        <f>IF(AA553 = "", "",
    IF(ISNUMBER(SEARCH("Kiện", C553)),
       " GÓI " &amp; COUNTIF($C$13:C553, "*Kiện*") &amp; "/" &amp; COUNTIF($C$13:$C$1000, "*Kiện*") &amp; " " &amp; AA553,
       AA553)
)</f>
        <v/>
      </c>
      <c r="F553" s="206"/>
      <c r="G553" s="206"/>
      <c r="H553" s="206"/>
      <c r="I553" s="206"/>
      <c r="J553" s="206" t="str">
        <f t="shared" si="121"/>
        <v/>
      </c>
      <c r="K553" s="206" t="str">
        <f t="shared" si="123"/>
        <v/>
      </c>
      <c r="L553" s="206" t="str">
        <f t="shared" si="124"/>
        <v/>
      </c>
      <c r="M553" s="206" t="str">
        <f t="shared" si="125"/>
        <v/>
      </c>
      <c r="N553" s="206" t="str">
        <f t="shared" si="126"/>
        <v/>
      </c>
      <c r="O553" s="206" t="str">
        <f t="shared" si="127"/>
        <v/>
      </c>
      <c r="P553" s="84" t="str">
        <f t="shared" si="128"/>
        <v/>
      </c>
      <c r="Q553" s="205"/>
      <c r="R553" s="70" t="str">
        <f>IF(S553="IN",'BOM_Phan II'!$Y$3,"")</f>
        <v/>
      </c>
      <c r="S553" s="69" t="str">
        <f t="shared" si="120"/>
        <v/>
      </c>
      <c r="T553">
        <f t="shared" si="129"/>
        <v>3</v>
      </c>
      <c r="U553" t="str">
        <f t="shared" si="117"/>
        <v>KIỆN 14</v>
      </c>
      <c r="V553" t="str">
        <f t="shared" si="130"/>
        <v/>
      </c>
      <c r="W553" s="266"/>
      <c r="X553" s="266"/>
      <c r="Y553" s="266" t="str">
        <f t="shared" si="122"/>
        <v/>
      </c>
      <c r="Z553" s="266"/>
    </row>
    <row r="554" spans="1:26" ht="27" hidden="1" customHeight="1">
      <c r="A554" s="70" t="str">
        <f t="shared" si="118"/>
        <v/>
      </c>
      <c r="B554" s="70" t="str">
        <f t="shared" si="119"/>
        <v/>
      </c>
      <c r="C554" s="204" t="str" cm="1">
        <f t="array" ref="C554">IF(D554="","",
    IF(AND(ISNUMBER(D554), D554=INT(D554)),
        $V$6 &amp; " " &amp; (IFERROR(MAX($Y$12:$Y553), 0) + 1),
        IF(ISNUMBER(SEARCH(".", D554)), "", INDEX($C$12:$C554, MATCH(2, 1/($C$12:$C554 &lt;&gt; ""))))
    )
)</f>
        <v/>
      </c>
      <c r="D554" s="206"/>
      <c r="E554" s="206" t="str">
        <f>IF(AA554 = "", "",
    IF(ISNUMBER(SEARCH("Kiện", C554)),
       " GÓI " &amp; COUNTIF($C$13:C554, "*Kiện*") &amp; "/" &amp; COUNTIF($C$13:$C$1000, "*Kiện*") &amp; " " &amp; AA554,
       AA554)
)</f>
        <v/>
      </c>
      <c r="F554" s="206"/>
      <c r="G554" s="206"/>
      <c r="H554" s="206"/>
      <c r="I554" s="206"/>
      <c r="J554" s="206" t="str">
        <f t="shared" si="121"/>
        <v/>
      </c>
      <c r="K554" s="206" t="str">
        <f t="shared" si="123"/>
        <v/>
      </c>
      <c r="L554" s="206" t="str">
        <f t="shared" si="124"/>
        <v/>
      </c>
      <c r="M554" s="206" t="str">
        <f t="shared" si="125"/>
        <v/>
      </c>
      <c r="N554" s="206" t="str">
        <f t="shared" si="126"/>
        <v/>
      </c>
      <c r="O554" s="206" t="str">
        <f t="shared" si="127"/>
        <v/>
      </c>
      <c r="P554" s="84" t="str">
        <f t="shared" si="128"/>
        <v/>
      </c>
      <c r="Q554" s="205"/>
      <c r="R554" s="70" t="str">
        <f>IF(S554="IN",'BOM_Phan II'!$Y$3,"")</f>
        <v/>
      </c>
      <c r="S554" s="69" t="str">
        <f t="shared" si="120"/>
        <v/>
      </c>
      <c r="T554">
        <f t="shared" si="129"/>
        <v>3</v>
      </c>
      <c r="U554" t="str">
        <f t="shared" ref="U554:U591" si="131">IF(C554="",U553,C554)</f>
        <v>KIỆN 14</v>
      </c>
      <c r="V554" t="str">
        <f t="shared" si="130"/>
        <v/>
      </c>
      <c r="W554" s="266"/>
      <c r="X554" s="266"/>
      <c r="Y554" s="266" t="str">
        <f t="shared" si="122"/>
        <v/>
      </c>
      <c r="Z554" s="266"/>
    </row>
    <row r="555" spans="1:26" ht="27" hidden="1" customHeight="1">
      <c r="A555" s="70" t="str">
        <f t="shared" si="118"/>
        <v/>
      </c>
      <c r="B555" s="70" t="str">
        <f t="shared" si="119"/>
        <v/>
      </c>
      <c r="C555" s="204" t="str" cm="1">
        <f t="array" ref="C555">IF(D555="","",
    IF(AND(ISNUMBER(D555), D555=INT(D555)),
        $V$6 &amp; " " &amp; (IFERROR(MAX($Y$12:$Y554), 0) + 1),
        IF(ISNUMBER(SEARCH(".", D555)), "", INDEX($C$12:$C555, MATCH(2, 1/($C$12:$C555 &lt;&gt; ""))))
    )
)</f>
        <v/>
      </c>
      <c r="D555" s="206"/>
      <c r="E555" s="206" t="str">
        <f>IF(AA555 = "", "",
    IF(ISNUMBER(SEARCH("Kiện", C555)),
       " GÓI " &amp; COUNTIF($C$13:C555, "*Kiện*") &amp; "/" &amp; COUNTIF($C$13:$C$1000, "*Kiện*") &amp; " " &amp; AA555,
       AA555)
)</f>
        <v/>
      </c>
      <c r="F555" s="206"/>
      <c r="G555" s="206"/>
      <c r="H555" s="206"/>
      <c r="I555" s="206"/>
      <c r="J555" s="206" t="str">
        <f t="shared" si="121"/>
        <v/>
      </c>
      <c r="K555" s="206" t="str">
        <f t="shared" si="123"/>
        <v/>
      </c>
      <c r="L555" s="206" t="str">
        <f t="shared" si="124"/>
        <v/>
      </c>
      <c r="M555" s="206" t="str">
        <f t="shared" si="125"/>
        <v/>
      </c>
      <c r="N555" s="206" t="str">
        <f t="shared" si="126"/>
        <v/>
      </c>
      <c r="O555" s="206" t="str">
        <f t="shared" si="127"/>
        <v/>
      </c>
      <c r="P555" s="84" t="str">
        <f t="shared" si="128"/>
        <v/>
      </c>
      <c r="Q555" s="205"/>
      <c r="R555" s="70" t="str">
        <f>IF(S555="IN",'BOM_Phan II'!$Y$3,"")</f>
        <v/>
      </c>
      <c r="S555" s="69" t="str">
        <f t="shared" si="120"/>
        <v/>
      </c>
      <c r="T555">
        <f t="shared" si="129"/>
        <v>3</v>
      </c>
      <c r="U555" t="str">
        <f t="shared" si="131"/>
        <v>KIỆN 14</v>
      </c>
      <c r="V555" t="str">
        <f t="shared" si="130"/>
        <v/>
      </c>
      <c r="W555" s="266"/>
      <c r="X555" s="266"/>
      <c r="Y555" s="266" t="str">
        <f t="shared" si="122"/>
        <v/>
      </c>
      <c r="Z555" s="266"/>
    </row>
    <row r="556" spans="1:26" ht="27" hidden="1" customHeight="1">
      <c r="A556" s="70" t="str">
        <f t="shared" si="118"/>
        <v/>
      </c>
      <c r="B556" s="70" t="str">
        <f t="shared" si="119"/>
        <v/>
      </c>
      <c r="C556" s="204" t="str" cm="1">
        <f t="array" ref="C556">IF(D556="","",
    IF(AND(ISNUMBER(D556), D556=INT(D556)),
        $V$6 &amp; " " &amp; (IFERROR(MAX($Y$12:$Y555), 0) + 1),
        IF(ISNUMBER(SEARCH(".", D556)), "", INDEX($C$12:$C556, MATCH(2, 1/($C$12:$C556 &lt;&gt; ""))))
    )
)</f>
        <v/>
      </c>
      <c r="D556" s="206"/>
      <c r="E556" s="206" t="str">
        <f>IF(AA556 = "", "",
    IF(ISNUMBER(SEARCH("Kiện", C556)),
       " GÓI " &amp; COUNTIF($C$13:C556, "*Kiện*") &amp; "/" &amp; COUNTIF($C$13:$C$1000, "*Kiện*") &amp; " " &amp; AA556,
       AA556)
)</f>
        <v/>
      </c>
      <c r="F556" s="206"/>
      <c r="G556" s="206"/>
      <c r="H556" s="206"/>
      <c r="I556" s="206"/>
      <c r="J556" s="206" t="str">
        <f t="shared" si="121"/>
        <v/>
      </c>
      <c r="K556" s="206" t="str">
        <f t="shared" si="123"/>
        <v/>
      </c>
      <c r="L556" s="206" t="str">
        <f t="shared" si="124"/>
        <v/>
      </c>
      <c r="M556" s="206" t="str">
        <f t="shared" si="125"/>
        <v/>
      </c>
      <c r="N556" s="206" t="str">
        <f t="shared" si="126"/>
        <v/>
      </c>
      <c r="O556" s="206" t="str">
        <f t="shared" si="127"/>
        <v/>
      </c>
      <c r="P556" s="84" t="str">
        <f t="shared" si="128"/>
        <v/>
      </c>
      <c r="Q556" s="205"/>
      <c r="R556" s="70" t="str">
        <f>IF(S556="IN",'BOM_Phan II'!$Y$3,"")</f>
        <v/>
      </c>
      <c r="S556" s="69" t="str">
        <f t="shared" si="120"/>
        <v/>
      </c>
      <c r="T556">
        <f t="shared" si="129"/>
        <v>3</v>
      </c>
      <c r="U556" t="str">
        <f t="shared" si="131"/>
        <v>KIỆN 14</v>
      </c>
      <c r="V556" t="str">
        <f t="shared" si="130"/>
        <v/>
      </c>
      <c r="W556" s="266"/>
      <c r="X556" s="266"/>
      <c r="Y556" s="266" t="str">
        <f t="shared" si="122"/>
        <v/>
      </c>
      <c r="Z556" s="266"/>
    </row>
    <row r="557" spans="1:26" ht="27" hidden="1" customHeight="1">
      <c r="A557" s="70" t="str">
        <f t="shared" si="118"/>
        <v/>
      </c>
      <c r="B557" s="70" t="str">
        <f t="shared" si="119"/>
        <v/>
      </c>
      <c r="C557" s="204" t="str" cm="1">
        <f t="array" ref="C557">IF(D557="","",
    IF(AND(ISNUMBER(D557), D557=INT(D557)),
        $V$6 &amp; " " &amp; (IFERROR(MAX($Y$12:$Y556), 0) + 1),
        IF(ISNUMBER(SEARCH(".", D557)), "", INDEX($C$12:$C557, MATCH(2, 1/($C$12:$C557 &lt;&gt; ""))))
    )
)</f>
        <v/>
      </c>
      <c r="D557" s="206"/>
      <c r="E557" s="206" t="str">
        <f>IF(AA557 = "", "",
    IF(ISNUMBER(SEARCH("Kiện", C557)),
       " GÓI " &amp; COUNTIF($C$13:C557, "*Kiện*") &amp; "/" &amp; COUNTIF($C$13:$C$1000, "*Kiện*") &amp; " " &amp; AA557,
       AA557)
)</f>
        <v/>
      </c>
      <c r="F557" s="206"/>
      <c r="G557" s="206"/>
      <c r="H557" s="206"/>
      <c r="I557" s="206"/>
      <c r="J557" s="206" t="str">
        <f t="shared" si="121"/>
        <v/>
      </c>
      <c r="K557" s="206" t="str">
        <f t="shared" si="123"/>
        <v/>
      </c>
      <c r="L557" s="206" t="str">
        <f t="shared" si="124"/>
        <v/>
      </c>
      <c r="M557" s="206" t="str">
        <f t="shared" si="125"/>
        <v/>
      </c>
      <c r="N557" s="206" t="str">
        <f t="shared" si="126"/>
        <v/>
      </c>
      <c r="O557" s="206" t="str">
        <f t="shared" si="127"/>
        <v/>
      </c>
      <c r="P557" s="84" t="str">
        <f t="shared" si="128"/>
        <v/>
      </c>
      <c r="Q557" s="205"/>
      <c r="R557" s="70" t="str">
        <f>IF(S557="IN",'BOM_Phan II'!$Y$3,"")</f>
        <v/>
      </c>
      <c r="S557" s="69" t="str">
        <f t="shared" si="120"/>
        <v/>
      </c>
      <c r="T557">
        <f t="shared" si="129"/>
        <v>3</v>
      </c>
      <c r="U557" t="str">
        <f t="shared" si="131"/>
        <v>KIỆN 14</v>
      </c>
      <c r="V557" t="str">
        <f t="shared" si="130"/>
        <v/>
      </c>
      <c r="W557" s="266"/>
      <c r="X557" s="266"/>
      <c r="Y557" s="266" t="str">
        <f t="shared" si="122"/>
        <v/>
      </c>
      <c r="Z557" s="266"/>
    </row>
    <row r="558" spans="1:26" ht="27" hidden="1" customHeight="1">
      <c r="A558" s="70" t="str">
        <f t="shared" si="118"/>
        <v/>
      </c>
      <c r="B558" s="70" t="str">
        <f t="shared" si="119"/>
        <v/>
      </c>
      <c r="C558" s="204" t="str" cm="1">
        <f t="array" ref="C558">IF(D558="","",
    IF(AND(ISNUMBER(D558), D558=INT(D558)),
        $V$6 &amp; " " &amp; (IFERROR(MAX($Y$12:$Y557), 0) + 1),
        IF(ISNUMBER(SEARCH(".", D558)), "", INDEX($C$12:$C558, MATCH(2, 1/($C$12:$C558 &lt;&gt; ""))))
    )
)</f>
        <v/>
      </c>
      <c r="D558" s="206"/>
      <c r="E558" s="206" t="str">
        <f>IF(AA558 = "", "",
    IF(ISNUMBER(SEARCH("Kiện", C558)),
       " GÓI " &amp; COUNTIF($C$13:C558, "*Kiện*") &amp; "/" &amp; COUNTIF($C$13:$C$1000, "*Kiện*") &amp; " " &amp; AA558,
       AA558)
)</f>
        <v/>
      </c>
      <c r="F558" s="206"/>
      <c r="G558" s="206"/>
      <c r="H558" s="206"/>
      <c r="I558" s="206"/>
      <c r="J558" s="206" t="str">
        <f t="shared" si="121"/>
        <v/>
      </c>
      <c r="K558" s="206" t="str">
        <f t="shared" si="123"/>
        <v/>
      </c>
      <c r="L558" s="206" t="str">
        <f t="shared" si="124"/>
        <v/>
      </c>
      <c r="M558" s="206" t="str">
        <f t="shared" si="125"/>
        <v/>
      </c>
      <c r="N558" s="206" t="str">
        <f t="shared" si="126"/>
        <v/>
      </c>
      <c r="O558" s="206" t="str">
        <f t="shared" si="127"/>
        <v/>
      </c>
      <c r="P558" s="84" t="str">
        <f t="shared" si="128"/>
        <v/>
      </c>
      <c r="Q558" s="205"/>
      <c r="R558" s="70" t="str">
        <f>IF(S558="IN",'BOM_Phan II'!$Y$3,"")</f>
        <v/>
      </c>
      <c r="S558" s="69" t="str">
        <f t="shared" si="120"/>
        <v/>
      </c>
      <c r="T558">
        <f t="shared" si="129"/>
        <v>3</v>
      </c>
      <c r="U558" t="str">
        <f t="shared" si="131"/>
        <v>KIỆN 14</v>
      </c>
      <c r="V558" t="str">
        <f t="shared" si="130"/>
        <v/>
      </c>
      <c r="W558" s="266"/>
      <c r="X558" s="266"/>
      <c r="Y558" s="266" t="str">
        <f t="shared" si="122"/>
        <v/>
      </c>
      <c r="Z558" s="266"/>
    </row>
    <row r="559" spans="1:26" ht="27" hidden="1" customHeight="1">
      <c r="A559" s="70" t="str">
        <f t="shared" si="118"/>
        <v/>
      </c>
      <c r="B559" s="70" t="str">
        <f t="shared" si="119"/>
        <v/>
      </c>
      <c r="C559" s="204" t="str" cm="1">
        <f t="array" ref="C559">IF(D559="","",
    IF(AND(ISNUMBER(D559), D559=INT(D559)),
        $V$6 &amp; " " &amp; (IFERROR(MAX($Y$12:$Y558), 0) + 1),
        IF(ISNUMBER(SEARCH(".", D559)), "", INDEX($C$12:$C559, MATCH(2, 1/($C$12:$C559 &lt;&gt; ""))))
    )
)</f>
        <v/>
      </c>
      <c r="D559" s="206"/>
      <c r="E559" s="206" t="str">
        <f>IF(AA559 = "", "",
    IF(ISNUMBER(SEARCH("Kiện", C559)),
       " GÓI " &amp; COUNTIF($C$13:C559, "*Kiện*") &amp; "/" &amp; COUNTIF($C$13:$C$1000, "*Kiện*") &amp; " " &amp; AA559,
       AA559)
)</f>
        <v/>
      </c>
      <c r="F559" s="206"/>
      <c r="G559" s="206"/>
      <c r="H559" s="206"/>
      <c r="I559" s="206"/>
      <c r="J559" s="206" t="str">
        <f t="shared" si="121"/>
        <v/>
      </c>
      <c r="K559" s="206" t="str">
        <f t="shared" si="123"/>
        <v/>
      </c>
      <c r="L559" s="206" t="str">
        <f t="shared" si="124"/>
        <v/>
      </c>
      <c r="M559" s="206" t="str">
        <f t="shared" si="125"/>
        <v/>
      </c>
      <c r="N559" s="206" t="str">
        <f t="shared" si="126"/>
        <v/>
      </c>
      <c r="O559" s="206" t="str">
        <f t="shared" si="127"/>
        <v/>
      </c>
      <c r="P559" s="84" t="str">
        <f t="shared" si="128"/>
        <v/>
      </c>
      <c r="Q559" s="205"/>
      <c r="R559" s="70" t="str">
        <f>IF(S559="IN",'BOM_Phan II'!$Y$3,"")</f>
        <v/>
      </c>
      <c r="S559" s="69" t="str">
        <f t="shared" si="120"/>
        <v/>
      </c>
      <c r="T559">
        <f t="shared" si="129"/>
        <v>3</v>
      </c>
      <c r="U559" t="str">
        <f t="shared" si="131"/>
        <v>KIỆN 14</v>
      </c>
      <c r="V559" t="str">
        <f t="shared" si="130"/>
        <v/>
      </c>
      <c r="W559" s="266"/>
      <c r="X559" s="266"/>
      <c r="Y559" s="266" t="str">
        <f t="shared" si="122"/>
        <v/>
      </c>
      <c r="Z559" s="266"/>
    </row>
    <row r="560" spans="1:26" ht="27" hidden="1" customHeight="1">
      <c r="A560" s="70" t="str">
        <f t="shared" si="118"/>
        <v/>
      </c>
      <c r="B560" s="70" t="str">
        <f t="shared" si="119"/>
        <v/>
      </c>
      <c r="C560" s="204" t="str" cm="1">
        <f t="array" ref="C560">IF(D560="","",
    IF(AND(ISNUMBER(D560), D560=INT(D560)),
        $V$6 &amp; " " &amp; (IFERROR(MAX($Y$12:$Y559), 0) + 1),
        IF(ISNUMBER(SEARCH(".", D560)), "", INDEX($C$12:$C560, MATCH(2, 1/($C$12:$C560 &lt;&gt; ""))))
    )
)</f>
        <v/>
      </c>
      <c r="D560" s="206"/>
      <c r="E560" s="206" t="str">
        <f>IF(AA560 = "", "",
    IF(ISNUMBER(SEARCH("Kiện", C560)),
       " GÓI " &amp; COUNTIF($C$13:C560, "*Kiện*") &amp; "/" &amp; COUNTIF($C$13:$C$1000, "*Kiện*") &amp; " " &amp; AA560,
       AA560)
)</f>
        <v/>
      </c>
      <c r="F560" s="206"/>
      <c r="G560" s="206"/>
      <c r="H560" s="206"/>
      <c r="I560" s="206"/>
      <c r="J560" s="206" t="str">
        <f t="shared" si="121"/>
        <v/>
      </c>
      <c r="K560" s="206" t="str">
        <f t="shared" si="123"/>
        <v/>
      </c>
      <c r="L560" s="206" t="str">
        <f t="shared" si="124"/>
        <v/>
      </c>
      <c r="M560" s="206" t="str">
        <f t="shared" si="125"/>
        <v/>
      </c>
      <c r="N560" s="206" t="str">
        <f t="shared" si="126"/>
        <v/>
      </c>
      <c r="O560" s="206" t="str">
        <f t="shared" si="127"/>
        <v/>
      </c>
      <c r="P560" s="84" t="str">
        <f t="shared" si="128"/>
        <v/>
      </c>
      <c r="Q560" s="205"/>
      <c r="R560" s="70" t="str">
        <f>IF(S560="IN",'BOM_Phan II'!$Y$3,"")</f>
        <v/>
      </c>
      <c r="S560" s="69" t="str">
        <f t="shared" si="120"/>
        <v/>
      </c>
      <c r="T560">
        <f t="shared" si="129"/>
        <v>3</v>
      </c>
      <c r="U560" t="str">
        <f t="shared" si="131"/>
        <v>KIỆN 14</v>
      </c>
      <c r="V560" t="str">
        <f t="shared" si="130"/>
        <v/>
      </c>
      <c r="W560" s="266"/>
      <c r="X560" s="266"/>
      <c r="Y560" s="266" t="str">
        <f t="shared" si="122"/>
        <v/>
      </c>
      <c r="Z560" s="266"/>
    </row>
    <row r="561" spans="1:26" ht="27" hidden="1" customHeight="1">
      <c r="A561" s="70" t="str">
        <f t="shared" si="118"/>
        <v/>
      </c>
      <c r="B561" s="70" t="str">
        <f t="shared" si="119"/>
        <v/>
      </c>
      <c r="C561" s="204" t="str" cm="1">
        <f t="array" ref="C561">IF(D561="","",
    IF(AND(ISNUMBER(D561), D561=INT(D561)),
        $V$6 &amp; " " &amp; (IFERROR(MAX($Y$12:$Y560), 0) + 1),
        IF(ISNUMBER(SEARCH(".", D561)), "", INDEX($C$12:$C561, MATCH(2, 1/($C$12:$C561 &lt;&gt; ""))))
    )
)</f>
        <v/>
      </c>
      <c r="D561" s="206"/>
      <c r="E561" s="206" t="str">
        <f>IF(AA561 = "", "",
    IF(ISNUMBER(SEARCH("Kiện", C561)),
       " GÓI " &amp; COUNTIF($C$13:C561, "*Kiện*") &amp; "/" &amp; COUNTIF($C$13:$C$1000, "*Kiện*") &amp; " " &amp; AA561,
       AA561)
)</f>
        <v/>
      </c>
      <c r="F561" s="206"/>
      <c r="G561" s="206"/>
      <c r="H561" s="206"/>
      <c r="I561" s="206"/>
      <c r="J561" s="206" t="str">
        <f t="shared" si="121"/>
        <v/>
      </c>
      <c r="K561" s="206" t="str">
        <f t="shared" si="123"/>
        <v/>
      </c>
      <c r="L561" s="206" t="str">
        <f t="shared" si="124"/>
        <v/>
      </c>
      <c r="M561" s="206" t="str">
        <f t="shared" si="125"/>
        <v/>
      </c>
      <c r="N561" s="206" t="str">
        <f t="shared" si="126"/>
        <v/>
      </c>
      <c r="O561" s="206" t="str">
        <f t="shared" si="127"/>
        <v/>
      </c>
      <c r="P561" s="84" t="str">
        <f t="shared" si="128"/>
        <v/>
      </c>
      <c r="Q561" s="205"/>
      <c r="R561" s="70" t="str">
        <f>IF(S561="IN",'BOM_Phan II'!$Y$3,"")</f>
        <v/>
      </c>
      <c r="S561" s="69" t="str">
        <f t="shared" si="120"/>
        <v/>
      </c>
      <c r="T561">
        <f t="shared" si="129"/>
        <v>3</v>
      </c>
      <c r="U561" t="str">
        <f t="shared" si="131"/>
        <v>KIỆN 14</v>
      </c>
      <c r="V561" t="str">
        <f t="shared" si="130"/>
        <v/>
      </c>
      <c r="W561" s="266"/>
      <c r="X561" s="266"/>
      <c r="Y561" s="266" t="str">
        <f t="shared" si="122"/>
        <v/>
      </c>
      <c r="Z561" s="266"/>
    </row>
    <row r="562" spans="1:26" ht="27" hidden="1" customHeight="1">
      <c r="A562" s="70" t="str">
        <f t="shared" si="118"/>
        <v/>
      </c>
      <c r="B562" s="70" t="str">
        <f t="shared" si="119"/>
        <v/>
      </c>
      <c r="C562" s="204" t="str" cm="1">
        <f t="array" ref="C562">IF(D562="","",
    IF(AND(ISNUMBER(D562), D562=INT(D562)),
        $V$6 &amp; " " &amp; (IFERROR(MAX($Y$12:$Y561), 0) + 1),
        IF(ISNUMBER(SEARCH(".", D562)), "", INDEX($C$12:$C562, MATCH(2, 1/($C$12:$C562 &lt;&gt; ""))))
    )
)</f>
        <v/>
      </c>
      <c r="D562" s="206"/>
      <c r="E562" s="206" t="str">
        <f>IF(AA562 = "", "",
    IF(ISNUMBER(SEARCH("Kiện", C562)),
       " GÓI " &amp; COUNTIF($C$13:C562, "*Kiện*") &amp; "/" &amp; COUNTIF($C$13:$C$1000, "*Kiện*") &amp; " " &amp; AA562,
       AA562)
)</f>
        <v/>
      </c>
      <c r="F562" s="206"/>
      <c r="G562" s="206"/>
      <c r="H562" s="206"/>
      <c r="I562" s="206"/>
      <c r="J562" s="206" t="str">
        <f t="shared" si="121"/>
        <v/>
      </c>
      <c r="K562" s="206" t="str">
        <f t="shared" si="123"/>
        <v/>
      </c>
      <c r="L562" s="206" t="str">
        <f t="shared" si="124"/>
        <v/>
      </c>
      <c r="M562" s="206" t="str">
        <f t="shared" si="125"/>
        <v/>
      </c>
      <c r="N562" s="206" t="str">
        <f t="shared" si="126"/>
        <v/>
      </c>
      <c r="O562" s="206" t="str">
        <f t="shared" si="127"/>
        <v/>
      </c>
      <c r="P562" s="84" t="str">
        <f t="shared" si="128"/>
        <v/>
      </c>
      <c r="Q562" s="205"/>
      <c r="R562" s="70" t="str">
        <f>IF(S562="IN",'BOM_Phan II'!$Y$3,"")</f>
        <v/>
      </c>
      <c r="S562" s="69" t="str">
        <f t="shared" si="120"/>
        <v/>
      </c>
      <c r="T562">
        <f t="shared" si="129"/>
        <v>3</v>
      </c>
      <c r="U562" t="str">
        <f t="shared" si="131"/>
        <v>KIỆN 14</v>
      </c>
      <c r="V562" t="str">
        <f t="shared" si="130"/>
        <v/>
      </c>
      <c r="W562" s="266"/>
      <c r="X562" s="266"/>
      <c r="Y562" s="266" t="str">
        <f t="shared" si="122"/>
        <v/>
      </c>
      <c r="Z562" s="266"/>
    </row>
    <row r="563" spans="1:26" ht="27" hidden="1" customHeight="1">
      <c r="A563" s="70" t="str">
        <f t="shared" si="118"/>
        <v/>
      </c>
      <c r="B563" s="70" t="str">
        <f t="shared" si="119"/>
        <v/>
      </c>
      <c r="C563" s="204" t="str" cm="1">
        <f t="array" ref="C563">IF(D563="","",
    IF(AND(ISNUMBER(D563), D563=INT(D563)),
        $V$6 &amp; " " &amp; (IFERROR(MAX($Y$12:$Y562), 0) + 1),
        IF(ISNUMBER(SEARCH(".", D563)), "", INDEX($C$12:$C563, MATCH(2, 1/($C$12:$C563 &lt;&gt; ""))))
    )
)</f>
        <v/>
      </c>
      <c r="D563" s="206"/>
      <c r="E563" s="206" t="str">
        <f>IF(AA563 = "", "",
    IF(ISNUMBER(SEARCH("Kiện", C563)),
       " GÓI " &amp; COUNTIF($C$13:C563, "*Kiện*") &amp; "/" &amp; COUNTIF($C$13:$C$1000, "*Kiện*") &amp; " " &amp; AA563,
       AA563)
)</f>
        <v/>
      </c>
      <c r="F563" s="206"/>
      <c r="G563" s="206"/>
      <c r="H563" s="206"/>
      <c r="I563" s="206"/>
      <c r="J563" s="206" t="str">
        <f t="shared" si="121"/>
        <v/>
      </c>
      <c r="K563" s="206" t="str">
        <f t="shared" si="123"/>
        <v/>
      </c>
      <c r="L563" s="206" t="str">
        <f t="shared" si="124"/>
        <v/>
      </c>
      <c r="M563" s="206" t="str">
        <f t="shared" si="125"/>
        <v/>
      </c>
      <c r="N563" s="206" t="str">
        <f t="shared" si="126"/>
        <v/>
      </c>
      <c r="O563" s="206" t="str">
        <f t="shared" si="127"/>
        <v/>
      </c>
      <c r="P563" s="84" t="str">
        <f t="shared" si="128"/>
        <v/>
      </c>
      <c r="Q563" s="205"/>
      <c r="R563" s="70" t="str">
        <f>IF(S563="IN",'BOM_Phan II'!$Y$3,"")</f>
        <v/>
      </c>
      <c r="S563" s="69" t="str">
        <f t="shared" si="120"/>
        <v/>
      </c>
      <c r="T563">
        <f t="shared" si="129"/>
        <v>3</v>
      </c>
      <c r="U563" t="str">
        <f t="shared" si="131"/>
        <v>KIỆN 14</v>
      </c>
      <c r="V563" t="str">
        <f t="shared" si="130"/>
        <v/>
      </c>
      <c r="W563" s="266"/>
      <c r="X563" s="266"/>
      <c r="Y563" s="266" t="str">
        <f t="shared" si="122"/>
        <v/>
      </c>
      <c r="Z563" s="266"/>
    </row>
    <row r="564" spans="1:26" ht="27" hidden="1" customHeight="1">
      <c r="A564" s="70" t="str">
        <f t="shared" si="118"/>
        <v/>
      </c>
      <c r="B564" s="70" t="str">
        <f t="shared" si="119"/>
        <v/>
      </c>
      <c r="C564" s="204" t="str" cm="1">
        <f t="array" ref="C564">IF(D564="","",
    IF(AND(ISNUMBER(D564), D564=INT(D564)),
        $V$6 &amp; " " &amp; (IFERROR(MAX($Y$12:$Y563), 0) + 1),
        IF(ISNUMBER(SEARCH(".", D564)), "", INDEX($C$12:$C564, MATCH(2, 1/($C$12:$C564 &lt;&gt; ""))))
    )
)</f>
        <v/>
      </c>
      <c r="D564" s="206"/>
      <c r="E564" s="206" t="str">
        <f>IF(AA564 = "", "",
    IF(ISNUMBER(SEARCH("Kiện", C564)),
       " GÓI " &amp; COUNTIF($C$13:C564, "*Kiện*") &amp; "/" &amp; COUNTIF($C$13:$C$1000, "*Kiện*") &amp; " " &amp; AA564,
       AA564)
)</f>
        <v/>
      </c>
      <c r="F564" s="206"/>
      <c r="G564" s="206"/>
      <c r="H564" s="206"/>
      <c r="I564" s="206"/>
      <c r="J564" s="206" t="str">
        <f t="shared" si="121"/>
        <v/>
      </c>
      <c r="K564" s="206" t="str">
        <f t="shared" si="123"/>
        <v/>
      </c>
      <c r="L564" s="206" t="str">
        <f t="shared" si="124"/>
        <v/>
      </c>
      <c r="M564" s="206" t="str">
        <f t="shared" si="125"/>
        <v/>
      </c>
      <c r="N564" s="206" t="str">
        <f t="shared" si="126"/>
        <v/>
      </c>
      <c r="O564" s="206" t="str">
        <f t="shared" si="127"/>
        <v/>
      </c>
      <c r="P564" s="84" t="str">
        <f t="shared" si="128"/>
        <v/>
      </c>
      <c r="Q564" s="205"/>
      <c r="R564" s="70" t="str">
        <f>IF(S564="IN",'BOM_Phan II'!$Y$3,"")</f>
        <v/>
      </c>
      <c r="S564" s="69" t="str">
        <f t="shared" si="120"/>
        <v/>
      </c>
      <c r="T564">
        <f t="shared" si="129"/>
        <v>3</v>
      </c>
      <c r="U564" t="str">
        <f t="shared" si="131"/>
        <v>KIỆN 14</v>
      </c>
      <c r="V564" t="str">
        <f t="shared" si="130"/>
        <v/>
      </c>
      <c r="W564" s="266"/>
      <c r="X564" s="266"/>
      <c r="Y564" s="266" t="str">
        <f t="shared" si="122"/>
        <v/>
      </c>
      <c r="Z564" s="266"/>
    </row>
    <row r="565" spans="1:26" ht="27" hidden="1" customHeight="1">
      <c r="A565" s="70" t="str">
        <f t="shared" si="118"/>
        <v/>
      </c>
      <c r="B565" s="70" t="str">
        <f t="shared" si="119"/>
        <v/>
      </c>
      <c r="C565" s="204" t="str" cm="1">
        <f t="array" ref="C565">IF(D565="","",
    IF(AND(ISNUMBER(D565), D565=INT(D565)),
        $V$6 &amp; " " &amp; (IFERROR(MAX($Y$12:$Y564), 0) + 1),
        IF(ISNUMBER(SEARCH(".", D565)), "", INDEX($C$12:$C565, MATCH(2, 1/($C$12:$C565 &lt;&gt; ""))))
    )
)</f>
        <v/>
      </c>
      <c r="D565" s="206"/>
      <c r="E565" s="206" t="str">
        <f>IF(AA565 = "", "",
    IF(ISNUMBER(SEARCH("Kiện", C565)),
       " GÓI " &amp; COUNTIF($C$13:C565, "*Kiện*") &amp; "/" &amp; COUNTIF($C$13:$C$1000, "*Kiện*") &amp; " " &amp; AA565,
       AA565)
)</f>
        <v/>
      </c>
      <c r="F565" s="206"/>
      <c r="G565" s="206"/>
      <c r="H565" s="206"/>
      <c r="I565" s="206"/>
      <c r="J565" s="206" t="str">
        <f t="shared" si="121"/>
        <v/>
      </c>
      <c r="K565" s="206" t="str">
        <f t="shared" si="123"/>
        <v/>
      </c>
      <c r="L565" s="206" t="str">
        <f t="shared" si="124"/>
        <v/>
      </c>
      <c r="M565" s="206" t="str">
        <f t="shared" si="125"/>
        <v/>
      </c>
      <c r="N565" s="206" t="str">
        <f t="shared" si="126"/>
        <v/>
      </c>
      <c r="O565" s="206" t="str">
        <f t="shared" si="127"/>
        <v/>
      </c>
      <c r="P565" s="84" t="str">
        <f t="shared" si="128"/>
        <v/>
      </c>
      <c r="Q565" s="205"/>
      <c r="R565" s="70" t="str">
        <f>IF(S565="IN",'BOM_Phan II'!$Y$3,"")</f>
        <v/>
      </c>
      <c r="S565" s="69" t="str">
        <f t="shared" si="120"/>
        <v/>
      </c>
      <c r="T565">
        <f t="shared" si="129"/>
        <v>3</v>
      </c>
      <c r="U565" t="str">
        <f t="shared" si="131"/>
        <v>KIỆN 14</v>
      </c>
      <c r="V565" t="str">
        <f t="shared" si="130"/>
        <v/>
      </c>
      <c r="W565" s="266"/>
      <c r="X565" s="266"/>
      <c r="Y565" s="266" t="str">
        <f t="shared" si="122"/>
        <v/>
      </c>
      <c r="Z565" s="266"/>
    </row>
    <row r="566" spans="1:26" ht="27" hidden="1" customHeight="1">
      <c r="A566" s="70" t="str">
        <f t="shared" si="118"/>
        <v/>
      </c>
      <c r="B566" s="70" t="str">
        <f t="shared" si="119"/>
        <v/>
      </c>
      <c r="C566" s="204" t="str" cm="1">
        <f t="array" ref="C566">IF(D566="","",
    IF(AND(ISNUMBER(D566), D566=INT(D566)),
        $V$6 &amp; " " &amp; (IFERROR(MAX($Y$12:$Y565), 0) + 1),
        IF(ISNUMBER(SEARCH(".", D566)), "", INDEX($C$12:$C566, MATCH(2, 1/($C$12:$C566 &lt;&gt; ""))))
    )
)</f>
        <v/>
      </c>
      <c r="D566" s="206"/>
      <c r="E566" s="206" t="str">
        <f>IF(AA566 = "", "",
    IF(ISNUMBER(SEARCH("Kiện", C566)),
       " GÓI " &amp; COUNTIF($C$13:C566, "*Kiện*") &amp; "/" &amp; COUNTIF($C$13:$C$1000, "*Kiện*") &amp; " " &amp; AA566,
       AA566)
)</f>
        <v/>
      </c>
      <c r="F566" s="206"/>
      <c r="G566" s="206"/>
      <c r="H566" s="206"/>
      <c r="I566" s="206"/>
      <c r="J566" s="206" t="str">
        <f t="shared" si="121"/>
        <v/>
      </c>
      <c r="K566" s="206" t="str">
        <f t="shared" si="123"/>
        <v/>
      </c>
      <c r="L566" s="206" t="str">
        <f t="shared" si="124"/>
        <v/>
      </c>
      <c r="M566" s="206" t="str">
        <f t="shared" si="125"/>
        <v/>
      </c>
      <c r="N566" s="206" t="str">
        <f t="shared" si="126"/>
        <v/>
      </c>
      <c r="O566" s="206" t="str">
        <f t="shared" si="127"/>
        <v/>
      </c>
      <c r="P566" s="84" t="str">
        <f t="shared" si="128"/>
        <v/>
      </c>
      <c r="Q566" s="205"/>
      <c r="R566" s="70" t="str">
        <f>IF(S566="IN",'BOM_Phan II'!$Y$3,"")</f>
        <v/>
      </c>
      <c r="S566" s="69" t="str">
        <f t="shared" si="120"/>
        <v/>
      </c>
      <c r="T566">
        <f t="shared" si="129"/>
        <v>3</v>
      </c>
      <c r="U566" t="str">
        <f t="shared" si="131"/>
        <v>KIỆN 14</v>
      </c>
      <c r="V566" t="str">
        <f t="shared" si="130"/>
        <v/>
      </c>
      <c r="W566" s="266"/>
      <c r="X566" s="266"/>
      <c r="Y566" s="266" t="str">
        <f t="shared" si="122"/>
        <v/>
      </c>
      <c r="Z566" s="266"/>
    </row>
    <row r="567" spans="1:26" ht="27" hidden="1" customHeight="1">
      <c r="A567" s="70" t="str">
        <f t="shared" si="118"/>
        <v/>
      </c>
      <c r="B567" s="70" t="str">
        <f t="shared" si="119"/>
        <v/>
      </c>
      <c r="C567" s="204" t="str" cm="1">
        <f t="array" ref="C567">IF(D567="","",
    IF(AND(ISNUMBER(D567), D567=INT(D567)),
        $V$6 &amp; " " &amp; (IFERROR(MAX($Y$12:$Y566), 0) + 1),
        IF(ISNUMBER(SEARCH(".", D567)), "", INDEX($C$12:$C567, MATCH(2, 1/($C$12:$C567 &lt;&gt; ""))))
    )
)</f>
        <v/>
      </c>
      <c r="D567" s="206"/>
      <c r="E567" s="206" t="str">
        <f>IF(AA567 = "", "",
    IF(ISNUMBER(SEARCH("Kiện", C567)),
       " GÓI " &amp; COUNTIF($C$13:C567, "*Kiện*") &amp; "/" &amp; COUNTIF($C$13:$C$1000, "*Kiện*") &amp; " " &amp; AA567,
       AA567)
)</f>
        <v/>
      </c>
      <c r="F567" s="206"/>
      <c r="G567" s="206"/>
      <c r="H567" s="206"/>
      <c r="I567" s="206"/>
      <c r="J567" s="206" t="str">
        <f t="shared" si="121"/>
        <v/>
      </c>
      <c r="K567" s="206" t="str">
        <f t="shared" si="123"/>
        <v/>
      </c>
      <c r="L567" s="206" t="str">
        <f t="shared" si="124"/>
        <v/>
      </c>
      <c r="M567" s="206" t="str">
        <f t="shared" si="125"/>
        <v/>
      </c>
      <c r="N567" s="206" t="str">
        <f t="shared" si="126"/>
        <v/>
      </c>
      <c r="O567" s="206" t="str">
        <f t="shared" si="127"/>
        <v/>
      </c>
      <c r="P567" s="84" t="str">
        <f t="shared" si="128"/>
        <v/>
      </c>
      <c r="Q567" s="205"/>
      <c r="R567" s="70" t="str">
        <f>IF(S567="IN",'BOM_Phan II'!$Y$3,"")</f>
        <v/>
      </c>
      <c r="S567" s="69" t="str">
        <f t="shared" si="120"/>
        <v/>
      </c>
      <c r="T567">
        <f t="shared" si="129"/>
        <v>3</v>
      </c>
      <c r="U567" t="str">
        <f t="shared" si="131"/>
        <v>KIỆN 14</v>
      </c>
      <c r="V567" t="str">
        <f t="shared" si="130"/>
        <v/>
      </c>
      <c r="W567" s="266"/>
      <c r="X567" s="266"/>
      <c r="Y567" s="266" t="str">
        <f t="shared" si="122"/>
        <v/>
      </c>
      <c r="Z567" s="266"/>
    </row>
    <row r="568" spans="1:26" ht="27" hidden="1" customHeight="1">
      <c r="A568" s="70" t="str">
        <f t="shared" si="118"/>
        <v/>
      </c>
      <c r="B568" s="70" t="str">
        <f t="shared" si="119"/>
        <v/>
      </c>
      <c r="C568" s="204" t="str" cm="1">
        <f t="array" ref="C568">IF(D568="","",
    IF(AND(ISNUMBER(D568), D568=INT(D568)),
        $V$6 &amp; " " &amp; (IFERROR(MAX($Y$12:$Y567), 0) + 1),
        IF(ISNUMBER(SEARCH(".", D568)), "", INDEX($C$12:$C568, MATCH(2, 1/($C$12:$C568 &lt;&gt; ""))))
    )
)</f>
        <v/>
      </c>
      <c r="D568" s="206"/>
      <c r="E568" s="206" t="str">
        <f>IF(AA568 = "", "",
    IF(ISNUMBER(SEARCH("Kiện", C568)),
       " GÓI " &amp; COUNTIF($C$13:C568, "*Kiện*") &amp; "/" &amp; COUNTIF($C$13:$C$1000, "*Kiện*") &amp; " " &amp; AA568,
       AA568)
)</f>
        <v/>
      </c>
      <c r="F568" s="206"/>
      <c r="G568" s="206"/>
      <c r="H568" s="206"/>
      <c r="I568" s="206"/>
      <c r="J568" s="206" t="str">
        <f t="shared" si="121"/>
        <v/>
      </c>
      <c r="K568" s="206" t="str">
        <f t="shared" si="123"/>
        <v/>
      </c>
      <c r="L568" s="206" t="str">
        <f t="shared" si="124"/>
        <v/>
      </c>
      <c r="M568" s="206" t="str">
        <f t="shared" si="125"/>
        <v/>
      </c>
      <c r="N568" s="206" t="str">
        <f t="shared" si="126"/>
        <v/>
      </c>
      <c r="O568" s="206" t="str">
        <f t="shared" si="127"/>
        <v/>
      </c>
      <c r="P568" s="84" t="str">
        <f t="shared" si="128"/>
        <v/>
      </c>
      <c r="Q568" s="205"/>
      <c r="R568" s="70" t="str">
        <f>IF(S568="IN",'BOM_Phan II'!$Y$3,"")</f>
        <v/>
      </c>
      <c r="S568" s="69" t="str">
        <f t="shared" si="120"/>
        <v/>
      </c>
      <c r="T568">
        <f t="shared" si="129"/>
        <v>3</v>
      </c>
      <c r="U568" t="str">
        <f t="shared" si="131"/>
        <v>KIỆN 14</v>
      </c>
      <c r="V568" t="str">
        <f t="shared" si="130"/>
        <v/>
      </c>
      <c r="W568" s="266"/>
      <c r="X568" s="266"/>
      <c r="Y568" s="266" t="str">
        <f t="shared" si="122"/>
        <v/>
      </c>
      <c r="Z568" s="266"/>
    </row>
    <row r="569" spans="1:26" ht="27" hidden="1" customHeight="1">
      <c r="A569" s="70" t="str">
        <f t="shared" si="118"/>
        <v/>
      </c>
      <c r="B569" s="70" t="str">
        <f t="shared" si="119"/>
        <v/>
      </c>
      <c r="C569" s="204" t="str" cm="1">
        <f t="array" ref="C569">IF(D569="","",
    IF(AND(ISNUMBER(D569), D569=INT(D569)),
        $V$6 &amp; " " &amp; (IFERROR(MAX($Y$12:$Y568), 0) + 1),
        IF(ISNUMBER(SEARCH(".", D569)), "", INDEX($C$12:$C569, MATCH(2, 1/($C$12:$C569 &lt;&gt; ""))))
    )
)</f>
        <v/>
      </c>
      <c r="D569" s="206"/>
      <c r="E569" s="206" t="str">
        <f>IF(AA569 = "", "",
    IF(ISNUMBER(SEARCH("Kiện", C569)),
       " GÓI " &amp; COUNTIF($C$13:C569, "*Kiện*") &amp; "/" &amp; COUNTIF($C$13:$C$1000, "*Kiện*") &amp; " " &amp; AA569,
       AA569)
)</f>
        <v/>
      </c>
      <c r="F569" s="206"/>
      <c r="G569" s="206"/>
      <c r="H569" s="206"/>
      <c r="I569" s="206"/>
      <c r="J569" s="206" t="str">
        <f t="shared" si="121"/>
        <v/>
      </c>
      <c r="K569" s="206" t="str">
        <f t="shared" si="123"/>
        <v/>
      </c>
      <c r="L569" s="206" t="str">
        <f t="shared" si="124"/>
        <v/>
      </c>
      <c r="M569" s="206" t="str">
        <f t="shared" si="125"/>
        <v/>
      </c>
      <c r="N569" s="206" t="str">
        <f t="shared" si="126"/>
        <v/>
      </c>
      <c r="O569" s="206" t="str">
        <f t="shared" si="127"/>
        <v/>
      </c>
      <c r="P569" s="84" t="str">
        <f t="shared" si="128"/>
        <v/>
      </c>
      <c r="Q569" s="205"/>
      <c r="R569" s="70" t="str">
        <f>IF(S569="IN",'BOM_Phan II'!$Y$3,"")</f>
        <v/>
      </c>
      <c r="S569" s="69" t="str">
        <f t="shared" si="120"/>
        <v/>
      </c>
      <c r="T569">
        <f t="shared" si="129"/>
        <v>3</v>
      </c>
      <c r="U569" t="str">
        <f t="shared" si="131"/>
        <v>KIỆN 14</v>
      </c>
      <c r="V569" t="str">
        <f t="shared" si="130"/>
        <v/>
      </c>
      <c r="W569" s="266"/>
      <c r="X569" s="266"/>
      <c r="Y569" s="266" t="str">
        <f t="shared" si="122"/>
        <v/>
      </c>
      <c r="Z569" s="266"/>
    </row>
    <row r="570" spans="1:26" ht="27" hidden="1" customHeight="1">
      <c r="A570" s="70" t="str">
        <f t="shared" si="118"/>
        <v/>
      </c>
      <c r="B570" s="70" t="str">
        <f t="shared" si="119"/>
        <v/>
      </c>
      <c r="C570" s="204" t="str" cm="1">
        <f t="array" ref="C570">IF(D570="","",
    IF(AND(ISNUMBER(D570), D570=INT(D570)),
        $V$6 &amp; " " &amp; (IFERROR(MAX($Y$12:$Y569), 0) + 1),
        IF(ISNUMBER(SEARCH(".", D570)), "", INDEX($C$12:$C570, MATCH(2, 1/($C$12:$C570 &lt;&gt; ""))))
    )
)</f>
        <v/>
      </c>
      <c r="D570" s="206"/>
      <c r="E570" s="206" t="str">
        <f>IF(AA570 = "", "",
    IF(ISNUMBER(SEARCH("Kiện", C570)),
       " GÓI " &amp; COUNTIF($C$13:C570, "*Kiện*") &amp; "/" &amp; COUNTIF($C$13:$C$1000, "*Kiện*") &amp; " " &amp; AA570,
       AA570)
)</f>
        <v/>
      </c>
      <c r="F570" s="206"/>
      <c r="G570" s="206"/>
      <c r="H570" s="206"/>
      <c r="I570" s="206"/>
      <c r="J570" s="206" t="str">
        <f t="shared" si="121"/>
        <v/>
      </c>
      <c r="K570" s="206" t="str">
        <f t="shared" si="123"/>
        <v/>
      </c>
      <c r="L570" s="206" t="str">
        <f t="shared" si="124"/>
        <v/>
      </c>
      <c r="M570" s="206" t="str">
        <f t="shared" si="125"/>
        <v/>
      </c>
      <c r="N570" s="206" t="str">
        <f t="shared" si="126"/>
        <v/>
      </c>
      <c r="O570" s="206" t="str">
        <f t="shared" si="127"/>
        <v/>
      </c>
      <c r="P570" s="84" t="str">
        <f t="shared" si="128"/>
        <v/>
      </c>
      <c r="Q570" s="205"/>
      <c r="R570" s="70" t="str">
        <f>IF(S570="IN",'BOM_Phan II'!$Y$3,"")</f>
        <v/>
      </c>
      <c r="S570" s="69" t="str">
        <f t="shared" si="120"/>
        <v/>
      </c>
      <c r="T570">
        <f t="shared" si="129"/>
        <v>3</v>
      </c>
      <c r="U570" t="str">
        <f t="shared" si="131"/>
        <v>KIỆN 14</v>
      </c>
      <c r="V570" t="str">
        <f t="shared" si="130"/>
        <v/>
      </c>
      <c r="W570" s="266"/>
      <c r="X570" s="266"/>
      <c r="Y570" s="266" t="str">
        <f t="shared" si="122"/>
        <v/>
      </c>
      <c r="Z570" s="266"/>
    </row>
    <row r="571" spans="1:26" ht="27" hidden="1" customHeight="1">
      <c r="A571" s="70" t="str">
        <f t="shared" si="118"/>
        <v/>
      </c>
      <c r="B571" s="70" t="str">
        <f t="shared" si="119"/>
        <v/>
      </c>
      <c r="C571" s="204" t="str" cm="1">
        <f t="array" ref="C571">IF(D571="","",
    IF(AND(ISNUMBER(D571), D571=INT(D571)),
        $V$6 &amp; " " &amp; (IFERROR(MAX($Y$12:$Y570), 0) + 1),
        IF(ISNUMBER(SEARCH(".", D571)), "", INDEX($C$12:$C571, MATCH(2, 1/($C$12:$C571 &lt;&gt; ""))))
    )
)</f>
        <v/>
      </c>
      <c r="D571" s="206"/>
      <c r="E571" s="206" t="str">
        <f>IF(AA571 = "", "",
    IF(ISNUMBER(SEARCH("Kiện", C571)),
       " GÓI " &amp; COUNTIF($C$13:C571, "*Kiện*") &amp; "/" &amp; COUNTIF($C$13:$C$1000, "*Kiện*") &amp; " " &amp; AA571,
       AA571)
)</f>
        <v/>
      </c>
      <c r="F571" s="206"/>
      <c r="G571" s="206"/>
      <c r="H571" s="206"/>
      <c r="I571" s="206"/>
      <c r="J571" s="206" t="str">
        <f t="shared" si="121"/>
        <v/>
      </c>
      <c r="K571" s="206" t="str">
        <f t="shared" si="123"/>
        <v/>
      </c>
      <c r="L571" s="206" t="str">
        <f t="shared" si="124"/>
        <v/>
      </c>
      <c r="M571" s="206" t="str">
        <f t="shared" si="125"/>
        <v/>
      </c>
      <c r="N571" s="206" t="str">
        <f t="shared" si="126"/>
        <v/>
      </c>
      <c r="O571" s="206" t="str">
        <f t="shared" si="127"/>
        <v/>
      </c>
      <c r="P571" s="84" t="str">
        <f t="shared" si="128"/>
        <v/>
      </c>
      <c r="Q571" s="205"/>
      <c r="R571" s="70" t="str">
        <f>IF(S571="IN",'BOM_Phan II'!$Y$3,"")</f>
        <v/>
      </c>
      <c r="S571" s="69" t="str">
        <f t="shared" si="120"/>
        <v/>
      </c>
      <c r="T571">
        <f t="shared" si="129"/>
        <v>3</v>
      </c>
      <c r="U571" t="str">
        <f t="shared" si="131"/>
        <v>KIỆN 14</v>
      </c>
      <c r="V571" t="str">
        <f t="shared" si="130"/>
        <v/>
      </c>
      <c r="W571" s="266"/>
      <c r="X571" s="266"/>
      <c r="Y571" s="266" t="str">
        <f t="shared" si="122"/>
        <v/>
      </c>
      <c r="Z571" s="266"/>
    </row>
    <row r="572" spans="1:26" ht="27" hidden="1" customHeight="1">
      <c r="A572" s="70" t="str">
        <f t="shared" si="118"/>
        <v/>
      </c>
      <c r="B572" s="70" t="str">
        <f t="shared" si="119"/>
        <v/>
      </c>
      <c r="C572" s="204" t="str" cm="1">
        <f t="array" ref="C572">IF(D572="","",
    IF(AND(ISNUMBER(D572), D572=INT(D572)),
        $V$6 &amp; " " &amp; (IFERROR(MAX($Y$12:$Y571), 0) + 1),
        IF(ISNUMBER(SEARCH(".", D572)), "", INDEX($C$12:$C572, MATCH(2, 1/($C$12:$C572 &lt;&gt; ""))))
    )
)</f>
        <v/>
      </c>
      <c r="D572" s="206"/>
      <c r="E572" s="206" t="str">
        <f>IF(AA572 = "", "",
    IF(ISNUMBER(SEARCH("Kiện", C572)),
       " GÓI " &amp; COUNTIF($C$13:C572, "*Kiện*") &amp; "/" &amp; COUNTIF($C$13:$C$1000, "*Kiện*") &amp; " " &amp; AA572,
       AA572)
)</f>
        <v/>
      </c>
      <c r="F572" s="206"/>
      <c r="G572" s="206"/>
      <c r="H572" s="206"/>
      <c r="I572" s="206"/>
      <c r="J572" s="206" t="str">
        <f t="shared" si="121"/>
        <v/>
      </c>
      <c r="K572" s="206" t="str">
        <f t="shared" si="123"/>
        <v/>
      </c>
      <c r="L572" s="206" t="str">
        <f t="shared" si="124"/>
        <v/>
      </c>
      <c r="M572" s="206" t="str">
        <f t="shared" si="125"/>
        <v/>
      </c>
      <c r="N572" s="206" t="str">
        <f t="shared" si="126"/>
        <v/>
      </c>
      <c r="O572" s="206" t="str">
        <f t="shared" si="127"/>
        <v/>
      </c>
      <c r="P572" s="84" t="str">
        <f t="shared" si="128"/>
        <v/>
      </c>
      <c r="Q572" s="205"/>
      <c r="R572" s="70" t="str">
        <f>IF(S572="IN",'BOM_Phan II'!$Y$3,"")</f>
        <v/>
      </c>
      <c r="S572" s="69" t="str">
        <f t="shared" si="120"/>
        <v/>
      </c>
      <c r="T572">
        <f t="shared" si="129"/>
        <v>3</v>
      </c>
      <c r="U572" t="str">
        <f t="shared" si="131"/>
        <v>KIỆN 14</v>
      </c>
      <c r="V572" t="str">
        <f t="shared" si="130"/>
        <v/>
      </c>
      <c r="W572" s="266"/>
      <c r="X572" s="266"/>
      <c r="Y572" s="266" t="str">
        <f t="shared" si="122"/>
        <v/>
      </c>
      <c r="Z572" s="266"/>
    </row>
    <row r="573" spans="1:26" ht="27" hidden="1" customHeight="1">
      <c r="A573" s="70" t="str">
        <f t="shared" si="118"/>
        <v/>
      </c>
      <c r="B573" s="70" t="str">
        <f t="shared" si="119"/>
        <v/>
      </c>
      <c r="C573" s="204" t="str" cm="1">
        <f t="array" ref="C573">IF(D573="","",
    IF(AND(ISNUMBER(D573), D573=INT(D573)),
        $V$6 &amp; " " &amp; (IFERROR(MAX($Y$12:$Y572), 0) + 1),
        IF(ISNUMBER(SEARCH(".", D573)), "", INDEX($C$12:$C573, MATCH(2, 1/($C$12:$C573 &lt;&gt; ""))))
    )
)</f>
        <v/>
      </c>
      <c r="D573" s="206"/>
      <c r="E573" s="206" t="str">
        <f>IF(AA573 = "", "",
    IF(ISNUMBER(SEARCH("Kiện", C573)),
       " GÓI " &amp; COUNTIF($C$13:C573, "*Kiện*") &amp; "/" &amp; COUNTIF($C$13:$C$1000, "*Kiện*") &amp; " " &amp; AA573,
       AA573)
)</f>
        <v/>
      </c>
      <c r="F573" s="206"/>
      <c r="G573" s="206"/>
      <c r="H573" s="206"/>
      <c r="I573" s="206"/>
      <c r="J573" s="206" t="str">
        <f t="shared" si="121"/>
        <v/>
      </c>
      <c r="K573" s="206" t="str">
        <f t="shared" si="123"/>
        <v/>
      </c>
      <c r="L573" s="206" t="str">
        <f t="shared" si="124"/>
        <v/>
      </c>
      <c r="M573" s="206" t="str">
        <f t="shared" si="125"/>
        <v/>
      </c>
      <c r="N573" s="206" t="str">
        <f t="shared" si="126"/>
        <v/>
      </c>
      <c r="O573" s="206" t="str">
        <f t="shared" si="127"/>
        <v/>
      </c>
      <c r="P573" s="84" t="str">
        <f t="shared" si="128"/>
        <v/>
      </c>
      <c r="Q573" s="205"/>
      <c r="R573" s="70" t="str">
        <f>IF(S573="IN",'BOM_Phan II'!$Y$3,"")</f>
        <v/>
      </c>
      <c r="S573" s="69" t="str">
        <f t="shared" si="120"/>
        <v/>
      </c>
      <c r="T573">
        <f t="shared" si="129"/>
        <v>3</v>
      </c>
      <c r="U573" t="str">
        <f t="shared" si="131"/>
        <v>KIỆN 14</v>
      </c>
      <c r="V573" t="str">
        <f t="shared" si="130"/>
        <v/>
      </c>
      <c r="W573" s="266"/>
      <c r="X573" s="266"/>
      <c r="Y573" s="266" t="str">
        <f t="shared" si="122"/>
        <v/>
      </c>
      <c r="Z573" s="266"/>
    </row>
    <row r="574" spans="1:26" ht="27" hidden="1" customHeight="1">
      <c r="A574" s="70" t="str">
        <f t="shared" si="118"/>
        <v/>
      </c>
      <c r="B574" s="70" t="str">
        <f t="shared" si="119"/>
        <v/>
      </c>
      <c r="C574" s="204" t="str" cm="1">
        <f t="array" ref="C574">IF(D574="","",
    IF(AND(ISNUMBER(D574), D574=INT(D574)),
        $V$6 &amp; " " &amp; (IFERROR(MAX($Y$12:$Y573), 0) + 1),
        IF(ISNUMBER(SEARCH(".", D574)), "", INDEX($C$12:$C574, MATCH(2, 1/($C$12:$C574 &lt;&gt; ""))))
    )
)</f>
        <v/>
      </c>
      <c r="D574" s="206"/>
      <c r="E574" s="206" t="str">
        <f>IF(AA574 = "", "",
    IF(ISNUMBER(SEARCH("Kiện", C574)),
       " GÓI " &amp; COUNTIF($C$13:C574, "*Kiện*") &amp; "/" &amp; COUNTIF($C$13:$C$1000, "*Kiện*") &amp; " " &amp; AA574,
       AA574)
)</f>
        <v/>
      </c>
      <c r="F574" s="206"/>
      <c r="G574" s="206"/>
      <c r="H574" s="206"/>
      <c r="I574" s="206"/>
      <c r="J574" s="206" t="str">
        <f t="shared" si="121"/>
        <v/>
      </c>
      <c r="K574" s="206" t="str">
        <f t="shared" si="123"/>
        <v/>
      </c>
      <c r="L574" s="206" t="str">
        <f t="shared" si="124"/>
        <v/>
      </c>
      <c r="M574" s="206" t="str">
        <f t="shared" si="125"/>
        <v/>
      </c>
      <c r="N574" s="206" t="str">
        <f t="shared" si="126"/>
        <v/>
      </c>
      <c r="O574" s="206" t="str">
        <f t="shared" si="127"/>
        <v/>
      </c>
      <c r="P574" s="84" t="str">
        <f t="shared" si="128"/>
        <v/>
      </c>
      <c r="Q574" s="205"/>
      <c r="R574" s="70" t="str">
        <f>IF(S574="IN",'BOM_Phan II'!$Y$3,"")</f>
        <v/>
      </c>
      <c r="S574" s="69" t="str">
        <f t="shared" si="120"/>
        <v/>
      </c>
      <c r="T574">
        <f t="shared" si="129"/>
        <v>3</v>
      </c>
      <c r="U574" t="str">
        <f t="shared" si="131"/>
        <v>KIỆN 14</v>
      </c>
      <c r="V574" t="str">
        <f t="shared" si="130"/>
        <v/>
      </c>
      <c r="W574" s="266"/>
      <c r="X574" s="266"/>
      <c r="Y574" s="266" t="str">
        <f t="shared" si="122"/>
        <v/>
      </c>
      <c r="Z574" s="266"/>
    </row>
    <row r="575" spans="1:26" ht="27" hidden="1" customHeight="1">
      <c r="A575" s="70" t="str">
        <f t="shared" si="118"/>
        <v/>
      </c>
      <c r="B575" s="70" t="str">
        <f t="shared" si="119"/>
        <v/>
      </c>
      <c r="C575" s="204" t="str" cm="1">
        <f t="array" ref="C575">IF(D575="","",
    IF(AND(ISNUMBER(D575), D575=INT(D575)),
        $V$6 &amp; " " &amp; (IFERROR(MAX($Y$12:$Y574), 0) + 1),
        IF(ISNUMBER(SEARCH(".", D575)), "", INDEX($C$12:$C575, MATCH(2, 1/($C$12:$C575 &lt;&gt; ""))))
    )
)</f>
        <v/>
      </c>
      <c r="D575" s="206"/>
      <c r="E575" s="206" t="str">
        <f>IF(AA575 = "", "",
    IF(ISNUMBER(SEARCH("Kiện", C575)),
       " GÓI " &amp; COUNTIF($C$13:C575, "*Kiện*") &amp; "/" &amp; COUNTIF($C$13:$C$1000, "*Kiện*") &amp; " " &amp; AA575,
       AA575)
)</f>
        <v/>
      </c>
      <c r="F575" s="206"/>
      <c r="G575" s="206"/>
      <c r="H575" s="206"/>
      <c r="I575" s="206"/>
      <c r="J575" s="206" t="str">
        <f t="shared" si="121"/>
        <v/>
      </c>
      <c r="K575" s="206" t="str">
        <f t="shared" si="123"/>
        <v/>
      </c>
      <c r="L575" s="206" t="str">
        <f t="shared" si="124"/>
        <v/>
      </c>
      <c r="M575" s="206" t="str">
        <f t="shared" si="125"/>
        <v/>
      </c>
      <c r="N575" s="206" t="str">
        <f t="shared" si="126"/>
        <v/>
      </c>
      <c r="O575" s="206" t="str">
        <f t="shared" si="127"/>
        <v/>
      </c>
      <c r="P575" s="84" t="str">
        <f t="shared" si="128"/>
        <v/>
      </c>
      <c r="Q575" s="205"/>
      <c r="R575" s="70" t="str">
        <f>IF(S575="IN",'BOM_Phan II'!$Y$3,"")</f>
        <v/>
      </c>
      <c r="S575" s="69" t="str">
        <f t="shared" si="120"/>
        <v/>
      </c>
      <c r="T575">
        <f t="shared" si="129"/>
        <v>3</v>
      </c>
      <c r="U575" t="str">
        <f t="shared" si="131"/>
        <v>KIỆN 14</v>
      </c>
      <c r="V575" t="str">
        <f t="shared" si="130"/>
        <v/>
      </c>
      <c r="W575" s="266"/>
      <c r="X575" s="266"/>
      <c r="Y575" s="266" t="str">
        <f t="shared" si="122"/>
        <v/>
      </c>
      <c r="Z575" s="266"/>
    </row>
    <row r="576" spans="1:26" ht="27" hidden="1" customHeight="1">
      <c r="A576" s="70" t="str">
        <f t="shared" si="118"/>
        <v/>
      </c>
      <c r="B576" s="70" t="str">
        <f t="shared" si="119"/>
        <v/>
      </c>
      <c r="C576" s="204" t="str" cm="1">
        <f t="array" ref="C576">IF(D576="","",
    IF(AND(ISNUMBER(D576), D576=INT(D576)),
        $V$6 &amp; " " &amp; (IFERROR(MAX($Y$12:$Y575), 0) + 1),
        IF(ISNUMBER(SEARCH(".", D576)), "", INDEX($C$12:$C576, MATCH(2, 1/($C$12:$C576 &lt;&gt; ""))))
    )
)</f>
        <v/>
      </c>
      <c r="D576" s="206"/>
      <c r="E576" s="206" t="str">
        <f>IF(AA576 = "", "",
    IF(ISNUMBER(SEARCH("Kiện", C576)),
       " GÓI " &amp; COUNTIF($C$13:C576, "*Kiện*") &amp; "/" &amp; COUNTIF($C$13:$C$1000, "*Kiện*") &amp; " " &amp; AA576,
       AA576)
)</f>
        <v/>
      </c>
      <c r="F576" s="206"/>
      <c r="G576" s="206"/>
      <c r="H576" s="206"/>
      <c r="I576" s="206"/>
      <c r="J576" s="206" t="str">
        <f t="shared" si="121"/>
        <v/>
      </c>
      <c r="K576" s="206" t="str">
        <f t="shared" si="123"/>
        <v/>
      </c>
      <c r="L576" s="206" t="str">
        <f t="shared" si="124"/>
        <v/>
      </c>
      <c r="M576" s="206" t="str">
        <f t="shared" si="125"/>
        <v/>
      </c>
      <c r="N576" s="206" t="str">
        <f t="shared" si="126"/>
        <v/>
      </c>
      <c r="O576" s="206" t="str">
        <f t="shared" si="127"/>
        <v/>
      </c>
      <c r="P576" s="84" t="str">
        <f t="shared" si="128"/>
        <v/>
      </c>
      <c r="Q576" s="205"/>
      <c r="R576" s="70" t="str">
        <f>IF(S576="IN",'BOM_Phan II'!$Y$3,"")</f>
        <v/>
      </c>
      <c r="S576" s="69" t="str">
        <f t="shared" si="120"/>
        <v/>
      </c>
      <c r="T576">
        <f t="shared" si="129"/>
        <v>3</v>
      </c>
      <c r="U576" t="str">
        <f t="shared" si="131"/>
        <v>KIỆN 14</v>
      </c>
      <c r="V576" t="str">
        <f t="shared" si="130"/>
        <v/>
      </c>
      <c r="W576" s="266"/>
      <c r="X576" s="266"/>
      <c r="Y576" s="266" t="str">
        <f t="shared" si="122"/>
        <v/>
      </c>
      <c r="Z576" s="266"/>
    </row>
    <row r="577" spans="1:26" ht="27" hidden="1" customHeight="1">
      <c r="A577" s="70" t="str">
        <f t="shared" si="118"/>
        <v/>
      </c>
      <c r="B577" s="70" t="str">
        <f t="shared" si="119"/>
        <v/>
      </c>
      <c r="C577" s="204" t="str" cm="1">
        <f t="array" ref="C577">IF(D577="","",
    IF(AND(ISNUMBER(D577), D577=INT(D577)),
        $V$6 &amp; " " &amp; (IFERROR(MAX($Y$12:$Y576), 0) + 1),
        IF(ISNUMBER(SEARCH(".", D577)), "", INDEX($C$12:$C577, MATCH(2, 1/($C$12:$C577 &lt;&gt; ""))))
    )
)</f>
        <v/>
      </c>
      <c r="D577" s="206"/>
      <c r="E577" s="206" t="str">
        <f>IF(AA577 = "", "",
    IF(ISNUMBER(SEARCH("Kiện", C577)),
       " GÓI " &amp; COUNTIF($C$13:C577, "*Kiện*") &amp; "/" &amp; COUNTIF($C$13:$C$1000, "*Kiện*") &amp; " " &amp; AA577,
       AA577)
)</f>
        <v/>
      </c>
      <c r="F577" s="206"/>
      <c r="G577" s="206"/>
      <c r="H577" s="206"/>
      <c r="I577" s="206"/>
      <c r="J577" s="206" t="str">
        <f t="shared" si="121"/>
        <v/>
      </c>
      <c r="K577" s="206" t="str">
        <f t="shared" si="123"/>
        <v/>
      </c>
      <c r="L577" s="206" t="str">
        <f t="shared" si="124"/>
        <v/>
      </c>
      <c r="M577" s="206" t="str">
        <f t="shared" si="125"/>
        <v/>
      </c>
      <c r="N577" s="206" t="str">
        <f t="shared" si="126"/>
        <v/>
      </c>
      <c r="O577" s="206" t="str">
        <f t="shared" si="127"/>
        <v/>
      </c>
      <c r="P577" s="84" t="str">
        <f t="shared" si="128"/>
        <v/>
      </c>
      <c r="Q577" s="205"/>
      <c r="R577" s="70" t="str">
        <f>IF(S577="IN",'BOM_Phan II'!$Y$3,"")</f>
        <v/>
      </c>
      <c r="S577" s="69" t="str">
        <f t="shared" si="120"/>
        <v/>
      </c>
      <c r="T577">
        <f t="shared" si="129"/>
        <v>3</v>
      </c>
      <c r="U577" t="str">
        <f t="shared" si="131"/>
        <v>KIỆN 14</v>
      </c>
      <c r="V577" t="str">
        <f t="shared" si="130"/>
        <v/>
      </c>
      <c r="W577" s="266"/>
      <c r="X577" s="266"/>
      <c r="Y577" s="266" t="str">
        <f t="shared" si="122"/>
        <v/>
      </c>
      <c r="Z577" s="266"/>
    </row>
    <row r="578" spans="1:26" ht="27" hidden="1" customHeight="1">
      <c r="A578" s="70" t="str">
        <f t="shared" si="118"/>
        <v/>
      </c>
      <c r="B578" s="70" t="str">
        <f t="shared" si="119"/>
        <v/>
      </c>
      <c r="C578" s="204" t="str" cm="1">
        <f t="array" ref="C578">IF(D578="","",
    IF(AND(ISNUMBER(D578), D578=INT(D578)),
        $V$6 &amp; " " &amp; (IFERROR(MAX($Y$12:$Y577), 0) + 1),
        IF(ISNUMBER(SEARCH(".", D578)), "", INDEX($C$12:$C578, MATCH(2, 1/($C$12:$C578 &lt;&gt; ""))))
    )
)</f>
        <v/>
      </c>
      <c r="D578" s="206"/>
      <c r="E578" s="206" t="str">
        <f>IF(AA578 = "", "",
    IF(ISNUMBER(SEARCH("Kiện", C578)),
       " GÓI " &amp; COUNTIF($C$13:C578, "*Kiện*") &amp; "/" &amp; COUNTIF($C$13:$C$1000, "*Kiện*") &amp; " " &amp; AA578,
       AA578)
)</f>
        <v/>
      </c>
      <c r="F578" s="206"/>
      <c r="G578" s="206"/>
      <c r="H578" s="206"/>
      <c r="I578" s="206"/>
      <c r="J578" s="206" t="str">
        <f t="shared" si="121"/>
        <v/>
      </c>
      <c r="K578" s="206" t="str">
        <f t="shared" si="123"/>
        <v/>
      </c>
      <c r="L578" s="206" t="str">
        <f t="shared" si="124"/>
        <v/>
      </c>
      <c r="M578" s="206" t="str">
        <f t="shared" si="125"/>
        <v/>
      </c>
      <c r="N578" s="206" t="str">
        <f t="shared" si="126"/>
        <v/>
      </c>
      <c r="O578" s="206" t="str">
        <f t="shared" si="127"/>
        <v/>
      </c>
      <c r="P578" s="84" t="str">
        <f t="shared" si="128"/>
        <v/>
      </c>
      <c r="Q578" s="205"/>
      <c r="R578" s="70" t="str">
        <f>IF(S578="IN",'BOM_Phan II'!$Y$3,"")</f>
        <v/>
      </c>
      <c r="S578" s="69" t="str">
        <f t="shared" si="120"/>
        <v/>
      </c>
      <c r="T578">
        <f t="shared" si="129"/>
        <v>3</v>
      </c>
      <c r="U578" t="str">
        <f t="shared" si="131"/>
        <v>KIỆN 14</v>
      </c>
      <c r="V578" t="str">
        <f t="shared" si="130"/>
        <v/>
      </c>
      <c r="W578" s="266"/>
      <c r="X578" s="266"/>
      <c r="Y578" s="266" t="str">
        <f t="shared" si="122"/>
        <v/>
      </c>
      <c r="Z578" s="266"/>
    </row>
    <row r="579" spans="1:26" ht="27" hidden="1" customHeight="1">
      <c r="A579" s="70" t="str">
        <f t="shared" si="118"/>
        <v/>
      </c>
      <c r="B579" s="70" t="str">
        <f t="shared" si="119"/>
        <v/>
      </c>
      <c r="C579" s="204" t="str" cm="1">
        <f t="array" ref="C579">IF(D579="","",
    IF(AND(ISNUMBER(D579), D579=INT(D579)),
        $V$6 &amp; " " &amp; (IFERROR(MAX($Y$12:$Y578), 0) + 1),
        IF(ISNUMBER(SEARCH(".", D579)), "", INDEX($C$12:$C579, MATCH(2, 1/($C$12:$C579 &lt;&gt; ""))))
    )
)</f>
        <v/>
      </c>
      <c r="D579" s="206"/>
      <c r="E579" s="206" t="str">
        <f>IF(AA579 = "", "",
    IF(ISNUMBER(SEARCH("Kiện", C579)),
       " GÓI " &amp; COUNTIF($C$13:C579, "*Kiện*") &amp; "/" &amp; COUNTIF($C$13:$C$1000, "*Kiện*") &amp; " " &amp; AA579,
       AA579)
)</f>
        <v/>
      </c>
      <c r="F579" s="206"/>
      <c r="G579" s="206"/>
      <c r="H579" s="206"/>
      <c r="I579" s="206"/>
      <c r="J579" s="206" t="str">
        <f t="shared" si="121"/>
        <v/>
      </c>
      <c r="K579" s="206" t="str">
        <f t="shared" si="123"/>
        <v/>
      </c>
      <c r="L579" s="206" t="str">
        <f t="shared" si="124"/>
        <v/>
      </c>
      <c r="M579" s="206" t="str">
        <f t="shared" si="125"/>
        <v/>
      </c>
      <c r="N579" s="206" t="str">
        <f t="shared" si="126"/>
        <v/>
      </c>
      <c r="O579" s="206" t="str">
        <f t="shared" si="127"/>
        <v/>
      </c>
      <c r="P579" s="84" t="str">
        <f t="shared" si="128"/>
        <v/>
      </c>
      <c r="Q579" s="205"/>
      <c r="R579" s="70" t="str">
        <f>IF(S579="IN",'BOM_Phan II'!$Y$3,"")</f>
        <v/>
      </c>
      <c r="S579" s="69" t="str">
        <f t="shared" si="120"/>
        <v/>
      </c>
      <c r="T579">
        <f t="shared" si="129"/>
        <v>3</v>
      </c>
      <c r="U579" t="str">
        <f t="shared" si="131"/>
        <v>KIỆN 14</v>
      </c>
      <c r="V579" t="str">
        <f t="shared" si="130"/>
        <v/>
      </c>
      <c r="W579" s="266"/>
      <c r="X579" s="266"/>
      <c r="Y579" s="266" t="str">
        <f t="shared" si="122"/>
        <v/>
      </c>
      <c r="Z579" s="266"/>
    </row>
    <row r="580" spans="1:26" ht="27" hidden="1" customHeight="1">
      <c r="A580" s="70" t="str">
        <f t="shared" si="118"/>
        <v/>
      </c>
      <c r="B580" s="70" t="str">
        <f t="shared" si="119"/>
        <v/>
      </c>
      <c r="C580" s="204" t="str" cm="1">
        <f t="array" ref="C580">IF(D580="","",
    IF(AND(ISNUMBER(D580), D580=INT(D580)),
        $V$6 &amp; " " &amp; (IFERROR(MAX($Y$12:$Y579), 0) + 1),
        IF(ISNUMBER(SEARCH(".", D580)), "", INDEX($C$12:$C580, MATCH(2, 1/($C$12:$C580 &lt;&gt; ""))))
    )
)</f>
        <v/>
      </c>
      <c r="D580" s="206"/>
      <c r="E580" s="206" t="str">
        <f>IF(AA580 = "", "",
    IF(ISNUMBER(SEARCH("Kiện", C580)),
       " GÓI " &amp; COUNTIF($C$13:C580, "*Kiện*") &amp; "/" &amp; COUNTIF($C$13:$C$1000, "*Kiện*") &amp; " " &amp; AA580,
       AA580)
)</f>
        <v/>
      </c>
      <c r="F580" s="206"/>
      <c r="G580" s="206"/>
      <c r="H580" s="206"/>
      <c r="I580" s="206"/>
      <c r="J580" s="206" t="str">
        <f t="shared" si="121"/>
        <v/>
      </c>
      <c r="K580" s="206" t="str">
        <f t="shared" si="123"/>
        <v/>
      </c>
      <c r="L580" s="206" t="str">
        <f t="shared" si="124"/>
        <v/>
      </c>
      <c r="M580" s="206" t="str">
        <f t="shared" si="125"/>
        <v/>
      </c>
      <c r="N580" s="206" t="str">
        <f t="shared" si="126"/>
        <v/>
      </c>
      <c r="O580" s="206" t="str">
        <f t="shared" si="127"/>
        <v/>
      </c>
      <c r="P580" s="84" t="str">
        <f t="shared" si="128"/>
        <v/>
      </c>
      <c r="Q580" s="205"/>
      <c r="R580" s="70" t="str">
        <f>IF(S580="IN",'BOM_Phan II'!$Y$3,"")</f>
        <v/>
      </c>
      <c r="S580" s="69" t="str">
        <f t="shared" si="120"/>
        <v/>
      </c>
      <c r="T580">
        <f t="shared" si="129"/>
        <v>3</v>
      </c>
      <c r="U580" t="str">
        <f t="shared" si="131"/>
        <v>KIỆN 14</v>
      </c>
      <c r="V580" t="str">
        <f t="shared" si="130"/>
        <v/>
      </c>
      <c r="W580" s="266"/>
      <c r="X580" s="266"/>
      <c r="Y580" s="266" t="str">
        <f t="shared" si="122"/>
        <v/>
      </c>
      <c r="Z580" s="266"/>
    </row>
    <row r="581" spans="1:26" ht="27" hidden="1" customHeight="1">
      <c r="A581" s="70" t="str">
        <f t="shared" si="118"/>
        <v/>
      </c>
      <c r="B581" s="70" t="str">
        <f t="shared" si="119"/>
        <v/>
      </c>
      <c r="C581" s="204" t="str" cm="1">
        <f t="array" ref="C581">IF(D581="","",
    IF(AND(ISNUMBER(D581), D581=INT(D581)),
        $V$6 &amp; " " &amp; (IFERROR(MAX($Y$12:$Y580), 0) + 1),
        IF(ISNUMBER(SEARCH(".", D581)), "", INDEX($C$12:$C581, MATCH(2, 1/($C$12:$C581 &lt;&gt; ""))))
    )
)</f>
        <v/>
      </c>
      <c r="D581" s="206"/>
      <c r="E581" s="206" t="str">
        <f>IF(AA581 = "", "",
    IF(ISNUMBER(SEARCH("Kiện", C581)),
       " GÓI " &amp; COUNTIF($C$13:C581, "*Kiện*") &amp; "/" &amp; COUNTIF($C$13:$C$1000, "*Kiện*") &amp; " " &amp; AA581,
       AA581)
)</f>
        <v/>
      </c>
      <c r="F581" s="206"/>
      <c r="G581" s="206"/>
      <c r="H581" s="206"/>
      <c r="I581" s="206"/>
      <c r="J581" s="206" t="str">
        <f t="shared" si="121"/>
        <v/>
      </c>
      <c r="K581" s="206" t="str">
        <f t="shared" si="123"/>
        <v/>
      </c>
      <c r="L581" s="206" t="str">
        <f t="shared" si="124"/>
        <v/>
      </c>
      <c r="M581" s="206" t="str">
        <f t="shared" si="125"/>
        <v/>
      </c>
      <c r="N581" s="206" t="str">
        <f t="shared" si="126"/>
        <v/>
      </c>
      <c r="O581" s="206" t="str">
        <f t="shared" si="127"/>
        <v/>
      </c>
      <c r="P581" s="84" t="str">
        <f t="shared" si="128"/>
        <v/>
      </c>
      <c r="Q581" s="205"/>
      <c r="R581" s="70" t="str">
        <f>IF(S581="IN",'BOM_Phan II'!$Y$3,"")</f>
        <v/>
      </c>
      <c r="S581" s="69" t="str">
        <f t="shared" si="120"/>
        <v/>
      </c>
      <c r="T581">
        <f t="shared" si="129"/>
        <v>3</v>
      </c>
      <c r="U581" t="str">
        <f t="shared" si="131"/>
        <v>KIỆN 14</v>
      </c>
      <c r="V581" t="str">
        <f t="shared" si="130"/>
        <v/>
      </c>
      <c r="W581" s="266"/>
      <c r="X581" s="266"/>
      <c r="Y581" s="266" t="str">
        <f t="shared" si="122"/>
        <v/>
      </c>
      <c r="Z581" s="266"/>
    </row>
    <row r="582" spans="1:26" ht="27" hidden="1" customHeight="1">
      <c r="A582" s="70" t="str">
        <f t="shared" si="118"/>
        <v/>
      </c>
      <c r="B582" s="70" t="str">
        <f t="shared" si="119"/>
        <v/>
      </c>
      <c r="C582" s="204" t="str" cm="1">
        <f t="array" ref="C582">IF(D582="","",
    IF(AND(ISNUMBER(D582), D582=INT(D582)),
        $V$6 &amp; " " &amp; (IFERROR(MAX($Y$12:$Y581), 0) + 1),
        IF(ISNUMBER(SEARCH(".", D582)), "", INDEX($C$12:$C582, MATCH(2, 1/($C$12:$C582 &lt;&gt; ""))))
    )
)</f>
        <v/>
      </c>
      <c r="D582" s="206"/>
      <c r="E582" s="206" t="str">
        <f>IF(AA582 = "", "",
    IF(ISNUMBER(SEARCH("Kiện", C582)),
       " GÓI " &amp; COUNTIF($C$13:C582, "*Kiện*") &amp; "/" &amp; COUNTIF($C$13:$C$1000, "*Kiện*") &amp; " " &amp; AA582,
       AA582)
)</f>
        <v/>
      </c>
      <c r="F582" s="206"/>
      <c r="G582" s="206"/>
      <c r="H582" s="206"/>
      <c r="I582" s="206"/>
      <c r="J582" s="206" t="str">
        <f t="shared" si="121"/>
        <v/>
      </c>
      <c r="K582" s="206" t="str">
        <f t="shared" si="123"/>
        <v/>
      </c>
      <c r="L582" s="206" t="str">
        <f t="shared" si="124"/>
        <v/>
      </c>
      <c r="M582" s="206" t="str">
        <f t="shared" si="125"/>
        <v/>
      </c>
      <c r="N582" s="206" t="str">
        <f t="shared" si="126"/>
        <v/>
      </c>
      <c r="O582" s="206" t="str">
        <f t="shared" si="127"/>
        <v/>
      </c>
      <c r="P582" s="84" t="str">
        <f t="shared" si="128"/>
        <v/>
      </c>
      <c r="Q582" s="205"/>
      <c r="R582" s="70" t="str">
        <f>IF(S582="IN",'BOM_Phan II'!$Y$3,"")</f>
        <v/>
      </c>
      <c r="S582" s="69" t="str">
        <f t="shared" si="120"/>
        <v/>
      </c>
      <c r="T582">
        <f t="shared" si="129"/>
        <v>3</v>
      </c>
      <c r="U582" t="str">
        <f t="shared" si="131"/>
        <v>KIỆN 14</v>
      </c>
      <c r="V582" t="str">
        <f t="shared" si="130"/>
        <v/>
      </c>
      <c r="W582" s="266"/>
      <c r="X582" s="266"/>
      <c r="Y582" s="266" t="str">
        <f t="shared" si="122"/>
        <v/>
      </c>
      <c r="Z582" s="266"/>
    </row>
    <row r="583" spans="1:26" ht="27" hidden="1" customHeight="1">
      <c r="A583" s="70" t="str">
        <f t="shared" si="118"/>
        <v/>
      </c>
      <c r="B583" s="70" t="str">
        <f t="shared" si="119"/>
        <v/>
      </c>
      <c r="C583" s="204" t="str" cm="1">
        <f t="array" ref="C583">IF(D583="","",
    IF(AND(ISNUMBER(D583), D583=INT(D583)),
        $V$6 &amp; " " &amp; (IFERROR(MAX($Y$12:$Y582), 0) + 1),
        IF(ISNUMBER(SEARCH(".", D583)), "", INDEX($C$12:$C583, MATCH(2, 1/($C$12:$C583 &lt;&gt; ""))))
    )
)</f>
        <v/>
      </c>
      <c r="D583" s="206"/>
      <c r="E583" s="206" t="str">
        <f>IF(AA583 = "", "",
    IF(ISNUMBER(SEARCH("Kiện", C583)),
       " GÓI " &amp; COUNTIF($C$13:C583, "*Kiện*") &amp; "/" &amp; COUNTIF($C$13:$C$1000, "*Kiện*") &amp; " " &amp; AA583,
       AA583)
)</f>
        <v/>
      </c>
      <c r="F583" s="206"/>
      <c r="G583" s="206"/>
      <c r="H583" s="206"/>
      <c r="I583" s="206"/>
      <c r="J583" s="206" t="str">
        <f t="shared" si="121"/>
        <v/>
      </c>
      <c r="K583" s="206" t="str">
        <f t="shared" si="123"/>
        <v/>
      </c>
      <c r="L583" s="206" t="str">
        <f t="shared" si="124"/>
        <v/>
      </c>
      <c r="M583" s="206" t="str">
        <f t="shared" si="125"/>
        <v/>
      </c>
      <c r="N583" s="206" t="str">
        <f t="shared" si="126"/>
        <v/>
      </c>
      <c r="O583" s="206" t="str">
        <f t="shared" si="127"/>
        <v/>
      </c>
      <c r="P583" s="84" t="str">
        <f t="shared" si="128"/>
        <v/>
      </c>
      <c r="Q583" s="205"/>
      <c r="R583" s="70" t="str">
        <f>IF(S583="IN",'BOM_Phan II'!$Y$3,"")</f>
        <v/>
      </c>
      <c r="S583" s="69" t="str">
        <f t="shared" si="120"/>
        <v/>
      </c>
      <c r="T583">
        <f t="shared" si="129"/>
        <v>3</v>
      </c>
      <c r="U583" t="str">
        <f t="shared" si="131"/>
        <v>KIỆN 14</v>
      </c>
      <c r="V583" t="str">
        <f t="shared" si="130"/>
        <v/>
      </c>
      <c r="W583" s="266"/>
      <c r="X583" s="266"/>
      <c r="Y583" s="266" t="str">
        <f t="shared" si="122"/>
        <v/>
      </c>
      <c r="Z583" s="266"/>
    </row>
    <row r="584" spans="1:26" ht="27" hidden="1" customHeight="1">
      <c r="A584" s="70" t="str">
        <f t="shared" si="118"/>
        <v/>
      </c>
      <c r="B584" s="70" t="str">
        <f t="shared" si="119"/>
        <v/>
      </c>
      <c r="C584" s="204" t="str" cm="1">
        <f t="array" ref="C584">IF(D584="","",
    IF(AND(ISNUMBER(D584), D584=INT(D584)),
        $V$6 &amp; " " &amp; (IFERROR(MAX($Y$12:$Y583), 0) + 1),
        IF(ISNUMBER(SEARCH(".", D584)), "", INDEX($C$12:$C584, MATCH(2, 1/($C$12:$C584 &lt;&gt; ""))))
    )
)</f>
        <v/>
      </c>
      <c r="D584" s="206"/>
      <c r="E584" s="206" t="str">
        <f>IF(AA584 = "", "",
    IF(ISNUMBER(SEARCH("Kiện", C584)),
       " GÓI " &amp; COUNTIF($C$13:C584, "*Kiện*") &amp; "/" &amp; COUNTIF($C$13:$C$1000, "*Kiện*") &amp; " " &amp; AA584,
       AA584)
)</f>
        <v/>
      </c>
      <c r="F584" s="206"/>
      <c r="G584" s="206"/>
      <c r="H584" s="206"/>
      <c r="I584" s="206"/>
      <c r="J584" s="206" t="str">
        <f t="shared" si="121"/>
        <v/>
      </c>
      <c r="K584" s="206" t="str">
        <f t="shared" si="123"/>
        <v/>
      </c>
      <c r="L584" s="206" t="str">
        <f t="shared" si="124"/>
        <v/>
      </c>
      <c r="M584" s="206" t="str">
        <f t="shared" si="125"/>
        <v/>
      </c>
      <c r="N584" s="206" t="str">
        <f t="shared" si="126"/>
        <v/>
      </c>
      <c r="O584" s="206" t="str">
        <f t="shared" si="127"/>
        <v/>
      </c>
      <c r="P584" s="84" t="str">
        <f t="shared" si="128"/>
        <v/>
      </c>
      <c r="Q584" s="205"/>
      <c r="R584" s="70" t="str">
        <f>IF(S584="IN",'BOM_Phan II'!$Y$3,"")</f>
        <v/>
      </c>
      <c r="S584" s="69" t="str">
        <f t="shared" si="120"/>
        <v/>
      </c>
      <c r="T584">
        <f t="shared" si="129"/>
        <v>3</v>
      </c>
      <c r="U584" t="str">
        <f t="shared" si="131"/>
        <v>KIỆN 14</v>
      </c>
      <c r="V584" t="str">
        <f t="shared" si="130"/>
        <v/>
      </c>
      <c r="W584" s="266"/>
      <c r="X584" s="266"/>
      <c r="Y584" s="266" t="str">
        <f t="shared" si="122"/>
        <v/>
      </c>
      <c r="Z584" s="266"/>
    </row>
    <row r="585" spans="1:26" ht="27" hidden="1" customHeight="1">
      <c r="A585" s="70" t="str">
        <f t="shared" si="118"/>
        <v/>
      </c>
      <c r="B585" s="70" t="str">
        <f t="shared" si="119"/>
        <v/>
      </c>
      <c r="C585" s="204" t="str" cm="1">
        <f t="array" ref="C585">IF(D585="","",
    IF(AND(ISNUMBER(D585), D585=INT(D585)),
        $V$6 &amp; " " &amp; (IFERROR(MAX($Y$12:$Y584), 0) + 1),
        IF(ISNUMBER(SEARCH(".", D585)), "", INDEX($C$12:$C585, MATCH(2, 1/($C$12:$C585 &lt;&gt; ""))))
    )
)</f>
        <v/>
      </c>
      <c r="D585" s="206"/>
      <c r="E585" s="206" t="str">
        <f>IF(AA585 = "", "",
    IF(ISNUMBER(SEARCH("Kiện", C585)),
       " GÓI " &amp; COUNTIF($C$13:C585, "*Kiện*") &amp; "/" &amp; COUNTIF($C$13:$C$1000, "*Kiện*") &amp; " " &amp; AA585,
       AA585)
)</f>
        <v/>
      </c>
      <c r="F585" s="206"/>
      <c r="G585" s="206"/>
      <c r="H585" s="206"/>
      <c r="I585" s="206"/>
      <c r="J585" s="206" t="str">
        <f t="shared" si="121"/>
        <v/>
      </c>
      <c r="K585" s="206" t="str">
        <f t="shared" si="123"/>
        <v/>
      </c>
      <c r="L585" s="206" t="str">
        <f t="shared" si="124"/>
        <v/>
      </c>
      <c r="M585" s="206" t="str">
        <f t="shared" si="125"/>
        <v/>
      </c>
      <c r="N585" s="206" t="str">
        <f t="shared" si="126"/>
        <v/>
      </c>
      <c r="O585" s="206" t="str">
        <f t="shared" si="127"/>
        <v/>
      </c>
      <c r="P585" s="84" t="str">
        <f t="shared" si="128"/>
        <v/>
      </c>
      <c r="Q585" s="205"/>
      <c r="R585" s="70" t="str">
        <f>IF(S585="IN",'BOM_Phan II'!$Y$3,"")</f>
        <v/>
      </c>
      <c r="S585" s="69" t="str">
        <f t="shared" si="120"/>
        <v/>
      </c>
      <c r="T585">
        <f t="shared" si="129"/>
        <v>3</v>
      </c>
      <c r="U585" t="str">
        <f t="shared" si="131"/>
        <v>KIỆN 14</v>
      </c>
      <c r="V585" t="str">
        <f t="shared" si="130"/>
        <v/>
      </c>
      <c r="W585" s="266"/>
      <c r="X585" s="266"/>
      <c r="Y585" s="266" t="str">
        <f t="shared" si="122"/>
        <v/>
      </c>
      <c r="Z585" s="266"/>
    </row>
    <row r="586" spans="1:26" ht="27" hidden="1" customHeight="1">
      <c r="A586" s="70" t="str">
        <f t="shared" si="118"/>
        <v/>
      </c>
      <c r="B586" s="70" t="str">
        <f t="shared" si="119"/>
        <v/>
      </c>
      <c r="C586" s="204" t="str" cm="1">
        <f t="array" ref="C586">IF(D586="","",
    IF(AND(ISNUMBER(D586), D586=INT(D586)),
        $V$6 &amp; " " &amp; (IFERROR(MAX($Y$12:$Y585), 0) + 1),
        IF(ISNUMBER(SEARCH(".", D586)), "", INDEX($C$12:$C586, MATCH(2, 1/($C$12:$C586 &lt;&gt; ""))))
    )
)</f>
        <v/>
      </c>
      <c r="D586" s="206"/>
      <c r="E586" s="206" t="str">
        <f>IF(AA586 = "", "",
    IF(ISNUMBER(SEARCH("Kiện", C586)),
       " GÓI " &amp; COUNTIF($C$13:C586, "*Kiện*") &amp; "/" &amp; COUNTIF($C$13:$C$1000, "*Kiện*") &amp; " " &amp; AA586,
       AA586)
)</f>
        <v/>
      </c>
      <c r="F586" s="206"/>
      <c r="G586" s="206"/>
      <c r="H586" s="206"/>
      <c r="I586" s="206"/>
      <c r="J586" s="206" t="str">
        <f t="shared" si="121"/>
        <v/>
      </c>
      <c r="K586" s="206" t="str">
        <f t="shared" si="123"/>
        <v/>
      </c>
      <c r="L586" s="206" t="str">
        <f t="shared" si="124"/>
        <v/>
      </c>
      <c r="M586" s="206" t="str">
        <f t="shared" si="125"/>
        <v/>
      </c>
      <c r="N586" s="206" t="str">
        <f t="shared" si="126"/>
        <v/>
      </c>
      <c r="O586" s="206" t="str">
        <f t="shared" si="127"/>
        <v/>
      </c>
      <c r="P586" s="84" t="str">
        <f t="shared" si="128"/>
        <v/>
      </c>
      <c r="Q586" s="205"/>
      <c r="R586" s="70" t="str">
        <f>IF(S586="IN",'BOM_Phan II'!$Y$3,"")</f>
        <v/>
      </c>
      <c r="S586" s="69" t="str">
        <f t="shared" si="120"/>
        <v/>
      </c>
      <c r="T586">
        <f t="shared" si="129"/>
        <v>3</v>
      </c>
      <c r="U586" t="str">
        <f t="shared" si="131"/>
        <v>KIỆN 14</v>
      </c>
      <c r="V586" t="str">
        <f t="shared" si="130"/>
        <v/>
      </c>
      <c r="W586" s="266"/>
      <c r="X586" s="266"/>
      <c r="Y586" s="266" t="str">
        <f t="shared" si="122"/>
        <v/>
      </c>
      <c r="Z586" s="266"/>
    </row>
    <row r="587" spans="1:26" ht="27" hidden="1" customHeight="1">
      <c r="A587" s="70" t="str">
        <f t="shared" si="118"/>
        <v/>
      </c>
      <c r="B587" s="70" t="str">
        <f t="shared" si="119"/>
        <v/>
      </c>
      <c r="C587" s="204" t="str" cm="1">
        <f t="array" ref="C587">IF(D587="","",
    IF(AND(ISNUMBER(D587), D587=INT(D587)),
        $V$6 &amp; " " &amp; (IFERROR(MAX($Y$12:$Y586), 0) + 1),
        IF(ISNUMBER(SEARCH(".", D587)), "", INDEX($C$12:$C587, MATCH(2, 1/($C$12:$C587 &lt;&gt; ""))))
    )
)</f>
        <v/>
      </c>
      <c r="D587" s="206"/>
      <c r="E587" s="206" t="str">
        <f>IF(AA587 = "", "",
    IF(ISNUMBER(SEARCH("Kiện", C587)),
       " GÓI " &amp; COUNTIF($C$13:C587, "*Kiện*") &amp; "/" &amp; COUNTIF($C$13:$C$1000, "*Kiện*") &amp; " " &amp; AA587,
       AA587)
)</f>
        <v/>
      </c>
      <c r="F587" s="206"/>
      <c r="G587" s="206"/>
      <c r="H587" s="206"/>
      <c r="I587" s="206"/>
      <c r="J587" s="206" t="str">
        <f t="shared" si="121"/>
        <v/>
      </c>
      <c r="K587" s="206" t="str">
        <f t="shared" si="123"/>
        <v/>
      </c>
      <c r="L587" s="206" t="str">
        <f t="shared" si="124"/>
        <v/>
      </c>
      <c r="M587" s="206" t="str">
        <f t="shared" si="125"/>
        <v/>
      </c>
      <c r="N587" s="206" t="str">
        <f t="shared" si="126"/>
        <v/>
      </c>
      <c r="O587" s="206" t="str">
        <f t="shared" si="127"/>
        <v/>
      </c>
      <c r="P587" s="84" t="str">
        <f t="shared" si="128"/>
        <v/>
      </c>
      <c r="Q587" s="205"/>
      <c r="R587" s="70" t="str">
        <f>IF(S587="IN",'BOM_Phan II'!$Y$3,"")</f>
        <v/>
      </c>
      <c r="S587" s="69" t="str">
        <f t="shared" si="120"/>
        <v/>
      </c>
      <c r="T587">
        <f t="shared" si="129"/>
        <v>3</v>
      </c>
      <c r="U587" t="str">
        <f t="shared" si="131"/>
        <v>KIỆN 14</v>
      </c>
      <c r="V587" t="str">
        <f t="shared" si="130"/>
        <v/>
      </c>
      <c r="W587" s="266"/>
      <c r="X587" s="266"/>
      <c r="Y587" s="266" t="str">
        <f t="shared" si="122"/>
        <v/>
      </c>
      <c r="Z587" s="266"/>
    </row>
    <row r="588" spans="1:26" ht="27" hidden="1" customHeight="1">
      <c r="A588" s="70" t="str">
        <f t="shared" ref="A588:A651" si="132">IF(S588="IN",$E$6,"")</f>
        <v/>
      </c>
      <c r="B588" s="70" t="str">
        <f t="shared" ref="B588:B651" si="133">IF(S588="IN","Muc "&amp;$E$7,"")</f>
        <v/>
      </c>
      <c r="C588" s="204" t="str" cm="1">
        <f t="array" ref="C588">IF(D588="","",
    IF(AND(ISNUMBER(D588), D588=INT(D588)),
        $V$6 &amp; " " &amp; (IFERROR(MAX($Y$12:$Y587), 0) + 1),
        IF(ISNUMBER(SEARCH(".", D588)), "", INDEX($C$12:$C588, MATCH(2, 1/($C$12:$C588 &lt;&gt; ""))))
    )
)</f>
        <v/>
      </c>
      <c r="D588" s="206"/>
      <c r="E588" s="206" t="str">
        <f>IF(AA588 = "", "",
    IF(ISNUMBER(SEARCH("Kiện", C588)),
       " GÓI " &amp; COUNTIF($C$13:C588, "*Kiện*") &amp; "/" &amp; COUNTIF($C$13:$C$1000, "*Kiện*") &amp; " " &amp; AA588,
       AA588)
)</f>
        <v/>
      </c>
      <c r="F588" s="206"/>
      <c r="G588" s="206"/>
      <c r="H588" s="206"/>
      <c r="I588" s="206"/>
      <c r="J588" s="206" t="str">
        <f t="shared" si="121"/>
        <v/>
      </c>
      <c r="K588" s="206" t="str">
        <f t="shared" si="123"/>
        <v/>
      </c>
      <c r="L588" s="206" t="str">
        <f t="shared" si="124"/>
        <v/>
      </c>
      <c r="M588" s="206" t="str">
        <f t="shared" si="125"/>
        <v/>
      </c>
      <c r="N588" s="206" t="str">
        <f t="shared" si="126"/>
        <v/>
      </c>
      <c r="O588" s="206" t="str">
        <f t="shared" si="127"/>
        <v/>
      </c>
      <c r="P588" s="84" t="str">
        <f t="shared" si="128"/>
        <v/>
      </c>
      <c r="Q588" s="205"/>
      <c r="R588" s="70" t="str">
        <f>IF(S588="IN",'BOM_Phan II'!$Y$3,"")</f>
        <v/>
      </c>
      <c r="S588" s="69" t="str">
        <f t="shared" ref="S588:S651" si="134">IF(OR(E588&lt;&gt;"",D588&lt;&gt;""),"IN","")</f>
        <v/>
      </c>
      <c r="T588">
        <f t="shared" si="129"/>
        <v>3</v>
      </c>
      <c r="U588" t="str">
        <f t="shared" si="131"/>
        <v>KIỆN 14</v>
      </c>
      <c r="V588" t="str">
        <f t="shared" si="130"/>
        <v/>
      </c>
      <c r="W588" s="266"/>
      <c r="X588" s="266"/>
      <c r="Y588" s="266" t="str">
        <f t="shared" si="122"/>
        <v/>
      </c>
      <c r="Z588" s="266"/>
    </row>
    <row r="589" spans="1:26" ht="27" hidden="1" customHeight="1">
      <c r="A589" s="70" t="str">
        <f t="shared" si="132"/>
        <v/>
      </c>
      <c r="B589" s="70" t="str">
        <f t="shared" si="133"/>
        <v/>
      </c>
      <c r="C589" s="204" t="str" cm="1">
        <f t="array" ref="C589">IF(D589="","",
    IF(AND(ISNUMBER(D589), D589=INT(D589)),
        $V$6 &amp; " " &amp; (IFERROR(MAX($Y$12:$Y588), 0) + 1),
        IF(ISNUMBER(SEARCH(".", D589)), "", INDEX($C$12:$C589, MATCH(2, 1/($C$12:$C589 &lt;&gt; ""))))
    )
)</f>
        <v/>
      </c>
      <c r="D589" s="206"/>
      <c r="E589" s="206" t="str">
        <f>IF(AA589 = "", "",
    IF(ISNUMBER(SEARCH("Kiện", C589)),
       " GÓI " &amp; COUNTIF($C$13:C589, "*Kiện*") &amp; "/" &amp; COUNTIF($C$13:$C$1000, "*Kiện*") &amp; " " &amp; AA589,
       AA589)
)</f>
        <v/>
      </c>
      <c r="F589" s="206"/>
      <c r="G589" s="206"/>
      <c r="H589" s="206"/>
      <c r="I589" s="206"/>
      <c r="J589" s="206" t="str">
        <f t="shared" ref="J589:J652" si="135">IF(C589&lt;&gt;"",C589&amp;"_"&amp;$E$6,"")</f>
        <v/>
      </c>
      <c r="K589" s="206" t="str">
        <f t="shared" si="123"/>
        <v/>
      </c>
      <c r="L589" s="206" t="str">
        <f t="shared" si="124"/>
        <v/>
      </c>
      <c r="M589" s="206" t="str">
        <f t="shared" si="125"/>
        <v/>
      </c>
      <c r="N589" s="206" t="str">
        <f t="shared" si="126"/>
        <v/>
      </c>
      <c r="O589" s="206" t="str">
        <f t="shared" si="127"/>
        <v/>
      </c>
      <c r="P589" s="84" t="str">
        <f t="shared" si="128"/>
        <v/>
      </c>
      <c r="Q589" s="205"/>
      <c r="R589" s="70" t="str">
        <f>IF(S589="IN",'BOM_Phan II'!$Y$3,"")</f>
        <v/>
      </c>
      <c r="S589" s="69" t="str">
        <f t="shared" si="134"/>
        <v/>
      </c>
      <c r="T589">
        <f t="shared" si="129"/>
        <v>3</v>
      </c>
      <c r="U589" t="str">
        <f t="shared" si="131"/>
        <v>KIỆN 14</v>
      </c>
      <c r="V589" t="str">
        <f t="shared" si="130"/>
        <v/>
      </c>
      <c r="W589" s="266"/>
      <c r="X589" s="266"/>
      <c r="Y589" s="266" t="str">
        <f t="shared" ref="Y589:Y652" si="136">IFERROR(VALUE(RIGHT(C589,LEN(C589)-5)),"")</f>
        <v/>
      </c>
      <c r="Z589" s="266"/>
    </row>
    <row r="590" spans="1:26" ht="27" hidden="1" customHeight="1">
      <c r="A590" s="70" t="str">
        <f t="shared" si="132"/>
        <v/>
      </c>
      <c r="B590" s="70" t="str">
        <f t="shared" si="133"/>
        <v/>
      </c>
      <c r="C590" s="204" t="str" cm="1">
        <f t="array" ref="C590">IF(D590="","",
    IF(AND(ISNUMBER(D590), D590=INT(D590)),
        $V$6 &amp; " " &amp; (IFERROR(MAX($Y$12:$Y589), 0) + 1),
        IF(ISNUMBER(SEARCH(".", D590)), "", INDEX($C$12:$C590, MATCH(2, 1/($C$12:$C590 &lt;&gt; ""))))
    )
)</f>
        <v/>
      </c>
      <c r="D590" s="206"/>
      <c r="E590" s="206" t="str">
        <f>IF(AA590 = "", "",
    IF(ISNUMBER(SEARCH("Kiện", C590)),
       " GÓI " &amp; COUNTIF($C$13:C590, "*Kiện*") &amp; "/" &amp; COUNTIF($C$13:$C$1000, "*Kiện*") &amp; " " &amp; AA590,
       AA590)
)</f>
        <v/>
      </c>
      <c r="F590" s="206"/>
      <c r="G590" s="206"/>
      <c r="H590" s="206"/>
      <c r="I590" s="206"/>
      <c r="J590" s="206" t="str">
        <f t="shared" si="135"/>
        <v/>
      </c>
      <c r="K590" s="206" t="str">
        <f t="shared" ref="K590:K653" si="137">IFERROR(IF($C590&lt;&gt;"",IF($T$13=1,F590+20,IF($T$13=2,F590+20,IF($T$13=3,F590+50,IF($T$13=4,F590+40,IF($T$13=5,F590+50,IF($T$13=51,F590+50,IF($T$13=6,F590+50,IF($T$13=7,F590+50,"")))))))),""),"")</f>
        <v/>
      </c>
      <c r="L590" s="206" t="str">
        <f t="shared" ref="L590:L653" si="138">IFERROR(IF($C590&lt;&gt;"",IF($T$13=1,G590+20,IF($T$13=2,G590+20,IF($T$13=3,G590+50,IF($T$13=4,G590+40,IF($T$13=5,G590+50,IF($T$13=51,G590+50,IF($T$13=6,G590+50,IF($T$13=7,G590+50,"")))))))),""),"")</f>
        <v/>
      </c>
      <c r="M590" s="206" t="str">
        <f t="shared" ref="M590:M653" si="139">IFERROR(IF($C590&lt;&gt;"",IF($T$13=1,H590+20,IF($T$13=2,H590+20,IF($T$13=3,H590+70,IF($T$13=4,H590+40,IF($T$13=5,H590+50,IF($T$13=51,H590+150,IF($T$13=6,H590+50,IF($T$13=7,H590+50,"")))))))),""),"")</f>
        <v/>
      </c>
      <c r="N590" s="206" t="str">
        <f t="shared" ref="N590:N653" si="140">IF(C590&lt;&gt;"",I590,"")</f>
        <v/>
      </c>
      <c r="O590" s="206" t="str">
        <f t="shared" ref="O590:O653" si="141">IF(C590&lt;&gt;"",$O$13,"")</f>
        <v/>
      </c>
      <c r="P590" s="84" t="str">
        <f t="shared" ref="P590:P653" si="142">IFERROR(IF(C590&lt;&gt;"",SUMIFS($V$13:$V$969,$U$13:$U$969,C590)*$S$6,V590*$S$6),"")</f>
        <v/>
      </c>
      <c r="Q590" s="205"/>
      <c r="R590" s="70" t="str">
        <f>IF(S590="IN",'BOM_Phan II'!$Y$3,"")</f>
        <v/>
      </c>
      <c r="S590" s="69" t="str">
        <f t="shared" si="134"/>
        <v/>
      </c>
      <c r="T590">
        <f t="shared" ref="T590:T653" si="143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3</v>
      </c>
      <c r="U590" t="str">
        <f t="shared" si="131"/>
        <v>KIỆN 14</v>
      </c>
      <c r="V590" t="str">
        <f t="shared" ref="V590:V653" si="144">IFERROR(IF(AND(C590="", OR($W590="1", $W590="2")), IF(I590="", "", F590*G590*H590*I590/10^9), ""), "")</f>
        <v/>
      </c>
      <c r="W590" s="266"/>
      <c r="X590" s="266"/>
      <c r="Y590" s="266" t="str">
        <f t="shared" si="136"/>
        <v/>
      </c>
      <c r="Z590" s="266"/>
    </row>
    <row r="591" spans="1:26" ht="27" hidden="1" customHeight="1">
      <c r="A591" s="70" t="str">
        <f t="shared" si="132"/>
        <v/>
      </c>
      <c r="B591" s="70" t="str">
        <f t="shared" si="133"/>
        <v/>
      </c>
      <c r="C591" s="204" t="str" cm="1">
        <f t="array" ref="C591">IF(D591="","",
    IF(AND(ISNUMBER(D591), D591=INT(D591)),
        $V$6 &amp; " " &amp; (IFERROR(MAX($Y$12:$Y590), 0) + 1),
        IF(ISNUMBER(SEARCH(".", D591)), "", INDEX($C$12:$C591, MATCH(2, 1/($C$12:$C591 &lt;&gt; ""))))
    )
)</f>
        <v/>
      </c>
      <c r="D591" s="206"/>
      <c r="E591" s="206" t="str">
        <f>IF(AA591 = "", "",
    IF(ISNUMBER(SEARCH("Kiện", C591)),
       " GÓI " &amp; COUNTIF($C$13:C591, "*Kiện*") &amp; "/" &amp; COUNTIF($C$13:$C$1000, "*Kiện*") &amp; " " &amp; AA591,
       AA591)
)</f>
        <v/>
      </c>
      <c r="F591" s="206"/>
      <c r="G591" s="206"/>
      <c r="H591" s="206"/>
      <c r="I591" s="206"/>
      <c r="J591" s="206" t="str">
        <f t="shared" si="135"/>
        <v/>
      </c>
      <c r="K591" s="206" t="str">
        <f t="shared" si="137"/>
        <v/>
      </c>
      <c r="L591" s="206" t="str">
        <f t="shared" si="138"/>
        <v/>
      </c>
      <c r="M591" s="206" t="str">
        <f t="shared" si="139"/>
        <v/>
      </c>
      <c r="N591" s="206" t="str">
        <f t="shared" si="140"/>
        <v/>
      </c>
      <c r="O591" s="206" t="str">
        <f t="shared" si="141"/>
        <v/>
      </c>
      <c r="P591" s="84" t="str">
        <f t="shared" si="142"/>
        <v/>
      </c>
      <c r="Q591" s="205"/>
      <c r="R591" s="70" t="str">
        <f>IF(S591="IN",'BOM_Phan II'!$Y$3,"")</f>
        <v/>
      </c>
      <c r="S591" s="69" t="str">
        <f t="shared" si="134"/>
        <v/>
      </c>
      <c r="T591">
        <f t="shared" si="143"/>
        <v>3</v>
      </c>
      <c r="U591" t="str">
        <f t="shared" si="131"/>
        <v>KIỆN 14</v>
      </c>
      <c r="V591" t="str">
        <f t="shared" si="144"/>
        <v/>
      </c>
      <c r="W591" s="266"/>
      <c r="X591" s="266"/>
      <c r="Y591" s="266" t="str">
        <f t="shared" si="136"/>
        <v/>
      </c>
      <c r="Z591" s="266"/>
    </row>
    <row r="592" spans="1:26" ht="27" hidden="1" customHeight="1">
      <c r="A592" s="70" t="str">
        <f t="shared" si="132"/>
        <v/>
      </c>
      <c r="B592" s="70" t="str">
        <f t="shared" si="133"/>
        <v/>
      </c>
      <c r="C592" s="204" t="str" cm="1">
        <f t="array" ref="C592">IF(D592="","",
    IF(AND(ISNUMBER(D592), D592=INT(D592)),
        $V$6 &amp; " " &amp; (IFERROR(MAX($Y$12:$Y591), 0) + 1),
        IF(ISNUMBER(SEARCH(".", D592)), "", INDEX($C$12:$C592, MATCH(2, 1/($C$12:$C592 &lt;&gt; ""))))
    )
)</f>
        <v/>
      </c>
      <c r="D592" s="206"/>
      <c r="E592" s="206" t="str">
        <f>IF(AA592 = "", "",
    IF(ISNUMBER(SEARCH("Kiện", C592)),
       " GÓI " &amp; COUNTIF($C$13:C592, "*Kiện*") &amp; "/" &amp; COUNTIF($C$13:$C$1000, "*Kiện*") &amp; " " &amp; AA592,
       AA592)
)</f>
        <v/>
      </c>
      <c r="F592" s="206"/>
      <c r="G592" s="206"/>
      <c r="H592" s="206"/>
      <c r="I592" s="206"/>
      <c r="J592" s="206" t="str">
        <f t="shared" si="135"/>
        <v/>
      </c>
      <c r="K592" s="206" t="str">
        <f t="shared" si="137"/>
        <v/>
      </c>
      <c r="L592" s="206" t="str">
        <f t="shared" si="138"/>
        <v/>
      </c>
      <c r="M592" s="206" t="str">
        <f t="shared" si="139"/>
        <v/>
      </c>
      <c r="N592" s="206" t="str">
        <f t="shared" si="140"/>
        <v/>
      </c>
      <c r="O592" s="206" t="str">
        <f t="shared" si="141"/>
        <v/>
      </c>
      <c r="P592" s="84" t="str">
        <f t="shared" si="142"/>
        <v/>
      </c>
      <c r="Q592" s="205"/>
      <c r="R592" s="70" t="str">
        <f>IF(S592="IN",'BOM_Phan II'!$Y$3,"")</f>
        <v/>
      </c>
      <c r="S592" s="69" t="str">
        <f t="shared" si="134"/>
        <v/>
      </c>
      <c r="T592">
        <f t="shared" si="143"/>
        <v>3</v>
      </c>
      <c r="U592" t="str">
        <f t="shared" ref="U592:U622" si="145">IF(C592="",U591,C592)</f>
        <v>KIỆN 14</v>
      </c>
      <c r="V592" t="str">
        <f t="shared" si="144"/>
        <v/>
      </c>
      <c r="W592" s="266"/>
      <c r="X592" s="266"/>
      <c r="Y592" s="266" t="str">
        <f t="shared" si="136"/>
        <v/>
      </c>
      <c r="Z592" s="266"/>
    </row>
    <row r="593" spans="1:26" ht="27" hidden="1" customHeight="1">
      <c r="A593" s="70" t="str">
        <f t="shared" si="132"/>
        <v/>
      </c>
      <c r="B593" s="70" t="str">
        <f t="shared" si="133"/>
        <v/>
      </c>
      <c r="C593" s="204" t="str" cm="1">
        <f t="array" ref="C593">IF(D593="","",
    IF(AND(ISNUMBER(D593), D593=INT(D593)),
        $V$6 &amp; " " &amp; (IFERROR(MAX($Y$12:$Y592), 0) + 1),
        IF(ISNUMBER(SEARCH(".", D593)), "", INDEX($C$12:$C593, MATCH(2, 1/($C$12:$C593 &lt;&gt; ""))))
    )
)</f>
        <v/>
      </c>
      <c r="D593" s="206"/>
      <c r="E593" s="206" t="str">
        <f>IF(AA593 = "", "",
    IF(ISNUMBER(SEARCH("Kiện", C593)),
       " GÓI " &amp; COUNTIF($C$13:C593, "*Kiện*") &amp; "/" &amp; COUNTIF($C$13:$C$1000, "*Kiện*") &amp; " " &amp; AA593,
       AA593)
)</f>
        <v/>
      </c>
      <c r="F593" s="206"/>
      <c r="G593" s="206"/>
      <c r="H593" s="206"/>
      <c r="I593" s="206"/>
      <c r="J593" s="206" t="str">
        <f t="shared" si="135"/>
        <v/>
      </c>
      <c r="K593" s="206" t="str">
        <f t="shared" si="137"/>
        <v/>
      </c>
      <c r="L593" s="206" t="str">
        <f t="shared" si="138"/>
        <v/>
      </c>
      <c r="M593" s="206" t="str">
        <f t="shared" si="139"/>
        <v/>
      </c>
      <c r="N593" s="206" t="str">
        <f t="shared" si="140"/>
        <v/>
      </c>
      <c r="O593" s="206" t="str">
        <f t="shared" si="141"/>
        <v/>
      </c>
      <c r="P593" s="84" t="str">
        <f t="shared" si="142"/>
        <v/>
      </c>
      <c r="Q593" s="205"/>
      <c r="R593" s="70" t="str">
        <f>IF(S593="IN",'BOM_Phan II'!$Y$3,"")</f>
        <v/>
      </c>
      <c r="S593" s="69" t="str">
        <f t="shared" si="134"/>
        <v/>
      </c>
      <c r="T593">
        <f t="shared" si="143"/>
        <v>3</v>
      </c>
      <c r="U593" t="str">
        <f t="shared" si="145"/>
        <v>KIỆN 14</v>
      </c>
      <c r="V593" t="str">
        <f t="shared" si="144"/>
        <v/>
      </c>
      <c r="W593" s="266"/>
      <c r="X593" s="266"/>
      <c r="Y593" s="266" t="str">
        <f t="shared" si="136"/>
        <v/>
      </c>
      <c r="Z593" s="266"/>
    </row>
    <row r="594" spans="1:26" ht="27" hidden="1" customHeight="1">
      <c r="A594" s="70" t="str">
        <f t="shared" si="132"/>
        <v/>
      </c>
      <c r="B594" s="70" t="str">
        <f t="shared" si="133"/>
        <v/>
      </c>
      <c r="C594" s="204" t="str" cm="1">
        <f t="array" ref="C594">IF(D594="","",
    IF(AND(ISNUMBER(D594), D594=INT(D594)),
        $V$6 &amp; " " &amp; (IFERROR(MAX($Y$12:$Y593), 0) + 1),
        IF(ISNUMBER(SEARCH(".", D594)), "", INDEX($C$12:$C594, MATCH(2, 1/($C$12:$C594 &lt;&gt; ""))))
    )
)</f>
        <v/>
      </c>
      <c r="D594" s="206"/>
      <c r="E594" s="206" t="str">
        <f>IF(AA594 = "", "",
    IF(ISNUMBER(SEARCH("Kiện", C594)),
       " GÓI " &amp; COUNTIF($C$13:C594, "*Kiện*") &amp; "/" &amp; COUNTIF($C$13:$C$1000, "*Kiện*") &amp; " " &amp; AA594,
       AA594)
)</f>
        <v/>
      </c>
      <c r="F594" s="206"/>
      <c r="G594" s="206"/>
      <c r="H594" s="206"/>
      <c r="I594" s="206"/>
      <c r="J594" s="206" t="str">
        <f t="shared" si="135"/>
        <v/>
      </c>
      <c r="K594" s="206" t="str">
        <f t="shared" si="137"/>
        <v/>
      </c>
      <c r="L594" s="206" t="str">
        <f t="shared" si="138"/>
        <v/>
      </c>
      <c r="M594" s="206" t="str">
        <f t="shared" si="139"/>
        <v/>
      </c>
      <c r="N594" s="206" t="str">
        <f t="shared" si="140"/>
        <v/>
      </c>
      <c r="O594" s="206" t="str">
        <f t="shared" si="141"/>
        <v/>
      </c>
      <c r="P594" s="84" t="str">
        <f t="shared" si="142"/>
        <v/>
      </c>
      <c r="Q594" s="205"/>
      <c r="R594" s="70" t="str">
        <f>IF(S594="IN",'BOM_Phan II'!$Y$3,"")</f>
        <v/>
      </c>
      <c r="S594" s="69" t="str">
        <f t="shared" si="134"/>
        <v/>
      </c>
      <c r="T594">
        <f t="shared" si="143"/>
        <v>3</v>
      </c>
      <c r="U594" t="str">
        <f t="shared" si="145"/>
        <v>KIỆN 14</v>
      </c>
      <c r="V594" t="str">
        <f t="shared" si="144"/>
        <v/>
      </c>
      <c r="W594" s="266"/>
      <c r="X594" s="266"/>
      <c r="Y594" s="266" t="str">
        <f t="shared" si="136"/>
        <v/>
      </c>
      <c r="Z594" s="266"/>
    </row>
    <row r="595" spans="1:26" ht="27" hidden="1" customHeight="1">
      <c r="A595" s="70" t="str">
        <f t="shared" si="132"/>
        <v/>
      </c>
      <c r="B595" s="70" t="str">
        <f t="shared" si="133"/>
        <v/>
      </c>
      <c r="C595" s="204" t="str" cm="1">
        <f t="array" ref="C595">IF(D595="","",
    IF(AND(ISNUMBER(D595), D595=INT(D595)),
        $V$6 &amp; " " &amp; (IFERROR(MAX($Y$12:$Y594), 0) + 1),
        IF(ISNUMBER(SEARCH(".", D595)), "", INDEX($C$12:$C595, MATCH(2, 1/($C$12:$C595 &lt;&gt; ""))))
    )
)</f>
        <v/>
      </c>
      <c r="D595" s="206"/>
      <c r="E595" s="206" t="str">
        <f>IF(AA595 = "", "",
    IF(ISNUMBER(SEARCH("Kiện", C595)),
       " GÓI " &amp; COUNTIF($C$13:C595, "*Kiện*") &amp; "/" &amp; COUNTIF($C$13:$C$1000, "*Kiện*") &amp; " " &amp; AA595,
       AA595)
)</f>
        <v/>
      </c>
      <c r="F595" s="206"/>
      <c r="G595" s="206"/>
      <c r="H595" s="206"/>
      <c r="I595" s="206"/>
      <c r="J595" s="206" t="str">
        <f t="shared" si="135"/>
        <v/>
      </c>
      <c r="K595" s="206" t="str">
        <f t="shared" si="137"/>
        <v/>
      </c>
      <c r="L595" s="206" t="str">
        <f t="shared" si="138"/>
        <v/>
      </c>
      <c r="M595" s="206" t="str">
        <f t="shared" si="139"/>
        <v/>
      </c>
      <c r="N595" s="206" t="str">
        <f t="shared" si="140"/>
        <v/>
      </c>
      <c r="O595" s="206" t="str">
        <f t="shared" si="141"/>
        <v/>
      </c>
      <c r="P595" s="84" t="str">
        <f t="shared" si="142"/>
        <v/>
      </c>
      <c r="Q595" s="205"/>
      <c r="R595" s="70" t="str">
        <f>IF(S595="IN",'BOM_Phan II'!$Y$3,"")</f>
        <v/>
      </c>
      <c r="S595" s="69" t="str">
        <f t="shared" si="134"/>
        <v/>
      </c>
      <c r="T595">
        <f t="shared" si="143"/>
        <v>3</v>
      </c>
      <c r="U595" t="str">
        <f t="shared" si="145"/>
        <v>KIỆN 14</v>
      </c>
      <c r="V595" t="str">
        <f t="shared" si="144"/>
        <v/>
      </c>
      <c r="W595" s="266"/>
      <c r="X595" s="266"/>
      <c r="Y595" s="266" t="str">
        <f t="shared" si="136"/>
        <v/>
      </c>
      <c r="Z595" s="266"/>
    </row>
    <row r="596" spans="1:26" ht="27" hidden="1" customHeight="1">
      <c r="A596" s="70" t="str">
        <f t="shared" si="132"/>
        <v/>
      </c>
      <c r="B596" s="70" t="str">
        <f t="shared" si="133"/>
        <v/>
      </c>
      <c r="C596" s="204" t="str" cm="1">
        <f t="array" ref="C596">IF(D596="","",
    IF(AND(ISNUMBER(D596), D596=INT(D596)),
        $V$6 &amp; " " &amp; (IFERROR(MAX($Y$12:$Y595), 0) + 1),
        IF(ISNUMBER(SEARCH(".", D596)), "", INDEX($C$12:$C596, MATCH(2, 1/($C$12:$C596 &lt;&gt; ""))))
    )
)</f>
        <v/>
      </c>
      <c r="D596" s="206"/>
      <c r="E596" s="206" t="str">
        <f>IF(AA596 = "", "",
    IF(ISNUMBER(SEARCH("Kiện", C596)),
       " GÓI " &amp; COUNTIF($C$13:C596, "*Kiện*") &amp; "/" &amp; COUNTIF($C$13:$C$1000, "*Kiện*") &amp; " " &amp; AA596,
       AA596)
)</f>
        <v/>
      </c>
      <c r="F596" s="206"/>
      <c r="G596" s="206"/>
      <c r="H596" s="206"/>
      <c r="I596" s="206"/>
      <c r="J596" s="206" t="str">
        <f t="shared" si="135"/>
        <v/>
      </c>
      <c r="K596" s="206" t="str">
        <f t="shared" si="137"/>
        <v/>
      </c>
      <c r="L596" s="206" t="str">
        <f t="shared" si="138"/>
        <v/>
      </c>
      <c r="M596" s="206" t="str">
        <f t="shared" si="139"/>
        <v/>
      </c>
      <c r="N596" s="206" t="str">
        <f t="shared" si="140"/>
        <v/>
      </c>
      <c r="O596" s="206" t="str">
        <f t="shared" si="141"/>
        <v/>
      </c>
      <c r="P596" s="84" t="str">
        <f t="shared" si="142"/>
        <v/>
      </c>
      <c r="Q596" s="205"/>
      <c r="R596" s="70" t="str">
        <f>IF(S596="IN",'BOM_Phan II'!$Y$3,"")</f>
        <v/>
      </c>
      <c r="S596" s="69" t="str">
        <f t="shared" si="134"/>
        <v/>
      </c>
      <c r="T596">
        <f t="shared" si="143"/>
        <v>3</v>
      </c>
      <c r="U596" t="str">
        <f t="shared" si="145"/>
        <v>KIỆN 14</v>
      </c>
      <c r="V596" t="str">
        <f t="shared" si="144"/>
        <v/>
      </c>
      <c r="W596" s="266"/>
      <c r="X596" s="266"/>
      <c r="Y596" s="266" t="str">
        <f t="shared" si="136"/>
        <v/>
      </c>
      <c r="Z596" s="266"/>
    </row>
    <row r="597" spans="1:26" ht="27" hidden="1" customHeight="1">
      <c r="A597" s="70" t="str">
        <f t="shared" si="132"/>
        <v/>
      </c>
      <c r="B597" s="70" t="str">
        <f t="shared" si="133"/>
        <v/>
      </c>
      <c r="C597" s="204" t="str" cm="1">
        <f t="array" ref="C597">IF(D597="","",
    IF(AND(ISNUMBER(D597), D597=INT(D597)),
        $V$6 &amp; " " &amp; (IFERROR(MAX($Y$12:$Y596), 0) + 1),
        IF(ISNUMBER(SEARCH(".", D597)), "", INDEX($C$12:$C597, MATCH(2, 1/($C$12:$C597 &lt;&gt; ""))))
    )
)</f>
        <v/>
      </c>
      <c r="D597" s="206"/>
      <c r="E597" s="206" t="str">
        <f>IF(AA597 = "", "",
    IF(ISNUMBER(SEARCH("Kiện", C597)),
       " GÓI " &amp; COUNTIF($C$13:C597, "*Kiện*") &amp; "/" &amp; COUNTIF($C$13:$C$1000, "*Kiện*") &amp; " " &amp; AA597,
       AA597)
)</f>
        <v/>
      </c>
      <c r="F597" s="206"/>
      <c r="G597" s="206"/>
      <c r="H597" s="206"/>
      <c r="I597" s="206"/>
      <c r="J597" s="206" t="str">
        <f t="shared" si="135"/>
        <v/>
      </c>
      <c r="K597" s="206" t="str">
        <f t="shared" si="137"/>
        <v/>
      </c>
      <c r="L597" s="206" t="str">
        <f t="shared" si="138"/>
        <v/>
      </c>
      <c r="M597" s="206" t="str">
        <f t="shared" si="139"/>
        <v/>
      </c>
      <c r="N597" s="206" t="str">
        <f t="shared" si="140"/>
        <v/>
      </c>
      <c r="O597" s="206" t="str">
        <f t="shared" si="141"/>
        <v/>
      </c>
      <c r="P597" s="84" t="str">
        <f t="shared" si="142"/>
        <v/>
      </c>
      <c r="Q597" s="205"/>
      <c r="R597" s="70" t="str">
        <f>IF(S597="IN",'BOM_Phan II'!$Y$3,"")</f>
        <v/>
      </c>
      <c r="S597" s="69" t="str">
        <f t="shared" si="134"/>
        <v/>
      </c>
      <c r="T597">
        <f t="shared" si="143"/>
        <v>3</v>
      </c>
      <c r="U597" t="str">
        <f t="shared" si="145"/>
        <v>KIỆN 14</v>
      </c>
      <c r="V597" t="str">
        <f t="shared" si="144"/>
        <v/>
      </c>
      <c r="W597" s="266"/>
      <c r="X597" s="266"/>
      <c r="Y597" s="266" t="str">
        <f t="shared" si="136"/>
        <v/>
      </c>
      <c r="Z597" s="266"/>
    </row>
    <row r="598" spans="1:26" ht="27" hidden="1" customHeight="1">
      <c r="A598" s="70" t="str">
        <f t="shared" si="132"/>
        <v/>
      </c>
      <c r="B598" s="70" t="str">
        <f t="shared" si="133"/>
        <v/>
      </c>
      <c r="C598" s="204" t="str" cm="1">
        <f t="array" ref="C598">IF(D598="","",
    IF(AND(ISNUMBER(D598), D598=INT(D598)),
        $V$6 &amp; " " &amp; (IFERROR(MAX($Y$12:$Y597), 0) + 1),
        IF(ISNUMBER(SEARCH(".", D598)), "", INDEX($C$12:$C598, MATCH(2, 1/($C$12:$C598 &lt;&gt; ""))))
    )
)</f>
        <v/>
      </c>
      <c r="D598" s="206"/>
      <c r="E598" s="206" t="str">
        <f>IF(AA598 = "", "",
    IF(ISNUMBER(SEARCH("Kiện", C598)),
       " GÓI " &amp; COUNTIF($C$13:C598, "*Kiện*") &amp; "/" &amp; COUNTIF($C$13:$C$1000, "*Kiện*") &amp; " " &amp; AA598,
       AA598)
)</f>
        <v/>
      </c>
      <c r="F598" s="206"/>
      <c r="G598" s="206"/>
      <c r="H598" s="206"/>
      <c r="I598" s="206"/>
      <c r="J598" s="206" t="str">
        <f t="shared" si="135"/>
        <v/>
      </c>
      <c r="K598" s="206" t="str">
        <f t="shared" si="137"/>
        <v/>
      </c>
      <c r="L598" s="206" t="str">
        <f t="shared" si="138"/>
        <v/>
      </c>
      <c r="M598" s="206" t="str">
        <f t="shared" si="139"/>
        <v/>
      </c>
      <c r="N598" s="206" t="str">
        <f t="shared" si="140"/>
        <v/>
      </c>
      <c r="O598" s="206" t="str">
        <f t="shared" si="141"/>
        <v/>
      </c>
      <c r="P598" s="84" t="str">
        <f t="shared" si="142"/>
        <v/>
      </c>
      <c r="Q598" s="205"/>
      <c r="R598" s="70" t="str">
        <f>IF(S598="IN",'BOM_Phan II'!$Y$3,"")</f>
        <v/>
      </c>
      <c r="S598" s="69" t="str">
        <f t="shared" si="134"/>
        <v/>
      </c>
      <c r="T598">
        <f t="shared" si="143"/>
        <v>3</v>
      </c>
      <c r="U598" t="str">
        <f t="shared" si="145"/>
        <v>KIỆN 14</v>
      </c>
      <c r="V598" t="str">
        <f t="shared" si="144"/>
        <v/>
      </c>
      <c r="W598" s="266"/>
      <c r="X598" s="266"/>
      <c r="Y598" s="266" t="str">
        <f t="shared" si="136"/>
        <v/>
      </c>
      <c r="Z598" s="266"/>
    </row>
    <row r="599" spans="1:26" ht="27" hidden="1" customHeight="1">
      <c r="A599" s="70" t="str">
        <f t="shared" si="132"/>
        <v/>
      </c>
      <c r="B599" s="70" t="str">
        <f t="shared" si="133"/>
        <v/>
      </c>
      <c r="C599" s="204" t="str" cm="1">
        <f t="array" ref="C599">IF(D599="","",
    IF(AND(ISNUMBER(D599), D599=INT(D599)),
        $V$6 &amp; " " &amp; (IFERROR(MAX($Y$12:$Y598), 0) + 1),
        IF(ISNUMBER(SEARCH(".", D599)), "", INDEX($C$12:$C599, MATCH(2, 1/($C$12:$C599 &lt;&gt; ""))))
    )
)</f>
        <v/>
      </c>
      <c r="D599" s="206"/>
      <c r="E599" s="206" t="str">
        <f>IF(AA599 = "", "",
    IF(ISNUMBER(SEARCH("Kiện", C599)),
       " GÓI " &amp; COUNTIF($C$13:C599, "*Kiện*") &amp; "/" &amp; COUNTIF($C$13:$C$1000, "*Kiện*") &amp; " " &amp; AA599,
       AA599)
)</f>
        <v/>
      </c>
      <c r="F599" s="206"/>
      <c r="G599" s="206"/>
      <c r="H599" s="206"/>
      <c r="I599" s="206"/>
      <c r="J599" s="206" t="str">
        <f t="shared" si="135"/>
        <v/>
      </c>
      <c r="K599" s="206" t="str">
        <f t="shared" si="137"/>
        <v/>
      </c>
      <c r="L599" s="206" t="str">
        <f t="shared" si="138"/>
        <v/>
      </c>
      <c r="M599" s="206" t="str">
        <f t="shared" si="139"/>
        <v/>
      </c>
      <c r="N599" s="206" t="str">
        <f t="shared" si="140"/>
        <v/>
      </c>
      <c r="O599" s="206" t="str">
        <f t="shared" si="141"/>
        <v/>
      </c>
      <c r="P599" s="84" t="str">
        <f t="shared" si="142"/>
        <v/>
      </c>
      <c r="Q599" s="205"/>
      <c r="R599" s="70" t="str">
        <f>IF(S599="IN",'BOM_Phan II'!$Y$3,"")</f>
        <v/>
      </c>
      <c r="S599" s="69" t="str">
        <f t="shared" si="134"/>
        <v/>
      </c>
      <c r="T599">
        <f t="shared" si="143"/>
        <v>3</v>
      </c>
      <c r="U599" t="str">
        <f t="shared" si="145"/>
        <v>KIỆN 14</v>
      </c>
      <c r="V599" t="str">
        <f t="shared" si="144"/>
        <v/>
      </c>
      <c r="W599" s="266"/>
      <c r="X599" s="266"/>
      <c r="Y599" s="266" t="str">
        <f t="shared" si="136"/>
        <v/>
      </c>
      <c r="Z599" s="266"/>
    </row>
    <row r="600" spans="1:26" ht="27" hidden="1" customHeight="1">
      <c r="A600" s="70" t="str">
        <f t="shared" si="132"/>
        <v/>
      </c>
      <c r="B600" s="70" t="str">
        <f t="shared" si="133"/>
        <v/>
      </c>
      <c r="C600" s="204" t="str" cm="1">
        <f t="array" ref="C600">IF(D600="","",
    IF(AND(ISNUMBER(D600), D600=INT(D600)),
        $V$6 &amp; " " &amp; (IFERROR(MAX($Y$12:$Y599), 0) + 1),
        IF(ISNUMBER(SEARCH(".", D600)), "", INDEX($C$12:$C600, MATCH(2, 1/($C$12:$C600 &lt;&gt; ""))))
    )
)</f>
        <v/>
      </c>
      <c r="D600" s="206"/>
      <c r="E600" s="206" t="str">
        <f>IF(AA600 = "", "",
    IF(ISNUMBER(SEARCH("Kiện", C600)),
       " GÓI " &amp; COUNTIF($C$13:C600, "*Kiện*") &amp; "/" &amp; COUNTIF($C$13:$C$1000, "*Kiện*") &amp; " " &amp; AA600,
       AA600)
)</f>
        <v/>
      </c>
      <c r="F600" s="206"/>
      <c r="G600" s="206"/>
      <c r="H600" s="206"/>
      <c r="I600" s="206"/>
      <c r="J600" s="206" t="str">
        <f t="shared" si="135"/>
        <v/>
      </c>
      <c r="K600" s="206" t="str">
        <f t="shared" si="137"/>
        <v/>
      </c>
      <c r="L600" s="206" t="str">
        <f t="shared" si="138"/>
        <v/>
      </c>
      <c r="M600" s="206" t="str">
        <f t="shared" si="139"/>
        <v/>
      </c>
      <c r="N600" s="206" t="str">
        <f t="shared" si="140"/>
        <v/>
      </c>
      <c r="O600" s="206" t="str">
        <f t="shared" si="141"/>
        <v/>
      </c>
      <c r="P600" s="84" t="str">
        <f t="shared" si="142"/>
        <v/>
      </c>
      <c r="Q600" s="205"/>
      <c r="R600" s="70" t="str">
        <f>IF(S600="IN",'BOM_Phan II'!$Y$3,"")</f>
        <v/>
      </c>
      <c r="S600" s="69" t="str">
        <f t="shared" si="134"/>
        <v/>
      </c>
      <c r="T600">
        <f t="shared" si="143"/>
        <v>3</v>
      </c>
      <c r="U600" t="str">
        <f t="shared" si="145"/>
        <v>KIỆN 14</v>
      </c>
      <c r="V600" t="str">
        <f t="shared" si="144"/>
        <v/>
      </c>
      <c r="W600" s="266"/>
      <c r="X600" s="266"/>
      <c r="Y600" s="266" t="str">
        <f t="shared" si="136"/>
        <v/>
      </c>
      <c r="Z600" s="266"/>
    </row>
    <row r="601" spans="1:26" ht="27" hidden="1" customHeight="1">
      <c r="A601" s="70" t="str">
        <f t="shared" si="132"/>
        <v/>
      </c>
      <c r="B601" s="70" t="str">
        <f t="shared" si="133"/>
        <v/>
      </c>
      <c r="C601" s="204" t="str" cm="1">
        <f t="array" ref="C601">IF(D601="","",
    IF(AND(ISNUMBER(D601), D601=INT(D601)),
        $V$6 &amp; " " &amp; (IFERROR(MAX($Y$12:$Y600), 0) + 1),
        IF(ISNUMBER(SEARCH(".", D601)), "", INDEX($C$12:$C601, MATCH(2, 1/($C$12:$C601 &lt;&gt; ""))))
    )
)</f>
        <v/>
      </c>
      <c r="D601" s="206"/>
      <c r="E601" s="206" t="str">
        <f>IF(AA601 = "", "",
    IF(ISNUMBER(SEARCH("Kiện", C601)),
       " GÓI " &amp; COUNTIF($C$13:C601, "*Kiện*") &amp; "/" &amp; COUNTIF($C$13:$C$1000, "*Kiện*") &amp; " " &amp; AA601,
       AA601)
)</f>
        <v/>
      </c>
      <c r="F601" s="206"/>
      <c r="G601" s="206"/>
      <c r="H601" s="206"/>
      <c r="I601" s="206"/>
      <c r="J601" s="206" t="str">
        <f t="shared" si="135"/>
        <v/>
      </c>
      <c r="K601" s="206" t="str">
        <f t="shared" si="137"/>
        <v/>
      </c>
      <c r="L601" s="206" t="str">
        <f t="shared" si="138"/>
        <v/>
      </c>
      <c r="M601" s="206" t="str">
        <f t="shared" si="139"/>
        <v/>
      </c>
      <c r="N601" s="206" t="str">
        <f t="shared" si="140"/>
        <v/>
      </c>
      <c r="O601" s="206" t="str">
        <f t="shared" si="141"/>
        <v/>
      </c>
      <c r="P601" s="84" t="str">
        <f t="shared" si="142"/>
        <v/>
      </c>
      <c r="Q601" s="205"/>
      <c r="R601" s="70" t="str">
        <f>IF(S601="IN",'BOM_Phan II'!$Y$3,"")</f>
        <v/>
      </c>
      <c r="S601" s="69" t="str">
        <f t="shared" si="134"/>
        <v/>
      </c>
      <c r="T601">
        <f t="shared" si="143"/>
        <v>3</v>
      </c>
      <c r="U601" t="str">
        <f t="shared" si="145"/>
        <v>KIỆN 14</v>
      </c>
      <c r="V601" t="str">
        <f t="shared" si="144"/>
        <v/>
      </c>
      <c r="W601" s="266"/>
      <c r="X601" s="266"/>
      <c r="Y601" s="266" t="str">
        <f t="shared" si="136"/>
        <v/>
      </c>
      <c r="Z601" s="266"/>
    </row>
    <row r="602" spans="1:26" ht="27" hidden="1" customHeight="1">
      <c r="A602" s="70" t="str">
        <f t="shared" si="132"/>
        <v/>
      </c>
      <c r="B602" s="70" t="str">
        <f t="shared" si="133"/>
        <v/>
      </c>
      <c r="C602" s="204" t="str" cm="1">
        <f t="array" ref="C602">IF(D602="","",
    IF(AND(ISNUMBER(D602), D602=INT(D602)),
        $V$6 &amp; " " &amp; (IFERROR(MAX($Y$12:$Y601), 0) + 1),
        IF(ISNUMBER(SEARCH(".", D602)), "", INDEX($C$12:$C602, MATCH(2, 1/($C$12:$C602 &lt;&gt; ""))))
    )
)</f>
        <v/>
      </c>
      <c r="D602" s="206"/>
      <c r="E602" s="206" t="str">
        <f>IF(AA602 = "", "",
    IF(ISNUMBER(SEARCH("Kiện", C602)),
       " GÓI " &amp; COUNTIF($C$13:C602, "*Kiện*") &amp; "/" &amp; COUNTIF($C$13:$C$1000, "*Kiện*") &amp; " " &amp; AA602,
       AA602)
)</f>
        <v/>
      </c>
      <c r="F602" s="206"/>
      <c r="G602" s="206"/>
      <c r="H602" s="206"/>
      <c r="I602" s="206"/>
      <c r="J602" s="206" t="str">
        <f t="shared" si="135"/>
        <v/>
      </c>
      <c r="K602" s="206" t="str">
        <f t="shared" si="137"/>
        <v/>
      </c>
      <c r="L602" s="206" t="str">
        <f t="shared" si="138"/>
        <v/>
      </c>
      <c r="M602" s="206" t="str">
        <f t="shared" si="139"/>
        <v/>
      </c>
      <c r="N602" s="206" t="str">
        <f t="shared" si="140"/>
        <v/>
      </c>
      <c r="O602" s="206" t="str">
        <f t="shared" si="141"/>
        <v/>
      </c>
      <c r="P602" s="84" t="str">
        <f t="shared" si="142"/>
        <v/>
      </c>
      <c r="Q602" s="205"/>
      <c r="R602" s="70" t="str">
        <f>IF(S602="IN",'BOM_Phan II'!$Y$3,"")</f>
        <v/>
      </c>
      <c r="S602" s="69" t="str">
        <f t="shared" si="134"/>
        <v/>
      </c>
      <c r="T602">
        <f t="shared" si="143"/>
        <v>3</v>
      </c>
      <c r="U602" t="str">
        <f t="shared" si="145"/>
        <v>KIỆN 14</v>
      </c>
      <c r="V602" t="str">
        <f t="shared" si="144"/>
        <v/>
      </c>
      <c r="W602" s="266"/>
      <c r="X602" s="266"/>
      <c r="Y602" s="266" t="str">
        <f t="shared" si="136"/>
        <v/>
      </c>
      <c r="Z602" s="266"/>
    </row>
    <row r="603" spans="1:26" ht="27" hidden="1" customHeight="1">
      <c r="A603" s="70" t="str">
        <f t="shared" si="132"/>
        <v/>
      </c>
      <c r="B603" s="70" t="str">
        <f t="shared" si="133"/>
        <v/>
      </c>
      <c r="C603" s="204" t="str" cm="1">
        <f t="array" ref="C603">IF(D603="","",
    IF(AND(ISNUMBER(D603), D603=INT(D603)),
        $V$6 &amp; " " &amp; (IFERROR(MAX($Y$12:$Y602), 0) + 1),
        IF(ISNUMBER(SEARCH(".", D603)), "", INDEX($C$12:$C603, MATCH(2, 1/($C$12:$C603 &lt;&gt; ""))))
    )
)</f>
        <v/>
      </c>
      <c r="D603" s="206"/>
      <c r="E603" s="206" t="str">
        <f>IF(AA603 = "", "",
    IF(ISNUMBER(SEARCH("Kiện", C603)),
       " GÓI " &amp; COUNTIF($C$13:C603, "*Kiện*") &amp; "/" &amp; COUNTIF($C$13:$C$1000, "*Kiện*") &amp; " " &amp; AA603,
       AA603)
)</f>
        <v/>
      </c>
      <c r="F603" s="206"/>
      <c r="G603" s="206"/>
      <c r="H603" s="206"/>
      <c r="I603" s="206"/>
      <c r="J603" s="206" t="str">
        <f t="shared" si="135"/>
        <v/>
      </c>
      <c r="K603" s="206" t="str">
        <f t="shared" si="137"/>
        <v/>
      </c>
      <c r="L603" s="206" t="str">
        <f t="shared" si="138"/>
        <v/>
      </c>
      <c r="M603" s="206" t="str">
        <f t="shared" si="139"/>
        <v/>
      </c>
      <c r="N603" s="206" t="str">
        <f t="shared" si="140"/>
        <v/>
      </c>
      <c r="O603" s="206" t="str">
        <f t="shared" si="141"/>
        <v/>
      </c>
      <c r="P603" s="84" t="str">
        <f t="shared" si="142"/>
        <v/>
      </c>
      <c r="Q603" s="205"/>
      <c r="R603" s="70" t="str">
        <f>IF(S603="IN",'BOM_Phan II'!$Y$3,"")</f>
        <v/>
      </c>
      <c r="S603" s="69" t="str">
        <f t="shared" si="134"/>
        <v/>
      </c>
      <c r="T603">
        <f t="shared" si="143"/>
        <v>3</v>
      </c>
      <c r="U603" t="str">
        <f t="shared" si="145"/>
        <v>KIỆN 14</v>
      </c>
      <c r="V603" t="str">
        <f t="shared" si="144"/>
        <v/>
      </c>
      <c r="W603" s="266"/>
      <c r="X603" s="266"/>
      <c r="Y603" s="266" t="str">
        <f t="shared" si="136"/>
        <v/>
      </c>
      <c r="Z603" s="266"/>
    </row>
    <row r="604" spans="1:26" ht="27" hidden="1" customHeight="1">
      <c r="A604" s="70" t="str">
        <f t="shared" si="132"/>
        <v/>
      </c>
      <c r="B604" s="70" t="str">
        <f t="shared" si="133"/>
        <v/>
      </c>
      <c r="C604" s="204" t="str" cm="1">
        <f t="array" ref="C604">IF(D604="","",
    IF(AND(ISNUMBER(D604), D604=INT(D604)),
        $V$6 &amp; " " &amp; (IFERROR(MAX($Y$12:$Y603), 0) + 1),
        IF(ISNUMBER(SEARCH(".", D604)), "", INDEX($C$12:$C604, MATCH(2, 1/($C$12:$C604 &lt;&gt; ""))))
    )
)</f>
        <v/>
      </c>
      <c r="D604" s="206"/>
      <c r="E604" s="206" t="str">
        <f>IF(AA604 = "", "",
    IF(ISNUMBER(SEARCH("Kiện", C604)),
       " GÓI " &amp; COUNTIF($C$13:C604, "*Kiện*") &amp; "/" &amp; COUNTIF($C$13:$C$1000, "*Kiện*") &amp; " " &amp; AA604,
       AA604)
)</f>
        <v/>
      </c>
      <c r="F604" s="206"/>
      <c r="G604" s="206"/>
      <c r="H604" s="206"/>
      <c r="I604" s="206"/>
      <c r="J604" s="206" t="str">
        <f t="shared" si="135"/>
        <v/>
      </c>
      <c r="K604" s="206" t="str">
        <f t="shared" si="137"/>
        <v/>
      </c>
      <c r="L604" s="206" t="str">
        <f t="shared" si="138"/>
        <v/>
      </c>
      <c r="M604" s="206" t="str">
        <f t="shared" si="139"/>
        <v/>
      </c>
      <c r="N604" s="206" t="str">
        <f t="shared" si="140"/>
        <v/>
      </c>
      <c r="O604" s="206" t="str">
        <f t="shared" si="141"/>
        <v/>
      </c>
      <c r="P604" s="84" t="str">
        <f t="shared" si="142"/>
        <v/>
      </c>
      <c r="Q604" s="205"/>
      <c r="R604" s="70" t="str">
        <f>IF(S604="IN",'BOM_Phan II'!$Y$3,"")</f>
        <v/>
      </c>
      <c r="S604" s="69" t="str">
        <f t="shared" si="134"/>
        <v/>
      </c>
      <c r="T604">
        <f t="shared" si="143"/>
        <v>3</v>
      </c>
      <c r="U604" t="str">
        <f t="shared" si="145"/>
        <v>KIỆN 14</v>
      </c>
      <c r="V604" t="str">
        <f t="shared" si="144"/>
        <v/>
      </c>
      <c r="W604" s="266"/>
      <c r="X604" s="266"/>
      <c r="Y604" s="266" t="str">
        <f t="shared" si="136"/>
        <v/>
      </c>
      <c r="Z604" s="266"/>
    </row>
    <row r="605" spans="1:26" ht="27" hidden="1" customHeight="1">
      <c r="A605" s="70" t="str">
        <f t="shared" si="132"/>
        <v/>
      </c>
      <c r="B605" s="70" t="str">
        <f t="shared" si="133"/>
        <v/>
      </c>
      <c r="C605" s="204" t="str" cm="1">
        <f t="array" ref="C605">IF(D605="","",
    IF(AND(ISNUMBER(D605), D605=INT(D605)),
        $V$6 &amp; " " &amp; (IFERROR(MAX($Y$12:$Y604), 0) + 1),
        IF(ISNUMBER(SEARCH(".", D605)), "", INDEX($C$12:$C605, MATCH(2, 1/($C$12:$C605 &lt;&gt; ""))))
    )
)</f>
        <v/>
      </c>
      <c r="D605" s="206"/>
      <c r="E605" s="206" t="str">
        <f>IF(AA605 = "", "",
    IF(ISNUMBER(SEARCH("Kiện", C605)),
       " GÓI " &amp; COUNTIF($C$13:C605, "*Kiện*") &amp; "/" &amp; COUNTIF($C$13:$C$1000, "*Kiện*") &amp; " " &amp; AA605,
       AA605)
)</f>
        <v/>
      </c>
      <c r="F605" s="206"/>
      <c r="G605" s="206"/>
      <c r="H605" s="206"/>
      <c r="I605" s="206"/>
      <c r="J605" s="206" t="str">
        <f t="shared" si="135"/>
        <v/>
      </c>
      <c r="K605" s="206" t="str">
        <f t="shared" si="137"/>
        <v/>
      </c>
      <c r="L605" s="206" t="str">
        <f t="shared" si="138"/>
        <v/>
      </c>
      <c r="M605" s="206" t="str">
        <f t="shared" si="139"/>
        <v/>
      </c>
      <c r="N605" s="206" t="str">
        <f t="shared" si="140"/>
        <v/>
      </c>
      <c r="O605" s="206" t="str">
        <f t="shared" si="141"/>
        <v/>
      </c>
      <c r="P605" s="84" t="str">
        <f t="shared" si="142"/>
        <v/>
      </c>
      <c r="Q605" s="205"/>
      <c r="R605" s="70" t="str">
        <f>IF(S605="IN",'BOM_Phan II'!$Y$3,"")</f>
        <v/>
      </c>
      <c r="S605" s="69" t="str">
        <f t="shared" si="134"/>
        <v/>
      </c>
      <c r="T605">
        <f t="shared" si="143"/>
        <v>3</v>
      </c>
      <c r="U605" t="str">
        <f t="shared" si="145"/>
        <v>KIỆN 14</v>
      </c>
      <c r="V605" t="str">
        <f t="shared" si="144"/>
        <v/>
      </c>
      <c r="W605" s="266"/>
      <c r="X605" s="266"/>
      <c r="Y605" s="266" t="str">
        <f t="shared" si="136"/>
        <v/>
      </c>
      <c r="Z605" s="266"/>
    </row>
    <row r="606" spans="1:26" ht="27" hidden="1" customHeight="1">
      <c r="A606" s="70" t="str">
        <f t="shared" si="132"/>
        <v/>
      </c>
      <c r="B606" s="70" t="str">
        <f t="shared" si="133"/>
        <v/>
      </c>
      <c r="C606" s="204" t="str" cm="1">
        <f t="array" ref="C606">IF(D606="","",
    IF(AND(ISNUMBER(D606), D606=INT(D606)),
        $V$6 &amp; " " &amp; (IFERROR(MAX($Y$12:$Y605), 0) + 1),
        IF(ISNUMBER(SEARCH(".", D606)), "", INDEX($C$12:$C606, MATCH(2, 1/($C$12:$C606 &lt;&gt; ""))))
    )
)</f>
        <v/>
      </c>
      <c r="D606" s="206"/>
      <c r="E606" s="206" t="str">
        <f>IF(AA606 = "", "",
    IF(ISNUMBER(SEARCH("Kiện", C606)),
       " GÓI " &amp; COUNTIF($C$13:C606, "*Kiện*") &amp; "/" &amp; COUNTIF($C$13:$C$1000, "*Kiện*") &amp; " " &amp; AA606,
       AA606)
)</f>
        <v/>
      </c>
      <c r="F606" s="206"/>
      <c r="G606" s="206"/>
      <c r="H606" s="206"/>
      <c r="I606" s="206"/>
      <c r="J606" s="206" t="str">
        <f t="shared" si="135"/>
        <v/>
      </c>
      <c r="K606" s="206" t="str">
        <f t="shared" si="137"/>
        <v/>
      </c>
      <c r="L606" s="206" t="str">
        <f t="shared" si="138"/>
        <v/>
      </c>
      <c r="M606" s="206" t="str">
        <f t="shared" si="139"/>
        <v/>
      </c>
      <c r="N606" s="206" t="str">
        <f t="shared" si="140"/>
        <v/>
      </c>
      <c r="O606" s="206" t="str">
        <f t="shared" si="141"/>
        <v/>
      </c>
      <c r="P606" s="84" t="str">
        <f t="shared" si="142"/>
        <v/>
      </c>
      <c r="Q606" s="205"/>
      <c r="R606" s="70" t="str">
        <f>IF(S606="IN",'BOM_Phan II'!$Y$3,"")</f>
        <v/>
      </c>
      <c r="S606" s="69" t="str">
        <f t="shared" si="134"/>
        <v/>
      </c>
      <c r="T606">
        <f t="shared" si="143"/>
        <v>3</v>
      </c>
      <c r="U606" t="str">
        <f t="shared" si="145"/>
        <v>KIỆN 14</v>
      </c>
      <c r="V606" t="str">
        <f t="shared" si="144"/>
        <v/>
      </c>
      <c r="W606" s="266"/>
      <c r="X606" s="266"/>
      <c r="Y606" s="266" t="str">
        <f t="shared" si="136"/>
        <v/>
      </c>
      <c r="Z606" s="266"/>
    </row>
    <row r="607" spans="1:26" ht="27" hidden="1" customHeight="1">
      <c r="A607" s="70" t="str">
        <f t="shared" si="132"/>
        <v/>
      </c>
      <c r="B607" s="70" t="str">
        <f t="shared" si="133"/>
        <v/>
      </c>
      <c r="C607" s="204" t="str" cm="1">
        <f t="array" ref="C607">IF(D607="","",
    IF(AND(ISNUMBER(D607), D607=INT(D607)),
        $V$6 &amp; " " &amp; (IFERROR(MAX($Y$12:$Y606), 0) + 1),
        IF(ISNUMBER(SEARCH(".", D607)), "", INDEX($C$12:$C607, MATCH(2, 1/($C$12:$C607 &lt;&gt; ""))))
    )
)</f>
        <v/>
      </c>
      <c r="D607" s="206"/>
      <c r="E607" s="206" t="str">
        <f>IF(AA607 = "", "",
    IF(ISNUMBER(SEARCH("Kiện", C607)),
       " GÓI " &amp; COUNTIF($C$13:C607, "*Kiện*") &amp; "/" &amp; COUNTIF($C$13:$C$1000, "*Kiện*") &amp; " " &amp; AA607,
       AA607)
)</f>
        <v/>
      </c>
      <c r="F607" s="206"/>
      <c r="G607" s="206"/>
      <c r="H607" s="206"/>
      <c r="I607" s="206"/>
      <c r="J607" s="206" t="str">
        <f t="shared" si="135"/>
        <v/>
      </c>
      <c r="K607" s="206" t="str">
        <f t="shared" si="137"/>
        <v/>
      </c>
      <c r="L607" s="206" t="str">
        <f t="shared" si="138"/>
        <v/>
      </c>
      <c r="M607" s="206" t="str">
        <f t="shared" si="139"/>
        <v/>
      </c>
      <c r="N607" s="206" t="str">
        <f t="shared" si="140"/>
        <v/>
      </c>
      <c r="O607" s="206" t="str">
        <f t="shared" si="141"/>
        <v/>
      </c>
      <c r="P607" s="84" t="str">
        <f t="shared" si="142"/>
        <v/>
      </c>
      <c r="Q607" s="205"/>
      <c r="R607" s="70" t="str">
        <f>IF(S607="IN",'BOM_Phan II'!$Y$3,"")</f>
        <v/>
      </c>
      <c r="S607" s="69" t="str">
        <f t="shared" si="134"/>
        <v/>
      </c>
      <c r="T607">
        <f t="shared" si="143"/>
        <v>3</v>
      </c>
      <c r="U607" t="str">
        <f t="shared" si="145"/>
        <v>KIỆN 14</v>
      </c>
      <c r="V607" t="str">
        <f t="shared" si="144"/>
        <v/>
      </c>
      <c r="W607" s="266"/>
      <c r="X607" s="266"/>
      <c r="Y607" s="266" t="str">
        <f t="shared" si="136"/>
        <v/>
      </c>
      <c r="Z607" s="266"/>
    </row>
    <row r="608" spans="1:26" ht="27" hidden="1" customHeight="1">
      <c r="A608" s="70" t="str">
        <f t="shared" si="132"/>
        <v/>
      </c>
      <c r="B608" s="70" t="str">
        <f t="shared" si="133"/>
        <v/>
      </c>
      <c r="C608" s="204" t="str" cm="1">
        <f t="array" ref="C608">IF(D608="","",
    IF(AND(ISNUMBER(D608), D608=INT(D608)),
        $V$6 &amp; " " &amp; (IFERROR(MAX($Y$12:$Y607), 0) + 1),
        IF(ISNUMBER(SEARCH(".", D608)), "", INDEX($C$12:$C608, MATCH(2, 1/($C$12:$C608 &lt;&gt; ""))))
    )
)</f>
        <v/>
      </c>
      <c r="D608" s="206"/>
      <c r="E608" s="206" t="str">
        <f>IF(AA608 = "", "",
    IF(ISNUMBER(SEARCH("Kiện", C608)),
       " GÓI " &amp; COUNTIF($C$13:C608, "*Kiện*") &amp; "/" &amp; COUNTIF($C$13:$C$1000, "*Kiện*") &amp; " " &amp; AA608,
       AA608)
)</f>
        <v/>
      </c>
      <c r="F608" s="206"/>
      <c r="G608" s="206"/>
      <c r="H608" s="206"/>
      <c r="I608" s="206"/>
      <c r="J608" s="206" t="str">
        <f t="shared" si="135"/>
        <v/>
      </c>
      <c r="K608" s="206" t="str">
        <f t="shared" si="137"/>
        <v/>
      </c>
      <c r="L608" s="206" t="str">
        <f t="shared" si="138"/>
        <v/>
      </c>
      <c r="M608" s="206" t="str">
        <f t="shared" si="139"/>
        <v/>
      </c>
      <c r="N608" s="206" t="str">
        <f t="shared" si="140"/>
        <v/>
      </c>
      <c r="O608" s="206" t="str">
        <f t="shared" si="141"/>
        <v/>
      </c>
      <c r="P608" s="84" t="str">
        <f t="shared" si="142"/>
        <v/>
      </c>
      <c r="Q608" s="205"/>
      <c r="R608" s="70" t="str">
        <f>IF(S608="IN",'BOM_Phan II'!$Y$3,"")</f>
        <v/>
      </c>
      <c r="S608" s="69" t="str">
        <f t="shared" si="134"/>
        <v/>
      </c>
      <c r="T608">
        <f t="shared" si="143"/>
        <v>3</v>
      </c>
      <c r="U608" t="str">
        <f t="shared" si="145"/>
        <v>KIỆN 14</v>
      </c>
      <c r="V608" t="str">
        <f t="shared" si="144"/>
        <v/>
      </c>
      <c r="W608" s="266"/>
      <c r="X608" s="266"/>
      <c r="Y608" s="266" t="str">
        <f t="shared" si="136"/>
        <v/>
      </c>
      <c r="Z608" s="266"/>
    </row>
    <row r="609" spans="1:26" ht="27" hidden="1" customHeight="1">
      <c r="A609" s="70" t="str">
        <f t="shared" si="132"/>
        <v/>
      </c>
      <c r="B609" s="70" t="str">
        <f t="shared" si="133"/>
        <v/>
      </c>
      <c r="C609" s="204" t="str" cm="1">
        <f t="array" ref="C609">IF(D609="","",
    IF(AND(ISNUMBER(D609), D609=INT(D609)),
        $V$6 &amp; " " &amp; (IFERROR(MAX($Y$12:$Y608), 0) + 1),
        IF(ISNUMBER(SEARCH(".", D609)), "", INDEX($C$12:$C609, MATCH(2, 1/($C$12:$C609 &lt;&gt; ""))))
    )
)</f>
        <v/>
      </c>
      <c r="D609" s="206"/>
      <c r="E609" s="206" t="str">
        <f>IF(AA609 = "", "",
    IF(ISNUMBER(SEARCH("Kiện", C609)),
       " GÓI " &amp; COUNTIF($C$13:C609, "*Kiện*") &amp; "/" &amp; COUNTIF($C$13:$C$1000, "*Kiện*") &amp; " " &amp; AA609,
       AA609)
)</f>
        <v/>
      </c>
      <c r="F609" s="206"/>
      <c r="G609" s="206"/>
      <c r="H609" s="206"/>
      <c r="I609" s="206"/>
      <c r="J609" s="206" t="str">
        <f t="shared" si="135"/>
        <v/>
      </c>
      <c r="K609" s="206" t="str">
        <f t="shared" si="137"/>
        <v/>
      </c>
      <c r="L609" s="206" t="str">
        <f t="shared" si="138"/>
        <v/>
      </c>
      <c r="M609" s="206" t="str">
        <f t="shared" si="139"/>
        <v/>
      </c>
      <c r="N609" s="206" t="str">
        <f t="shared" si="140"/>
        <v/>
      </c>
      <c r="O609" s="206" t="str">
        <f t="shared" si="141"/>
        <v/>
      </c>
      <c r="P609" s="84" t="str">
        <f t="shared" si="142"/>
        <v/>
      </c>
      <c r="Q609" s="205"/>
      <c r="R609" s="70" t="str">
        <f>IF(S609="IN",'BOM_Phan II'!$Y$3,"")</f>
        <v/>
      </c>
      <c r="S609" s="69" t="str">
        <f t="shared" si="134"/>
        <v/>
      </c>
      <c r="T609">
        <f t="shared" si="143"/>
        <v>3</v>
      </c>
      <c r="U609" t="str">
        <f t="shared" si="145"/>
        <v>KIỆN 14</v>
      </c>
      <c r="V609" t="str">
        <f t="shared" si="144"/>
        <v/>
      </c>
      <c r="W609" s="266"/>
      <c r="X609" s="266"/>
      <c r="Y609" s="266" t="str">
        <f t="shared" si="136"/>
        <v/>
      </c>
      <c r="Z609" s="266"/>
    </row>
    <row r="610" spans="1:26" ht="27" hidden="1" customHeight="1">
      <c r="A610" s="70" t="str">
        <f t="shared" si="132"/>
        <v/>
      </c>
      <c r="B610" s="70" t="str">
        <f t="shared" si="133"/>
        <v/>
      </c>
      <c r="C610" s="204" t="str" cm="1">
        <f t="array" ref="C610">IF(D610="","",
    IF(AND(ISNUMBER(D610), D610=INT(D610)),
        $V$6 &amp; " " &amp; (IFERROR(MAX($Y$12:$Y609), 0) + 1),
        IF(ISNUMBER(SEARCH(".", D610)), "", INDEX($C$12:$C610, MATCH(2, 1/($C$12:$C610 &lt;&gt; ""))))
    )
)</f>
        <v/>
      </c>
      <c r="D610" s="206"/>
      <c r="E610" s="206" t="str">
        <f>IF(AA610 = "", "",
    IF(ISNUMBER(SEARCH("Kiện", C610)),
       " GÓI " &amp; COUNTIF($C$13:C610, "*Kiện*") &amp; "/" &amp; COUNTIF($C$13:$C$1000, "*Kiện*") &amp; " " &amp; AA610,
       AA610)
)</f>
        <v/>
      </c>
      <c r="F610" s="206"/>
      <c r="G610" s="206"/>
      <c r="H610" s="206"/>
      <c r="I610" s="206"/>
      <c r="J610" s="206" t="str">
        <f t="shared" si="135"/>
        <v/>
      </c>
      <c r="K610" s="206" t="str">
        <f t="shared" si="137"/>
        <v/>
      </c>
      <c r="L610" s="206" t="str">
        <f t="shared" si="138"/>
        <v/>
      </c>
      <c r="M610" s="206" t="str">
        <f t="shared" si="139"/>
        <v/>
      </c>
      <c r="N610" s="206" t="str">
        <f t="shared" si="140"/>
        <v/>
      </c>
      <c r="O610" s="206" t="str">
        <f t="shared" si="141"/>
        <v/>
      </c>
      <c r="P610" s="84" t="str">
        <f t="shared" si="142"/>
        <v/>
      </c>
      <c r="Q610" s="205"/>
      <c r="R610" s="70" t="str">
        <f>IF(S610="IN",'BOM_Phan II'!$Y$3,"")</f>
        <v/>
      </c>
      <c r="S610" s="69" t="str">
        <f t="shared" si="134"/>
        <v/>
      </c>
      <c r="T610">
        <f t="shared" si="143"/>
        <v>3</v>
      </c>
      <c r="U610" t="str">
        <f t="shared" si="145"/>
        <v>KIỆN 14</v>
      </c>
      <c r="V610" t="str">
        <f t="shared" si="144"/>
        <v/>
      </c>
      <c r="W610" s="266"/>
      <c r="X610" s="266"/>
      <c r="Y610" s="266" t="str">
        <f t="shared" si="136"/>
        <v/>
      </c>
      <c r="Z610" s="266"/>
    </row>
    <row r="611" spans="1:26" ht="27" hidden="1" customHeight="1">
      <c r="A611" s="70" t="str">
        <f t="shared" si="132"/>
        <v/>
      </c>
      <c r="B611" s="70" t="str">
        <f t="shared" si="133"/>
        <v/>
      </c>
      <c r="C611" s="204" t="str" cm="1">
        <f t="array" ref="C611">IF(D611="","",
    IF(AND(ISNUMBER(D611), D611=INT(D611)),
        $V$6 &amp; " " &amp; (IFERROR(MAX($Y$12:$Y610), 0) + 1),
        IF(ISNUMBER(SEARCH(".", D611)), "", INDEX($C$12:$C611, MATCH(2, 1/($C$12:$C611 &lt;&gt; ""))))
    )
)</f>
        <v/>
      </c>
      <c r="D611" s="206"/>
      <c r="E611" s="206" t="str">
        <f>IF(AA611 = "", "",
    IF(ISNUMBER(SEARCH("Kiện", C611)),
       " GÓI " &amp; COUNTIF($C$13:C611, "*Kiện*") &amp; "/" &amp; COUNTIF($C$13:$C$1000, "*Kiện*") &amp; " " &amp; AA611,
       AA611)
)</f>
        <v/>
      </c>
      <c r="F611" s="206"/>
      <c r="G611" s="206"/>
      <c r="H611" s="206"/>
      <c r="I611" s="206"/>
      <c r="J611" s="206" t="str">
        <f t="shared" si="135"/>
        <v/>
      </c>
      <c r="K611" s="206" t="str">
        <f t="shared" si="137"/>
        <v/>
      </c>
      <c r="L611" s="206" t="str">
        <f t="shared" si="138"/>
        <v/>
      </c>
      <c r="M611" s="206" t="str">
        <f t="shared" si="139"/>
        <v/>
      </c>
      <c r="N611" s="206" t="str">
        <f t="shared" si="140"/>
        <v/>
      </c>
      <c r="O611" s="206" t="str">
        <f t="shared" si="141"/>
        <v/>
      </c>
      <c r="P611" s="84" t="str">
        <f t="shared" si="142"/>
        <v/>
      </c>
      <c r="Q611" s="205"/>
      <c r="R611" s="70" t="str">
        <f>IF(S611="IN",'BOM_Phan II'!$Y$3,"")</f>
        <v/>
      </c>
      <c r="S611" s="69" t="str">
        <f t="shared" si="134"/>
        <v/>
      </c>
      <c r="T611">
        <f t="shared" si="143"/>
        <v>3</v>
      </c>
      <c r="U611" t="str">
        <f t="shared" si="145"/>
        <v>KIỆN 14</v>
      </c>
      <c r="V611" t="str">
        <f t="shared" si="144"/>
        <v/>
      </c>
      <c r="W611" s="266"/>
      <c r="X611" s="266"/>
      <c r="Y611" s="266" t="str">
        <f t="shared" si="136"/>
        <v/>
      </c>
      <c r="Z611" s="266"/>
    </row>
    <row r="612" spans="1:26" ht="27" hidden="1" customHeight="1">
      <c r="A612" s="70" t="str">
        <f t="shared" si="132"/>
        <v/>
      </c>
      <c r="B612" s="70" t="str">
        <f t="shared" si="133"/>
        <v/>
      </c>
      <c r="C612" s="204" t="str" cm="1">
        <f t="array" ref="C612">IF(D612="","",
    IF(AND(ISNUMBER(D612), D612=INT(D612)),
        $V$6 &amp; " " &amp; (IFERROR(MAX($Y$12:$Y611), 0) + 1),
        IF(ISNUMBER(SEARCH(".", D612)), "", INDEX($C$12:$C612, MATCH(2, 1/($C$12:$C612 &lt;&gt; ""))))
    )
)</f>
        <v/>
      </c>
      <c r="D612" s="206"/>
      <c r="E612" s="206" t="str">
        <f>IF(AA612 = "", "",
    IF(ISNUMBER(SEARCH("Kiện", C612)),
       " GÓI " &amp; COUNTIF($C$13:C612, "*Kiện*") &amp; "/" &amp; COUNTIF($C$13:$C$1000, "*Kiện*") &amp; " " &amp; AA612,
       AA612)
)</f>
        <v/>
      </c>
      <c r="F612" s="206"/>
      <c r="G612" s="206"/>
      <c r="H612" s="206"/>
      <c r="I612" s="206"/>
      <c r="J612" s="206" t="str">
        <f t="shared" si="135"/>
        <v/>
      </c>
      <c r="K612" s="206" t="str">
        <f t="shared" si="137"/>
        <v/>
      </c>
      <c r="L612" s="206" t="str">
        <f t="shared" si="138"/>
        <v/>
      </c>
      <c r="M612" s="206" t="str">
        <f t="shared" si="139"/>
        <v/>
      </c>
      <c r="N612" s="206" t="str">
        <f t="shared" si="140"/>
        <v/>
      </c>
      <c r="O612" s="206" t="str">
        <f t="shared" si="141"/>
        <v/>
      </c>
      <c r="P612" s="84" t="str">
        <f t="shared" si="142"/>
        <v/>
      </c>
      <c r="Q612" s="205"/>
      <c r="R612" s="70" t="str">
        <f>IF(S612="IN",'BOM_Phan II'!$Y$3,"")</f>
        <v/>
      </c>
      <c r="S612" s="69" t="str">
        <f t="shared" si="134"/>
        <v/>
      </c>
      <c r="T612">
        <f t="shared" si="143"/>
        <v>3</v>
      </c>
      <c r="U612" t="str">
        <f t="shared" si="145"/>
        <v>KIỆN 14</v>
      </c>
      <c r="V612" t="str">
        <f t="shared" si="144"/>
        <v/>
      </c>
      <c r="W612" s="266"/>
      <c r="X612" s="266"/>
      <c r="Y612" s="266" t="str">
        <f t="shared" si="136"/>
        <v/>
      </c>
      <c r="Z612" s="266"/>
    </row>
    <row r="613" spans="1:26" ht="27" hidden="1" customHeight="1">
      <c r="A613" s="70" t="str">
        <f t="shared" si="132"/>
        <v/>
      </c>
      <c r="B613" s="70" t="str">
        <f t="shared" si="133"/>
        <v/>
      </c>
      <c r="C613" s="204" t="str" cm="1">
        <f t="array" ref="C613">IF(D613="","",
    IF(AND(ISNUMBER(D613), D613=INT(D613)),
        $V$6 &amp; " " &amp; (IFERROR(MAX($Y$12:$Y612), 0) + 1),
        IF(ISNUMBER(SEARCH(".", D613)), "", INDEX($C$12:$C613, MATCH(2, 1/($C$12:$C613 &lt;&gt; ""))))
    )
)</f>
        <v/>
      </c>
      <c r="D613" s="206"/>
      <c r="E613" s="206" t="str">
        <f>IF(AA613 = "", "",
    IF(ISNUMBER(SEARCH("Kiện", C613)),
       " GÓI " &amp; COUNTIF($C$13:C613, "*Kiện*") &amp; "/" &amp; COUNTIF($C$13:$C$1000, "*Kiện*") &amp; " " &amp; AA613,
       AA613)
)</f>
        <v/>
      </c>
      <c r="F613" s="206"/>
      <c r="G613" s="206"/>
      <c r="H613" s="206"/>
      <c r="I613" s="206"/>
      <c r="J613" s="206" t="str">
        <f t="shared" si="135"/>
        <v/>
      </c>
      <c r="K613" s="206" t="str">
        <f t="shared" si="137"/>
        <v/>
      </c>
      <c r="L613" s="206" t="str">
        <f t="shared" si="138"/>
        <v/>
      </c>
      <c r="M613" s="206" t="str">
        <f t="shared" si="139"/>
        <v/>
      </c>
      <c r="N613" s="206" t="str">
        <f t="shared" si="140"/>
        <v/>
      </c>
      <c r="O613" s="206" t="str">
        <f t="shared" si="141"/>
        <v/>
      </c>
      <c r="P613" s="84" t="str">
        <f t="shared" si="142"/>
        <v/>
      </c>
      <c r="Q613" s="205"/>
      <c r="R613" s="70" t="str">
        <f>IF(S613="IN",'BOM_Phan II'!$Y$3,"")</f>
        <v/>
      </c>
      <c r="S613" s="69" t="str">
        <f t="shared" si="134"/>
        <v/>
      </c>
      <c r="T613">
        <f t="shared" si="143"/>
        <v>3</v>
      </c>
      <c r="U613" t="str">
        <f t="shared" si="145"/>
        <v>KIỆN 14</v>
      </c>
      <c r="V613" t="str">
        <f t="shared" si="144"/>
        <v/>
      </c>
      <c r="W613" s="266"/>
      <c r="X613" s="266"/>
      <c r="Y613" s="266" t="str">
        <f t="shared" si="136"/>
        <v/>
      </c>
      <c r="Z613" s="266"/>
    </row>
    <row r="614" spans="1:26" ht="27" hidden="1" customHeight="1">
      <c r="A614" s="70" t="str">
        <f t="shared" si="132"/>
        <v/>
      </c>
      <c r="B614" s="70" t="str">
        <f t="shared" si="133"/>
        <v/>
      </c>
      <c r="C614" s="204" t="str" cm="1">
        <f t="array" ref="C614">IF(D614="","",
    IF(AND(ISNUMBER(D614), D614=INT(D614)),
        $V$6 &amp; " " &amp; (IFERROR(MAX($Y$12:$Y613), 0) + 1),
        IF(ISNUMBER(SEARCH(".", D614)), "", INDEX($C$12:$C614, MATCH(2, 1/($C$12:$C614 &lt;&gt; ""))))
    )
)</f>
        <v/>
      </c>
      <c r="D614" s="206"/>
      <c r="E614" s="206" t="str">
        <f>IF(AA614 = "", "",
    IF(ISNUMBER(SEARCH("Kiện", C614)),
       " GÓI " &amp; COUNTIF($C$13:C614, "*Kiện*") &amp; "/" &amp; COUNTIF($C$13:$C$1000, "*Kiện*") &amp; " " &amp; AA614,
       AA614)
)</f>
        <v/>
      </c>
      <c r="F614" s="206"/>
      <c r="G614" s="206"/>
      <c r="H614" s="206"/>
      <c r="I614" s="206"/>
      <c r="J614" s="206" t="str">
        <f t="shared" si="135"/>
        <v/>
      </c>
      <c r="K614" s="206" t="str">
        <f t="shared" si="137"/>
        <v/>
      </c>
      <c r="L614" s="206" t="str">
        <f t="shared" si="138"/>
        <v/>
      </c>
      <c r="M614" s="206" t="str">
        <f t="shared" si="139"/>
        <v/>
      </c>
      <c r="N614" s="206" t="str">
        <f t="shared" si="140"/>
        <v/>
      </c>
      <c r="O614" s="206" t="str">
        <f t="shared" si="141"/>
        <v/>
      </c>
      <c r="P614" s="84" t="str">
        <f t="shared" si="142"/>
        <v/>
      </c>
      <c r="Q614" s="205"/>
      <c r="R614" s="70" t="str">
        <f>IF(S614="IN",'BOM_Phan II'!$Y$3,"")</f>
        <v/>
      </c>
      <c r="S614" s="69" t="str">
        <f t="shared" si="134"/>
        <v/>
      </c>
      <c r="T614">
        <f t="shared" si="143"/>
        <v>3</v>
      </c>
      <c r="U614" t="str">
        <f t="shared" si="145"/>
        <v>KIỆN 14</v>
      </c>
      <c r="V614" t="str">
        <f t="shared" si="144"/>
        <v/>
      </c>
      <c r="W614" s="266"/>
      <c r="X614" s="266"/>
      <c r="Y614" s="266" t="str">
        <f t="shared" si="136"/>
        <v/>
      </c>
      <c r="Z614" s="266"/>
    </row>
    <row r="615" spans="1:26" ht="27" hidden="1" customHeight="1">
      <c r="A615" s="70" t="str">
        <f t="shared" si="132"/>
        <v/>
      </c>
      <c r="B615" s="70" t="str">
        <f t="shared" si="133"/>
        <v/>
      </c>
      <c r="C615" s="204" t="str" cm="1">
        <f t="array" ref="C615">IF(D615="","",
    IF(AND(ISNUMBER(D615), D615=INT(D615)),
        $V$6 &amp; " " &amp; (IFERROR(MAX($Y$12:$Y614), 0) + 1),
        IF(ISNUMBER(SEARCH(".", D615)), "", INDEX($C$12:$C615, MATCH(2, 1/($C$12:$C615 &lt;&gt; ""))))
    )
)</f>
        <v/>
      </c>
      <c r="D615" s="206"/>
      <c r="E615" s="206" t="str">
        <f>IF(AA615 = "", "",
    IF(ISNUMBER(SEARCH("Kiện", C615)),
       " GÓI " &amp; COUNTIF($C$13:C615, "*Kiện*") &amp; "/" &amp; COUNTIF($C$13:$C$1000, "*Kiện*") &amp; " " &amp; AA615,
       AA615)
)</f>
        <v/>
      </c>
      <c r="F615" s="206"/>
      <c r="G615" s="206"/>
      <c r="H615" s="206"/>
      <c r="I615" s="206"/>
      <c r="J615" s="206" t="str">
        <f t="shared" si="135"/>
        <v/>
      </c>
      <c r="K615" s="206" t="str">
        <f t="shared" si="137"/>
        <v/>
      </c>
      <c r="L615" s="206" t="str">
        <f t="shared" si="138"/>
        <v/>
      </c>
      <c r="M615" s="206" t="str">
        <f t="shared" si="139"/>
        <v/>
      </c>
      <c r="N615" s="206" t="str">
        <f t="shared" si="140"/>
        <v/>
      </c>
      <c r="O615" s="206" t="str">
        <f t="shared" si="141"/>
        <v/>
      </c>
      <c r="P615" s="84" t="str">
        <f t="shared" si="142"/>
        <v/>
      </c>
      <c r="Q615" s="205"/>
      <c r="R615" s="70" t="str">
        <f>IF(S615="IN",'BOM_Phan II'!$Y$3,"")</f>
        <v/>
      </c>
      <c r="S615" s="69" t="str">
        <f t="shared" si="134"/>
        <v/>
      </c>
      <c r="T615">
        <f t="shared" si="143"/>
        <v>3</v>
      </c>
      <c r="U615" t="str">
        <f t="shared" si="145"/>
        <v>KIỆN 14</v>
      </c>
      <c r="V615" t="str">
        <f t="shared" si="144"/>
        <v/>
      </c>
      <c r="W615" s="266"/>
      <c r="X615" s="266"/>
      <c r="Y615" s="266" t="str">
        <f t="shared" si="136"/>
        <v/>
      </c>
      <c r="Z615" s="266"/>
    </row>
    <row r="616" spans="1:26" ht="27" hidden="1" customHeight="1">
      <c r="A616" s="70" t="str">
        <f t="shared" si="132"/>
        <v/>
      </c>
      <c r="B616" s="70" t="str">
        <f t="shared" si="133"/>
        <v/>
      </c>
      <c r="C616" s="204" t="str" cm="1">
        <f t="array" ref="C616">IF(D616="","",
    IF(AND(ISNUMBER(D616), D616=INT(D616)),
        $V$6 &amp; " " &amp; (IFERROR(MAX($Y$12:$Y615), 0) + 1),
        IF(ISNUMBER(SEARCH(".", D616)), "", INDEX($C$12:$C616, MATCH(2, 1/($C$12:$C616 &lt;&gt; ""))))
    )
)</f>
        <v/>
      </c>
      <c r="D616" s="206"/>
      <c r="E616" s="206" t="str">
        <f>IF(AA616 = "", "",
    IF(ISNUMBER(SEARCH("Kiện", C616)),
       " GÓI " &amp; COUNTIF($C$13:C616, "*Kiện*") &amp; "/" &amp; COUNTIF($C$13:$C$1000, "*Kiện*") &amp; " " &amp; AA616,
       AA616)
)</f>
        <v/>
      </c>
      <c r="F616" s="206"/>
      <c r="G616" s="206"/>
      <c r="H616" s="206"/>
      <c r="I616" s="206"/>
      <c r="J616" s="206" t="str">
        <f t="shared" si="135"/>
        <v/>
      </c>
      <c r="K616" s="206" t="str">
        <f t="shared" si="137"/>
        <v/>
      </c>
      <c r="L616" s="206" t="str">
        <f t="shared" si="138"/>
        <v/>
      </c>
      <c r="M616" s="206" t="str">
        <f t="shared" si="139"/>
        <v/>
      </c>
      <c r="N616" s="206" t="str">
        <f t="shared" si="140"/>
        <v/>
      </c>
      <c r="O616" s="206" t="str">
        <f t="shared" si="141"/>
        <v/>
      </c>
      <c r="P616" s="84" t="str">
        <f t="shared" si="142"/>
        <v/>
      </c>
      <c r="Q616" s="205"/>
      <c r="R616" s="70" t="str">
        <f>IF(S616="IN",'BOM_Phan II'!$Y$3,"")</f>
        <v/>
      </c>
      <c r="S616" s="69" t="str">
        <f t="shared" si="134"/>
        <v/>
      </c>
      <c r="T616">
        <f t="shared" si="143"/>
        <v>3</v>
      </c>
      <c r="U616" t="str">
        <f t="shared" si="145"/>
        <v>KIỆN 14</v>
      </c>
      <c r="V616" t="str">
        <f t="shared" si="144"/>
        <v/>
      </c>
      <c r="W616" s="266"/>
      <c r="X616" s="266"/>
      <c r="Y616" s="266" t="str">
        <f t="shared" si="136"/>
        <v/>
      </c>
      <c r="Z616" s="266"/>
    </row>
    <row r="617" spans="1:26" ht="27" hidden="1" customHeight="1">
      <c r="A617" s="70" t="str">
        <f t="shared" si="132"/>
        <v/>
      </c>
      <c r="B617" s="70" t="str">
        <f t="shared" si="133"/>
        <v/>
      </c>
      <c r="C617" s="204" t="str" cm="1">
        <f t="array" ref="C617">IF(D617="","",
    IF(AND(ISNUMBER(D617), D617=INT(D617)),
        $V$6 &amp; " " &amp; (IFERROR(MAX($Y$12:$Y616), 0) + 1),
        IF(ISNUMBER(SEARCH(".", D617)), "", INDEX($C$12:$C617, MATCH(2, 1/($C$12:$C617 &lt;&gt; ""))))
    )
)</f>
        <v/>
      </c>
      <c r="D617" s="206"/>
      <c r="E617" s="206" t="str">
        <f>IF(AA617 = "", "",
    IF(ISNUMBER(SEARCH("Kiện", C617)),
       " GÓI " &amp; COUNTIF($C$13:C617, "*Kiện*") &amp; "/" &amp; COUNTIF($C$13:$C$1000, "*Kiện*") &amp; " " &amp; AA617,
       AA617)
)</f>
        <v/>
      </c>
      <c r="F617" s="206"/>
      <c r="G617" s="206"/>
      <c r="H617" s="206"/>
      <c r="I617" s="206"/>
      <c r="J617" s="206" t="str">
        <f t="shared" si="135"/>
        <v/>
      </c>
      <c r="K617" s="206" t="str">
        <f t="shared" si="137"/>
        <v/>
      </c>
      <c r="L617" s="206" t="str">
        <f t="shared" si="138"/>
        <v/>
      </c>
      <c r="M617" s="206" t="str">
        <f t="shared" si="139"/>
        <v/>
      </c>
      <c r="N617" s="206" t="str">
        <f t="shared" si="140"/>
        <v/>
      </c>
      <c r="O617" s="206" t="str">
        <f t="shared" si="141"/>
        <v/>
      </c>
      <c r="P617" s="84" t="str">
        <f t="shared" si="142"/>
        <v/>
      </c>
      <c r="Q617" s="205"/>
      <c r="R617" s="70" t="str">
        <f>IF(S617="IN",'BOM_Phan II'!$Y$3,"")</f>
        <v/>
      </c>
      <c r="S617" s="69" t="str">
        <f t="shared" si="134"/>
        <v/>
      </c>
      <c r="T617">
        <f t="shared" si="143"/>
        <v>3</v>
      </c>
      <c r="U617" t="str">
        <f t="shared" si="145"/>
        <v>KIỆN 14</v>
      </c>
      <c r="V617" t="str">
        <f t="shared" si="144"/>
        <v/>
      </c>
      <c r="W617" s="266"/>
      <c r="X617" s="266"/>
      <c r="Y617" s="266" t="str">
        <f t="shared" si="136"/>
        <v/>
      </c>
      <c r="Z617" s="266"/>
    </row>
    <row r="618" spans="1:26" ht="27" hidden="1" customHeight="1">
      <c r="A618" s="70" t="str">
        <f t="shared" si="132"/>
        <v/>
      </c>
      <c r="B618" s="70" t="str">
        <f t="shared" si="133"/>
        <v/>
      </c>
      <c r="C618" s="204" t="str" cm="1">
        <f t="array" ref="C618">IF(D618="","",
    IF(AND(ISNUMBER(D618), D618=INT(D618)),
        $V$6 &amp; " " &amp; (IFERROR(MAX($Y$12:$Y617), 0) + 1),
        IF(ISNUMBER(SEARCH(".", D618)), "", INDEX($C$12:$C618, MATCH(2, 1/($C$12:$C618 &lt;&gt; ""))))
    )
)</f>
        <v/>
      </c>
      <c r="D618" s="206"/>
      <c r="E618" s="206" t="str">
        <f>IF(AA618 = "", "",
    IF(ISNUMBER(SEARCH("Kiện", C618)),
       " GÓI " &amp; COUNTIF($C$13:C618, "*Kiện*") &amp; "/" &amp; COUNTIF($C$13:$C$1000, "*Kiện*") &amp; " " &amp; AA618,
       AA618)
)</f>
        <v/>
      </c>
      <c r="F618" s="206"/>
      <c r="G618" s="206"/>
      <c r="H618" s="206"/>
      <c r="I618" s="206"/>
      <c r="J618" s="206" t="str">
        <f t="shared" si="135"/>
        <v/>
      </c>
      <c r="K618" s="206" t="str">
        <f t="shared" si="137"/>
        <v/>
      </c>
      <c r="L618" s="206" t="str">
        <f t="shared" si="138"/>
        <v/>
      </c>
      <c r="M618" s="206" t="str">
        <f t="shared" si="139"/>
        <v/>
      </c>
      <c r="N618" s="206" t="str">
        <f t="shared" si="140"/>
        <v/>
      </c>
      <c r="O618" s="206" t="str">
        <f t="shared" si="141"/>
        <v/>
      </c>
      <c r="P618" s="84" t="str">
        <f t="shared" si="142"/>
        <v/>
      </c>
      <c r="Q618" s="205"/>
      <c r="R618" s="70" t="str">
        <f>IF(S618="IN",'BOM_Phan II'!$Y$3,"")</f>
        <v/>
      </c>
      <c r="S618" s="69" t="str">
        <f t="shared" si="134"/>
        <v/>
      </c>
      <c r="T618">
        <f t="shared" si="143"/>
        <v>3</v>
      </c>
      <c r="U618" t="str">
        <f t="shared" si="145"/>
        <v>KIỆN 14</v>
      </c>
      <c r="V618" t="str">
        <f t="shared" si="144"/>
        <v/>
      </c>
      <c r="W618" s="266"/>
      <c r="X618" s="266"/>
      <c r="Y618" s="266" t="str">
        <f t="shared" si="136"/>
        <v/>
      </c>
      <c r="Z618" s="266"/>
    </row>
    <row r="619" spans="1:26" ht="27" hidden="1" customHeight="1">
      <c r="A619" s="70" t="str">
        <f t="shared" si="132"/>
        <v/>
      </c>
      <c r="B619" s="70" t="str">
        <f t="shared" si="133"/>
        <v/>
      </c>
      <c r="C619" s="204" t="str" cm="1">
        <f t="array" ref="C619">IF(D619="","",
    IF(AND(ISNUMBER(D619), D619=INT(D619)),
        $V$6 &amp; " " &amp; (IFERROR(MAX($Y$12:$Y618), 0) + 1),
        IF(ISNUMBER(SEARCH(".", D619)), "", INDEX($C$12:$C619, MATCH(2, 1/($C$12:$C619 &lt;&gt; ""))))
    )
)</f>
        <v/>
      </c>
      <c r="D619" s="206"/>
      <c r="E619" s="206" t="str">
        <f>IF(AA619 = "", "",
    IF(ISNUMBER(SEARCH("Kiện", C619)),
       " GÓI " &amp; COUNTIF($C$13:C619, "*Kiện*") &amp; "/" &amp; COUNTIF($C$13:$C$1000, "*Kiện*") &amp; " " &amp; AA619,
       AA619)
)</f>
        <v/>
      </c>
      <c r="F619" s="206"/>
      <c r="G619" s="206"/>
      <c r="H619" s="206"/>
      <c r="I619" s="206"/>
      <c r="J619" s="206" t="str">
        <f t="shared" si="135"/>
        <v/>
      </c>
      <c r="K619" s="206" t="str">
        <f t="shared" si="137"/>
        <v/>
      </c>
      <c r="L619" s="206" t="str">
        <f t="shared" si="138"/>
        <v/>
      </c>
      <c r="M619" s="206" t="str">
        <f t="shared" si="139"/>
        <v/>
      </c>
      <c r="N619" s="206" t="str">
        <f t="shared" si="140"/>
        <v/>
      </c>
      <c r="O619" s="206" t="str">
        <f t="shared" si="141"/>
        <v/>
      </c>
      <c r="P619" s="84" t="str">
        <f t="shared" si="142"/>
        <v/>
      </c>
      <c r="Q619" s="205"/>
      <c r="R619" s="70" t="str">
        <f>IF(S619="IN",'BOM_Phan II'!$Y$3,"")</f>
        <v/>
      </c>
      <c r="S619" s="69" t="str">
        <f t="shared" si="134"/>
        <v/>
      </c>
      <c r="T619">
        <f t="shared" si="143"/>
        <v>3</v>
      </c>
      <c r="U619" t="str">
        <f t="shared" si="145"/>
        <v>KIỆN 14</v>
      </c>
      <c r="V619" t="str">
        <f t="shared" si="144"/>
        <v/>
      </c>
      <c r="W619" s="266"/>
      <c r="X619" s="266"/>
      <c r="Y619" s="266" t="str">
        <f t="shared" si="136"/>
        <v/>
      </c>
      <c r="Z619" s="266"/>
    </row>
    <row r="620" spans="1:26" ht="27" hidden="1" customHeight="1">
      <c r="A620" s="70" t="str">
        <f t="shared" si="132"/>
        <v/>
      </c>
      <c r="B620" s="70" t="str">
        <f t="shared" si="133"/>
        <v/>
      </c>
      <c r="C620" s="204" t="str" cm="1">
        <f t="array" ref="C620">IF(D620="","",
    IF(AND(ISNUMBER(D620), D620=INT(D620)),
        $V$6 &amp; " " &amp; (IFERROR(MAX($Y$12:$Y619), 0) + 1),
        IF(ISNUMBER(SEARCH(".", D620)), "", INDEX($C$12:$C620, MATCH(2, 1/($C$12:$C620 &lt;&gt; ""))))
    )
)</f>
        <v/>
      </c>
      <c r="D620" s="206"/>
      <c r="E620" s="206" t="str">
        <f>IF(AA620 = "", "",
    IF(ISNUMBER(SEARCH("Kiện", C620)),
       " GÓI " &amp; COUNTIF($C$13:C620, "*Kiện*") &amp; "/" &amp; COUNTIF($C$13:$C$1000, "*Kiện*") &amp; " " &amp; AA620,
       AA620)
)</f>
        <v/>
      </c>
      <c r="F620" s="206"/>
      <c r="G620" s="206"/>
      <c r="H620" s="206"/>
      <c r="I620" s="206"/>
      <c r="J620" s="206" t="str">
        <f t="shared" si="135"/>
        <v/>
      </c>
      <c r="K620" s="206" t="str">
        <f t="shared" si="137"/>
        <v/>
      </c>
      <c r="L620" s="206" t="str">
        <f t="shared" si="138"/>
        <v/>
      </c>
      <c r="M620" s="206" t="str">
        <f t="shared" si="139"/>
        <v/>
      </c>
      <c r="N620" s="206" t="str">
        <f t="shared" si="140"/>
        <v/>
      </c>
      <c r="O620" s="206" t="str">
        <f t="shared" si="141"/>
        <v/>
      </c>
      <c r="P620" s="84" t="str">
        <f t="shared" si="142"/>
        <v/>
      </c>
      <c r="Q620" s="205"/>
      <c r="R620" s="70" t="str">
        <f>IF(S620="IN",'BOM_Phan II'!$Y$3,"")</f>
        <v/>
      </c>
      <c r="S620" s="69" t="str">
        <f t="shared" si="134"/>
        <v/>
      </c>
      <c r="T620">
        <f t="shared" si="143"/>
        <v>3</v>
      </c>
      <c r="U620" t="str">
        <f t="shared" si="145"/>
        <v>KIỆN 14</v>
      </c>
      <c r="V620" t="str">
        <f t="shared" si="144"/>
        <v/>
      </c>
      <c r="W620" s="266"/>
      <c r="X620" s="266"/>
      <c r="Y620" s="266" t="str">
        <f t="shared" si="136"/>
        <v/>
      </c>
      <c r="Z620" s="266"/>
    </row>
    <row r="621" spans="1:26" ht="27" hidden="1" customHeight="1">
      <c r="A621" s="70" t="str">
        <f t="shared" si="132"/>
        <v/>
      </c>
      <c r="B621" s="70" t="str">
        <f t="shared" si="133"/>
        <v/>
      </c>
      <c r="C621" s="204" t="str" cm="1">
        <f t="array" ref="C621">IF(D621="","",
    IF(AND(ISNUMBER(D621), D621=INT(D621)),
        $V$6 &amp; " " &amp; (IFERROR(MAX($Y$12:$Y620), 0) + 1),
        IF(ISNUMBER(SEARCH(".", D621)), "", INDEX($C$12:$C621, MATCH(2, 1/($C$12:$C621 &lt;&gt; ""))))
    )
)</f>
        <v/>
      </c>
      <c r="D621" s="206"/>
      <c r="E621" s="206" t="str">
        <f>IF(AA621 = "", "",
    IF(ISNUMBER(SEARCH("Kiện", C621)),
       " GÓI " &amp; COUNTIF($C$13:C621, "*Kiện*") &amp; "/" &amp; COUNTIF($C$13:$C$1000, "*Kiện*") &amp; " " &amp; AA621,
       AA621)
)</f>
        <v/>
      </c>
      <c r="F621" s="206"/>
      <c r="G621" s="206"/>
      <c r="H621" s="206"/>
      <c r="I621" s="206"/>
      <c r="J621" s="206" t="str">
        <f t="shared" si="135"/>
        <v/>
      </c>
      <c r="K621" s="206" t="str">
        <f t="shared" si="137"/>
        <v/>
      </c>
      <c r="L621" s="206" t="str">
        <f t="shared" si="138"/>
        <v/>
      </c>
      <c r="M621" s="206" t="str">
        <f t="shared" si="139"/>
        <v/>
      </c>
      <c r="N621" s="206" t="str">
        <f t="shared" si="140"/>
        <v/>
      </c>
      <c r="O621" s="206" t="str">
        <f t="shared" si="141"/>
        <v/>
      </c>
      <c r="P621" s="84" t="str">
        <f t="shared" si="142"/>
        <v/>
      </c>
      <c r="Q621" s="205"/>
      <c r="R621" s="70" t="str">
        <f>IF(S621="IN",'BOM_Phan II'!$Y$3,"")</f>
        <v/>
      </c>
      <c r="S621" s="69" t="str">
        <f t="shared" si="134"/>
        <v/>
      </c>
      <c r="T621">
        <f t="shared" si="143"/>
        <v>3</v>
      </c>
      <c r="U621" t="str">
        <f t="shared" si="145"/>
        <v>KIỆN 14</v>
      </c>
      <c r="V621" t="str">
        <f t="shared" si="144"/>
        <v/>
      </c>
      <c r="W621" s="266"/>
      <c r="X621" s="266"/>
      <c r="Y621" s="266" t="str">
        <f t="shared" si="136"/>
        <v/>
      </c>
      <c r="Z621" s="266"/>
    </row>
    <row r="622" spans="1:26" ht="27" hidden="1" customHeight="1">
      <c r="A622" s="70" t="str">
        <f t="shared" si="132"/>
        <v/>
      </c>
      <c r="B622" s="70" t="str">
        <f t="shared" si="133"/>
        <v/>
      </c>
      <c r="C622" s="204" t="str" cm="1">
        <f t="array" ref="C622">IF(D622="","",
    IF(AND(ISNUMBER(D622), D622=INT(D622)),
        $V$6 &amp; " " &amp; (IFERROR(MAX($Y$12:$Y621), 0) + 1),
        IF(ISNUMBER(SEARCH(".", D622)), "", INDEX($C$12:$C622, MATCH(2, 1/($C$12:$C622 &lt;&gt; ""))))
    )
)</f>
        <v/>
      </c>
      <c r="D622" s="206"/>
      <c r="E622" s="206" t="str">
        <f>IF(AA622 = "", "",
    IF(ISNUMBER(SEARCH("Kiện", C622)),
       " GÓI " &amp; COUNTIF($C$13:C622, "*Kiện*") &amp; "/" &amp; COUNTIF($C$13:$C$1000, "*Kiện*") &amp; " " &amp; AA622,
       AA622)
)</f>
        <v/>
      </c>
      <c r="F622" s="206"/>
      <c r="G622" s="206"/>
      <c r="H622" s="206"/>
      <c r="I622" s="206"/>
      <c r="J622" s="206" t="str">
        <f t="shared" si="135"/>
        <v/>
      </c>
      <c r="K622" s="206" t="str">
        <f t="shared" si="137"/>
        <v/>
      </c>
      <c r="L622" s="206" t="str">
        <f t="shared" si="138"/>
        <v/>
      </c>
      <c r="M622" s="206" t="str">
        <f t="shared" si="139"/>
        <v/>
      </c>
      <c r="N622" s="206" t="str">
        <f t="shared" si="140"/>
        <v/>
      </c>
      <c r="O622" s="206" t="str">
        <f t="shared" si="141"/>
        <v/>
      </c>
      <c r="P622" s="84" t="str">
        <f t="shared" si="142"/>
        <v/>
      </c>
      <c r="Q622" s="205"/>
      <c r="R622" s="70" t="str">
        <f>IF(S622="IN",'BOM_Phan II'!$Y$3,"")</f>
        <v/>
      </c>
      <c r="S622" s="69" t="str">
        <f t="shared" si="134"/>
        <v/>
      </c>
      <c r="T622">
        <f t="shared" si="143"/>
        <v>3</v>
      </c>
      <c r="U622" t="str">
        <f t="shared" si="145"/>
        <v>KIỆN 14</v>
      </c>
      <c r="V622" t="str">
        <f t="shared" si="144"/>
        <v/>
      </c>
      <c r="W622" s="266"/>
      <c r="X622" s="266"/>
      <c r="Y622" s="266" t="str">
        <f t="shared" si="136"/>
        <v/>
      </c>
      <c r="Z622" s="266"/>
    </row>
    <row r="623" spans="1:26" ht="27" hidden="1" customHeight="1">
      <c r="A623" s="70" t="str">
        <f t="shared" si="132"/>
        <v/>
      </c>
      <c r="B623" s="70" t="str">
        <f t="shared" si="133"/>
        <v/>
      </c>
      <c r="C623" s="204" t="str" cm="1">
        <f t="array" ref="C623">IF(D623="","",
    IF(AND(ISNUMBER(D623), D623=INT(D623)),
        $V$6 &amp; " " &amp; (IFERROR(MAX($Y$12:$Y622), 0) + 1),
        IF(ISNUMBER(SEARCH(".", D623)), "", INDEX($C$12:$C623, MATCH(2, 1/($C$12:$C623 &lt;&gt; ""))))
    )
)</f>
        <v/>
      </c>
      <c r="D623" s="206"/>
      <c r="E623" s="206" t="str">
        <f>IF(AA623 = "", "",
    IF(ISNUMBER(SEARCH("Kiện", C623)),
       " GÓI " &amp; COUNTIF($C$13:C623, "*Kiện*") &amp; "/" &amp; COUNTIF($C$13:$C$1000, "*Kiện*") &amp; " " &amp; AA623,
       AA623)
)</f>
        <v/>
      </c>
      <c r="F623" s="206"/>
      <c r="G623" s="206"/>
      <c r="H623" s="206"/>
      <c r="I623" s="206"/>
      <c r="J623" s="206" t="str">
        <f t="shared" si="135"/>
        <v/>
      </c>
      <c r="K623" s="206" t="str">
        <f t="shared" si="137"/>
        <v/>
      </c>
      <c r="L623" s="206" t="str">
        <f t="shared" si="138"/>
        <v/>
      </c>
      <c r="M623" s="206" t="str">
        <f t="shared" si="139"/>
        <v/>
      </c>
      <c r="N623" s="206" t="str">
        <f t="shared" si="140"/>
        <v/>
      </c>
      <c r="O623" s="206" t="str">
        <f t="shared" si="141"/>
        <v/>
      </c>
      <c r="P623" s="84" t="str">
        <f t="shared" si="142"/>
        <v/>
      </c>
      <c r="Q623" s="205"/>
      <c r="R623" s="70" t="str">
        <f>IF(S623="IN",'BOM_Phan II'!$Y$3,"")</f>
        <v/>
      </c>
      <c r="S623" s="69" t="str">
        <f t="shared" si="134"/>
        <v/>
      </c>
      <c r="T623">
        <f t="shared" si="143"/>
        <v>3</v>
      </c>
      <c r="U623" t="str">
        <f>IF(C623="",U572,C623)</f>
        <v>KIỆN 14</v>
      </c>
      <c r="V623" t="str">
        <f t="shared" si="144"/>
        <v/>
      </c>
      <c r="W623" s="266"/>
      <c r="X623" s="266"/>
      <c r="Y623" s="266" t="str">
        <f t="shared" si="136"/>
        <v/>
      </c>
      <c r="Z623" s="266"/>
    </row>
    <row r="624" spans="1:26" ht="27" hidden="1" customHeight="1">
      <c r="A624" s="70" t="str">
        <f t="shared" si="132"/>
        <v/>
      </c>
      <c r="B624" s="70" t="str">
        <f t="shared" si="133"/>
        <v/>
      </c>
      <c r="C624" s="204" t="str" cm="1">
        <f t="array" ref="C624">IF(D624="","",
    IF(AND(ISNUMBER(D624), D624=INT(D624)),
        $V$6 &amp; " " &amp; (IFERROR(MAX($Y$12:$Y623), 0) + 1),
        IF(ISNUMBER(SEARCH(".", D624)), "", INDEX($C$12:$C624, MATCH(2, 1/($C$12:$C624 &lt;&gt; ""))))
    )
)</f>
        <v/>
      </c>
      <c r="D624" s="206"/>
      <c r="E624" s="206" t="str">
        <f>IF(AA624 = "", "",
    IF(ISNUMBER(SEARCH("Kiện", C624)),
       " GÓI " &amp; COUNTIF($C$13:C624, "*Kiện*") &amp; "/" &amp; COUNTIF($C$13:$C$1000, "*Kiện*") &amp; " " &amp; AA624,
       AA624)
)</f>
        <v/>
      </c>
      <c r="F624" s="206"/>
      <c r="G624" s="206"/>
      <c r="H624" s="206"/>
      <c r="I624" s="206"/>
      <c r="J624" s="206" t="str">
        <f t="shared" si="135"/>
        <v/>
      </c>
      <c r="K624" s="206" t="str">
        <f t="shared" si="137"/>
        <v/>
      </c>
      <c r="L624" s="206" t="str">
        <f t="shared" si="138"/>
        <v/>
      </c>
      <c r="M624" s="206" t="str">
        <f t="shared" si="139"/>
        <v/>
      </c>
      <c r="N624" s="206" t="str">
        <f t="shared" si="140"/>
        <v/>
      </c>
      <c r="O624" s="206" t="str">
        <f t="shared" si="141"/>
        <v/>
      </c>
      <c r="P624" s="84" t="str">
        <f t="shared" si="142"/>
        <v/>
      </c>
      <c r="Q624" s="205"/>
      <c r="R624" s="70" t="str">
        <f>IF(S624="IN",'BOM_Phan II'!$Y$3,"")</f>
        <v/>
      </c>
      <c r="S624" s="69" t="str">
        <f t="shared" si="134"/>
        <v/>
      </c>
      <c r="T624">
        <f t="shared" si="143"/>
        <v>3</v>
      </c>
      <c r="U624" t="str">
        <f t="shared" ref="U624:U641" si="146">IF(C624="",U623,C624)</f>
        <v>KIỆN 14</v>
      </c>
      <c r="V624" t="str">
        <f t="shared" si="144"/>
        <v/>
      </c>
      <c r="W624" s="266"/>
      <c r="X624" s="266"/>
      <c r="Y624" s="266" t="str">
        <f t="shared" si="136"/>
        <v/>
      </c>
      <c r="Z624" s="266"/>
    </row>
    <row r="625" spans="1:26" ht="27" hidden="1" customHeight="1">
      <c r="A625" s="70" t="str">
        <f t="shared" si="132"/>
        <v/>
      </c>
      <c r="B625" s="70" t="str">
        <f t="shared" si="133"/>
        <v/>
      </c>
      <c r="C625" s="204" t="str" cm="1">
        <f t="array" ref="C625">IF(D625="","",
    IF(AND(ISNUMBER(D625), D625=INT(D625)),
        $V$6 &amp; " " &amp; (IFERROR(MAX($Y$12:$Y624), 0) + 1),
        IF(ISNUMBER(SEARCH(".", D625)), "", INDEX($C$12:$C625, MATCH(2, 1/($C$12:$C625 &lt;&gt; ""))))
    )
)</f>
        <v/>
      </c>
      <c r="D625" s="206"/>
      <c r="E625" s="206" t="str">
        <f>IF(AA625 = "", "",
    IF(ISNUMBER(SEARCH("Kiện", C625)),
       " GÓI " &amp; COUNTIF($C$13:C625, "*Kiện*") &amp; "/" &amp; COUNTIF($C$13:$C$1000, "*Kiện*") &amp; " " &amp; AA625,
       AA625)
)</f>
        <v/>
      </c>
      <c r="F625" s="206"/>
      <c r="G625" s="206"/>
      <c r="H625" s="206"/>
      <c r="I625" s="206"/>
      <c r="J625" s="206" t="str">
        <f t="shared" si="135"/>
        <v/>
      </c>
      <c r="K625" s="206" t="str">
        <f t="shared" si="137"/>
        <v/>
      </c>
      <c r="L625" s="206" t="str">
        <f t="shared" si="138"/>
        <v/>
      </c>
      <c r="M625" s="206" t="str">
        <f t="shared" si="139"/>
        <v/>
      </c>
      <c r="N625" s="206" t="str">
        <f t="shared" si="140"/>
        <v/>
      </c>
      <c r="O625" s="206" t="str">
        <f t="shared" si="141"/>
        <v/>
      </c>
      <c r="P625" s="84" t="str">
        <f t="shared" si="142"/>
        <v/>
      </c>
      <c r="Q625" s="205"/>
      <c r="R625" s="70" t="str">
        <f>IF(S625="IN",'BOM_Phan II'!$Y$3,"")</f>
        <v/>
      </c>
      <c r="S625" s="69" t="str">
        <f t="shared" si="134"/>
        <v/>
      </c>
      <c r="T625">
        <f t="shared" si="143"/>
        <v>3</v>
      </c>
      <c r="U625" t="str">
        <f t="shared" si="146"/>
        <v>KIỆN 14</v>
      </c>
      <c r="V625" t="str">
        <f t="shared" si="144"/>
        <v/>
      </c>
      <c r="W625" s="266"/>
      <c r="X625" s="266"/>
      <c r="Y625" s="266" t="str">
        <f t="shared" si="136"/>
        <v/>
      </c>
      <c r="Z625" s="266"/>
    </row>
    <row r="626" spans="1:26" ht="27" hidden="1" customHeight="1">
      <c r="A626" s="70" t="str">
        <f t="shared" si="132"/>
        <v/>
      </c>
      <c r="B626" s="70" t="str">
        <f t="shared" si="133"/>
        <v/>
      </c>
      <c r="C626" s="204" t="str" cm="1">
        <f t="array" ref="C626">IF(D626="","",
    IF(AND(ISNUMBER(D626), D626=INT(D626)),
        $V$6 &amp; " " &amp; (IFERROR(MAX($Y$12:$Y625), 0) + 1),
        IF(ISNUMBER(SEARCH(".", D626)), "", INDEX($C$12:$C626, MATCH(2, 1/($C$12:$C626 &lt;&gt; ""))))
    )
)</f>
        <v/>
      </c>
      <c r="D626" s="206"/>
      <c r="E626" s="206" t="str">
        <f>IF(AA626 = "", "",
    IF(ISNUMBER(SEARCH("Kiện", C626)),
       " GÓI " &amp; COUNTIF($C$13:C626, "*Kiện*") &amp; "/" &amp; COUNTIF($C$13:$C$1000, "*Kiện*") &amp; " " &amp; AA626,
       AA626)
)</f>
        <v/>
      </c>
      <c r="F626" s="206"/>
      <c r="G626" s="206"/>
      <c r="H626" s="206"/>
      <c r="I626" s="206"/>
      <c r="J626" s="206" t="str">
        <f t="shared" si="135"/>
        <v/>
      </c>
      <c r="K626" s="206" t="str">
        <f t="shared" si="137"/>
        <v/>
      </c>
      <c r="L626" s="206" t="str">
        <f t="shared" si="138"/>
        <v/>
      </c>
      <c r="M626" s="206" t="str">
        <f t="shared" si="139"/>
        <v/>
      </c>
      <c r="N626" s="206" t="str">
        <f t="shared" si="140"/>
        <v/>
      </c>
      <c r="O626" s="206" t="str">
        <f t="shared" si="141"/>
        <v/>
      </c>
      <c r="P626" s="84" t="str">
        <f t="shared" si="142"/>
        <v/>
      </c>
      <c r="Q626" s="205"/>
      <c r="R626" s="70" t="str">
        <f>IF(S626="IN",'BOM_Phan II'!$Y$3,"")</f>
        <v/>
      </c>
      <c r="S626" s="69" t="str">
        <f t="shared" si="134"/>
        <v/>
      </c>
      <c r="T626">
        <f t="shared" si="143"/>
        <v>3</v>
      </c>
      <c r="U626" t="str">
        <f t="shared" si="146"/>
        <v>KIỆN 14</v>
      </c>
      <c r="V626" t="str">
        <f t="shared" si="144"/>
        <v/>
      </c>
      <c r="W626" s="266"/>
      <c r="X626" s="266"/>
      <c r="Y626" s="266" t="str">
        <f t="shared" si="136"/>
        <v/>
      </c>
      <c r="Z626" s="266"/>
    </row>
    <row r="627" spans="1:26" ht="27" hidden="1" customHeight="1">
      <c r="A627" s="70" t="str">
        <f t="shared" si="132"/>
        <v/>
      </c>
      <c r="B627" s="70" t="str">
        <f t="shared" si="133"/>
        <v/>
      </c>
      <c r="C627" s="204" t="str" cm="1">
        <f t="array" ref="C627">IF(D627="","",
    IF(AND(ISNUMBER(D627), D627=INT(D627)),
        $V$6 &amp; " " &amp; (IFERROR(MAX($Y$12:$Y626), 0) + 1),
        IF(ISNUMBER(SEARCH(".", D627)), "", INDEX($C$12:$C627, MATCH(2, 1/($C$12:$C627 &lt;&gt; ""))))
    )
)</f>
        <v/>
      </c>
      <c r="D627" s="206"/>
      <c r="E627" s="206" t="str">
        <f>IF(AA627 = "", "",
    IF(ISNUMBER(SEARCH("Kiện", C627)),
       " GÓI " &amp; COUNTIF($C$13:C627, "*Kiện*") &amp; "/" &amp; COUNTIF($C$13:$C$1000, "*Kiện*") &amp; " " &amp; AA627,
       AA627)
)</f>
        <v/>
      </c>
      <c r="F627" s="206"/>
      <c r="G627" s="206"/>
      <c r="H627" s="206"/>
      <c r="I627" s="206"/>
      <c r="J627" s="206" t="str">
        <f t="shared" si="135"/>
        <v/>
      </c>
      <c r="K627" s="206" t="str">
        <f t="shared" si="137"/>
        <v/>
      </c>
      <c r="L627" s="206" t="str">
        <f t="shared" si="138"/>
        <v/>
      </c>
      <c r="M627" s="206" t="str">
        <f t="shared" si="139"/>
        <v/>
      </c>
      <c r="N627" s="206" t="str">
        <f t="shared" si="140"/>
        <v/>
      </c>
      <c r="O627" s="206" t="str">
        <f t="shared" si="141"/>
        <v/>
      </c>
      <c r="P627" s="84" t="str">
        <f t="shared" si="142"/>
        <v/>
      </c>
      <c r="Q627" s="205"/>
      <c r="R627" s="70" t="str">
        <f>IF(S627="IN",'BOM_Phan II'!$Y$3,"")</f>
        <v/>
      </c>
      <c r="S627" s="69" t="str">
        <f t="shared" si="134"/>
        <v/>
      </c>
      <c r="T627">
        <f t="shared" si="143"/>
        <v>3</v>
      </c>
      <c r="U627" t="str">
        <f t="shared" si="146"/>
        <v>KIỆN 14</v>
      </c>
      <c r="V627" t="str">
        <f t="shared" si="144"/>
        <v/>
      </c>
      <c r="W627" s="266"/>
      <c r="X627" s="266"/>
      <c r="Y627" s="266" t="str">
        <f t="shared" si="136"/>
        <v/>
      </c>
      <c r="Z627" s="266"/>
    </row>
    <row r="628" spans="1:26" ht="27" hidden="1" customHeight="1">
      <c r="A628" s="70" t="str">
        <f t="shared" si="132"/>
        <v/>
      </c>
      <c r="B628" s="70" t="str">
        <f t="shared" si="133"/>
        <v/>
      </c>
      <c r="C628" s="204" t="str" cm="1">
        <f t="array" ref="C628">IF(D628="","",
    IF(AND(ISNUMBER(D628), D628=INT(D628)),
        $V$6 &amp; " " &amp; (IFERROR(MAX($Y$12:$Y627), 0) + 1),
        IF(ISNUMBER(SEARCH(".", D628)), "", INDEX($C$12:$C628, MATCH(2, 1/($C$12:$C628 &lt;&gt; ""))))
    )
)</f>
        <v/>
      </c>
      <c r="D628" s="206"/>
      <c r="E628" s="206" t="str">
        <f>IF(AA628 = "", "",
    IF(ISNUMBER(SEARCH("Kiện", C628)),
       " GÓI " &amp; COUNTIF($C$13:C628, "*Kiện*") &amp; "/" &amp; COUNTIF($C$13:$C$1000, "*Kiện*") &amp; " " &amp; AA628,
       AA628)
)</f>
        <v/>
      </c>
      <c r="F628" s="206"/>
      <c r="G628" s="206"/>
      <c r="H628" s="206"/>
      <c r="I628" s="206"/>
      <c r="J628" s="206" t="str">
        <f t="shared" si="135"/>
        <v/>
      </c>
      <c r="K628" s="206" t="str">
        <f t="shared" si="137"/>
        <v/>
      </c>
      <c r="L628" s="206" t="str">
        <f t="shared" si="138"/>
        <v/>
      </c>
      <c r="M628" s="206" t="str">
        <f t="shared" si="139"/>
        <v/>
      </c>
      <c r="N628" s="206" t="str">
        <f t="shared" si="140"/>
        <v/>
      </c>
      <c r="O628" s="206" t="str">
        <f t="shared" si="141"/>
        <v/>
      </c>
      <c r="P628" s="84" t="str">
        <f t="shared" si="142"/>
        <v/>
      </c>
      <c r="Q628" s="205"/>
      <c r="R628" s="70" t="str">
        <f>IF(S628="IN",'BOM_Phan II'!$Y$3,"")</f>
        <v/>
      </c>
      <c r="S628" s="69" t="str">
        <f t="shared" si="134"/>
        <v/>
      </c>
      <c r="T628">
        <f t="shared" si="143"/>
        <v>3</v>
      </c>
      <c r="U628" t="str">
        <f t="shared" si="146"/>
        <v>KIỆN 14</v>
      </c>
      <c r="V628" t="str">
        <f t="shared" si="144"/>
        <v/>
      </c>
      <c r="W628" s="266"/>
      <c r="X628" s="266"/>
      <c r="Y628" s="266" t="str">
        <f t="shared" si="136"/>
        <v/>
      </c>
      <c r="Z628" s="266"/>
    </row>
    <row r="629" spans="1:26" ht="27" hidden="1" customHeight="1">
      <c r="A629" s="70" t="str">
        <f t="shared" si="132"/>
        <v/>
      </c>
      <c r="B629" s="70" t="str">
        <f t="shared" si="133"/>
        <v/>
      </c>
      <c r="C629" s="204" t="str" cm="1">
        <f t="array" ref="C629">IF(D629="","",
    IF(AND(ISNUMBER(D629), D629=INT(D629)),
        $V$6 &amp; " " &amp; (IFERROR(MAX($Y$12:$Y628), 0) + 1),
        IF(ISNUMBER(SEARCH(".", D629)), "", INDEX($C$12:$C629, MATCH(2, 1/($C$12:$C629 &lt;&gt; ""))))
    )
)</f>
        <v/>
      </c>
      <c r="D629" s="206"/>
      <c r="E629" s="206" t="str">
        <f>IF(AA629 = "", "",
    IF(ISNUMBER(SEARCH("Kiện", C629)),
       " GÓI " &amp; COUNTIF($C$13:C629, "*Kiện*") &amp; "/" &amp; COUNTIF($C$13:$C$1000, "*Kiện*") &amp; " " &amp; AA629,
       AA629)
)</f>
        <v/>
      </c>
      <c r="F629" s="206"/>
      <c r="G629" s="206"/>
      <c r="H629" s="206"/>
      <c r="I629" s="206"/>
      <c r="J629" s="206" t="str">
        <f t="shared" si="135"/>
        <v/>
      </c>
      <c r="K629" s="206" t="str">
        <f t="shared" si="137"/>
        <v/>
      </c>
      <c r="L629" s="206" t="str">
        <f t="shared" si="138"/>
        <v/>
      </c>
      <c r="M629" s="206" t="str">
        <f t="shared" si="139"/>
        <v/>
      </c>
      <c r="N629" s="206" t="str">
        <f t="shared" si="140"/>
        <v/>
      </c>
      <c r="O629" s="206" t="str">
        <f t="shared" si="141"/>
        <v/>
      </c>
      <c r="P629" s="84" t="str">
        <f t="shared" si="142"/>
        <v/>
      </c>
      <c r="Q629" s="205"/>
      <c r="R629" s="70" t="str">
        <f>IF(S629="IN",'BOM_Phan II'!$Y$3,"")</f>
        <v/>
      </c>
      <c r="S629" s="69" t="str">
        <f t="shared" si="134"/>
        <v/>
      </c>
      <c r="T629">
        <f t="shared" si="143"/>
        <v>3</v>
      </c>
      <c r="U629" t="str">
        <f t="shared" si="146"/>
        <v>KIỆN 14</v>
      </c>
      <c r="V629" t="str">
        <f t="shared" si="144"/>
        <v/>
      </c>
      <c r="W629" s="266"/>
      <c r="X629" s="266"/>
      <c r="Y629" s="266" t="str">
        <f t="shared" si="136"/>
        <v/>
      </c>
      <c r="Z629" s="266"/>
    </row>
    <row r="630" spans="1:26" ht="27" hidden="1" customHeight="1">
      <c r="A630" s="70" t="str">
        <f t="shared" si="132"/>
        <v/>
      </c>
      <c r="B630" s="70" t="str">
        <f t="shared" si="133"/>
        <v/>
      </c>
      <c r="C630" s="204" t="str" cm="1">
        <f t="array" ref="C630">IF(D630="","",
    IF(AND(ISNUMBER(D630), D630=INT(D630)),
        $V$6 &amp; " " &amp; (IFERROR(MAX($Y$12:$Y629), 0) + 1),
        IF(ISNUMBER(SEARCH(".", D630)), "", INDEX($C$12:$C630, MATCH(2, 1/($C$12:$C630 &lt;&gt; ""))))
    )
)</f>
        <v/>
      </c>
      <c r="D630" s="206"/>
      <c r="E630" s="206" t="str">
        <f>IF(AA630 = "", "",
    IF(ISNUMBER(SEARCH("Kiện", C630)),
       " GÓI " &amp; COUNTIF($C$13:C630, "*Kiện*") &amp; "/" &amp; COUNTIF($C$13:$C$1000, "*Kiện*") &amp; " " &amp; AA630,
       AA630)
)</f>
        <v/>
      </c>
      <c r="F630" s="206"/>
      <c r="G630" s="206"/>
      <c r="H630" s="206"/>
      <c r="I630" s="206"/>
      <c r="J630" s="206" t="str">
        <f t="shared" si="135"/>
        <v/>
      </c>
      <c r="K630" s="206" t="str">
        <f t="shared" si="137"/>
        <v/>
      </c>
      <c r="L630" s="206" t="str">
        <f t="shared" si="138"/>
        <v/>
      </c>
      <c r="M630" s="206" t="str">
        <f t="shared" si="139"/>
        <v/>
      </c>
      <c r="N630" s="206" t="str">
        <f t="shared" si="140"/>
        <v/>
      </c>
      <c r="O630" s="206" t="str">
        <f t="shared" si="141"/>
        <v/>
      </c>
      <c r="P630" s="84" t="str">
        <f t="shared" si="142"/>
        <v/>
      </c>
      <c r="Q630" s="205"/>
      <c r="R630" s="70" t="str">
        <f>IF(S630="IN",'BOM_Phan II'!$Y$3,"")</f>
        <v/>
      </c>
      <c r="S630" s="69" t="str">
        <f t="shared" si="134"/>
        <v/>
      </c>
      <c r="T630">
        <f t="shared" si="143"/>
        <v>3</v>
      </c>
      <c r="U630" t="str">
        <f t="shared" si="146"/>
        <v>KIỆN 14</v>
      </c>
      <c r="V630" t="str">
        <f t="shared" si="144"/>
        <v/>
      </c>
      <c r="W630" s="266"/>
      <c r="X630" s="266"/>
      <c r="Y630" s="266" t="str">
        <f t="shared" si="136"/>
        <v/>
      </c>
      <c r="Z630" s="266"/>
    </row>
    <row r="631" spans="1:26" ht="27" hidden="1" customHeight="1">
      <c r="A631" s="70" t="str">
        <f t="shared" si="132"/>
        <v/>
      </c>
      <c r="B631" s="70" t="str">
        <f t="shared" si="133"/>
        <v/>
      </c>
      <c r="C631" s="204" t="str" cm="1">
        <f t="array" ref="C631">IF(D631="","",
    IF(AND(ISNUMBER(D631), D631=INT(D631)),
        $V$6 &amp; " " &amp; (IFERROR(MAX($Y$12:$Y630), 0) + 1),
        IF(ISNUMBER(SEARCH(".", D631)), "", INDEX($C$12:$C631, MATCH(2, 1/($C$12:$C631 &lt;&gt; ""))))
    )
)</f>
        <v/>
      </c>
      <c r="D631" s="206"/>
      <c r="E631" s="206" t="str">
        <f>IF(AA631 = "", "",
    IF(ISNUMBER(SEARCH("Kiện", C631)),
       " GÓI " &amp; COUNTIF($C$13:C631, "*Kiện*") &amp; "/" &amp; COUNTIF($C$13:$C$1000, "*Kiện*") &amp; " " &amp; AA631,
       AA631)
)</f>
        <v/>
      </c>
      <c r="F631" s="206"/>
      <c r="G631" s="206"/>
      <c r="H631" s="206"/>
      <c r="I631" s="206"/>
      <c r="J631" s="206" t="str">
        <f t="shared" si="135"/>
        <v/>
      </c>
      <c r="K631" s="206" t="str">
        <f t="shared" si="137"/>
        <v/>
      </c>
      <c r="L631" s="206" t="str">
        <f t="shared" si="138"/>
        <v/>
      </c>
      <c r="M631" s="206" t="str">
        <f t="shared" si="139"/>
        <v/>
      </c>
      <c r="N631" s="206" t="str">
        <f t="shared" si="140"/>
        <v/>
      </c>
      <c r="O631" s="206" t="str">
        <f t="shared" si="141"/>
        <v/>
      </c>
      <c r="P631" s="84" t="str">
        <f t="shared" si="142"/>
        <v/>
      </c>
      <c r="Q631" s="205"/>
      <c r="R631" s="70" t="str">
        <f>IF(S631="IN",'BOM_Phan II'!$Y$3,"")</f>
        <v/>
      </c>
      <c r="S631" s="69" t="str">
        <f t="shared" si="134"/>
        <v/>
      </c>
      <c r="T631">
        <f t="shared" si="143"/>
        <v>3</v>
      </c>
      <c r="U631" t="str">
        <f t="shared" si="146"/>
        <v>KIỆN 14</v>
      </c>
      <c r="V631" t="str">
        <f t="shared" si="144"/>
        <v/>
      </c>
      <c r="W631" s="266"/>
      <c r="X631" s="266"/>
      <c r="Y631" s="266" t="str">
        <f t="shared" si="136"/>
        <v/>
      </c>
      <c r="Z631" s="266"/>
    </row>
    <row r="632" spans="1:26" ht="27" hidden="1" customHeight="1">
      <c r="A632" s="70" t="str">
        <f t="shared" si="132"/>
        <v/>
      </c>
      <c r="B632" s="70" t="str">
        <f t="shared" si="133"/>
        <v/>
      </c>
      <c r="C632" s="204" t="str" cm="1">
        <f t="array" ref="C632">IF(D632="","",
    IF(AND(ISNUMBER(D632), D632=INT(D632)),
        $V$6 &amp; " " &amp; (IFERROR(MAX($Y$12:$Y631), 0) + 1),
        IF(ISNUMBER(SEARCH(".", D632)), "", INDEX($C$12:$C632, MATCH(2, 1/($C$12:$C632 &lt;&gt; ""))))
    )
)</f>
        <v/>
      </c>
      <c r="D632" s="206"/>
      <c r="E632" s="206" t="str">
        <f>IF(AA632 = "", "",
    IF(ISNUMBER(SEARCH("Kiện", C632)),
       " GÓI " &amp; COUNTIF($C$13:C632, "*Kiện*") &amp; "/" &amp; COUNTIF($C$13:$C$1000, "*Kiện*") &amp; " " &amp; AA632,
       AA632)
)</f>
        <v/>
      </c>
      <c r="F632" s="206"/>
      <c r="G632" s="206"/>
      <c r="H632" s="206"/>
      <c r="I632" s="206"/>
      <c r="J632" s="206" t="str">
        <f t="shared" si="135"/>
        <v/>
      </c>
      <c r="K632" s="206" t="str">
        <f t="shared" si="137"/>
        <v/>
      </c>
      <c r="L632" s="206" t="str">
        <f t="shared" si="138"/>
        <v/>
      </c>
      <c r="M632" s="206" t="str">
        <f t="shared" si="139"/>
        <v/>
      </c>
      <c r="N632" s="206" t="str">
        <f t="shared" si="140"/>
        <v/>
      </c>
      <c r="O632" s="206" t="str">
        <f t="shared" si="141"/>
        <v/>
      </c>
      <c r="P632" s="84" t="str">
        <f t="shared" si="142"/>
        <v/>
      </c>
      <c r="Q632" s="205"/>
      <c r="R632" s="70" t="str">
        <f>IF(S632="IN",'BOM_Phan II'!$Y$3,"")</f>
        <v/>
      </c>
      <c r="S632" s="69" t="str">
        <f t="shared" si="134"/>
        <v/>
      </c>
      <c r="T632">
        <f t="shared" si="143"/>
        <v>3</v>
      </c>
      <c r="U632" t="str">
        <f t="shared" si="146"/>
        <v>KIỆN 14</v>
      </c>
      <c r="V632" t="str">
        <f t="shared" si="144"/>
        <v/>
      </c>
      <c r="W632" s="266"/>
      <c r="X632" s="266"/>
      <c r="Y632" s="266" t="str">
        <f t="shared" si="136"/>
        <v/>
      </c>
      <c r="Z632" s="266"/>
    </row>
    <row r="633" spans="1:26" ht="27" hidden="1" customHeight="1">
      <c r="A633" s="70" t="str">
        <f t="shared" si="132"/>
        <v/>
      </c>
      <c r="B633" s="70" t="str">
        <f t="shared" si="133"/>
        <v/>
      </c>
      <c r="C633" s="204" t="str" cm="1">
        <f t="array" ref="C633">IF(D633="","",
    IF(AND(ISNUMBER(D633), D633=INT(D633)),
        $V$6 &amp; " " &amp; (IFERROR(MAX($Y$12:$Y632), 0) + 1),
        IF(ISNUMBER(SEARCH(".", D633)), "", INDEX($C$12:$C633, MATCH(2, 1/($C$12:$C633 &lt;&gt; ""))))
    )
)</f>
        <v/>
      </c>
      <c r="D633" s="206"/>
      <c r="E633" s="206" t="str">
        <f>IF(AA633 = "", "",
    IF(ISNUMBER(SEARCH("Kiện", C633)),
       " GÓI " &amp; COUNTIF($C$13:C633, "*Kiện*") &amp; "/" &amp; COUNTIF($C$13:$C$1000, "*Kiện*") &amp; " " &amp; AA633,
       AA633)
)</f>
        <v/>
      </c>
      <c r="F633" s="206"/>
      <c r="G633" s="206"/>
      <c r="H633" s="206"/>
      <c r="I633" s="206"/>
      <c r="J633" s="206" t="str">
        <f t="shared" si="135"/>
        <v/>
      </c>
      <c r="K633" s="206" t="str">
        <f t="shared" si="137"/>
        <v/>
      </c>
      <c r="L633" s="206" t="str">
        <f t="shared" si="138"/>
        <v/>
      </c>
      <c r="M633" s="206" t="str">
        <f t="shared" si="139"/>
        <v/>
      </c>
      <c r="N633" s="206" t="str">
        <f t="shared" si="140"/>
        <v/>
      </c>
      <c r="O633" s="206" t="str">
        <f t="shared" si="141"/>
        <v/>
      </c>
      <c r="P633" s="84" t="str">
        <f t="shared" si="142"/>
        <v/>
      </c>
      <c r="Q633" s="205"/>
      <c r="R633" s="70" t="str">
        <f>IF(S633="IN",'BOM_Phan II'!$Y$3,"")</f>
        <v/>
      </c>
      <c r="S633" s="69" t="str">
        <f t="shared" si="134"/>
        <v/>
      </c>
      <c r="T633">
        <f t="shared" si="143"/>
        <v>3</v>
      </c>
      <c r="U633" t="str">
        <f t="shared" si="146"/>
        <v>KIỆN 14</v>
      </c>
      <c r="V633" t="str">
        <f t="shared" si="144"/>
        <v/>
      </c>
      <c r="W633" s="266"/>
      <c r="X633" s="266"/>
      <c r="Y633" s="266" t="str">
        <f t="shared" si="136"/>
        <v/>
      </c>
      <c r="Z633" s="266"/>
    </row>
    <row r="634" spans="1:26" ht="27" hidden="1" customHeight="1">
      <c r="A634" s="70" t="str">
        <f t="shared" si="132"/>
        <v/>
      </c>
      <c r="B634" s="70" t="str">
        <f t="shared" si="133"/>
        <v/>
      </c>
      <c r="C634" s="204" t="str" cm="1">
        <f t="array" ref="C634">IF(D634="","",
    IF(AND(ISNUMBER(D634), D634=INT(D634)),
        $V$6 &amp; " " &amp; (IFERROR(MAX($Y$12:$Y633), 0) + 1),
        IF(ISNUMBER(SEARCH(".", D634)), "", INDEX($C$12:$C634, MATCH(2, 1/($C$12:$C634 &lt;&gt; ""))))
    )
)</f>
        <v/>
      </c>
      <c r="D634" s="206"/>
      <c r="E634" s="206" t="str">
        <f>IF(AA634 = "", "",
    IF(ISNUMBER(SEARCH("Kiện", C634)),
       " GÓI " &amp; COUNTIF($C$13:C634, "*Kiện*") &amp; "/" &amp; COUNTIF($C$13:$C$1000, "*Kiện*") &amp; " " &amp; AA634,
       AA634)
)</f>
        <v/>
      </c>
      <c r="F634" s="206"/>
      <c r="G634" s="206"/>
      <c r="H634" s="206"/>
      <c r="I634" s="206"/>
      <c r="J634" s="206" t="str">
        <f t="shared" si="135"/>
        <v/>
      </c>
      <c r="K634" s="206" t="str">
        <f t="shared" si="137"/>
        <v/>
      </c>
      <c r="L634" s="206" t="str">
        <f t="shared" si="138"/>
        <v/>
      </c>
      <c r="M634" s="206" t="str">
        <f t="shared" si="139"/>
        <v/>
      </c>
      <c r="N634" s="206" t="str">
        <f t="shared" si="140"/>
        <v/>
      </c>
      <c r="O634" s="206" t="str">
        <f t="shared" si="141"/>
        <v/>
      </c>
      <c r="P634" s="84" t="str">
        <f t="shared" si="142"/>
        <v/>
      </c>
      <c r="Q634" s="205"/>
      <c r="R634" s="70" t="str">
        <f>IF(S634="IN",'BOM_Phan II'!$Y$3,"")</f>
        <v/>
      </c>
      <c r="S634" s="69" t="str">
        <f t="shared" si="134"/>
        <v/>
      </c>
      <c r="T634">
        <f t="shared" si="143"/>
        <v>3</v>
      </c>
      <c r="U634" t="str">
        <f t="shared" si="146"/>
        <v>KIỆN 14</v>
      </c>
      <c r="V634" t="str">
        <f t="shared" si="144"/>
        <v/>
      </c>
      <c r="W634" s="266"/>
      <c r="X634" s="266"/>
      <c r="Y634" s="266" t="str">
        <f t="shared" si="136"/>
        <v/>
      </c>
      <c r="Z634" s="266"/>
    </row>
    <row r="635" spans="1:26" ht="27" hidden="1" customHeight="1">
      <c r="A635" s="70" t="str">
        <f t="shared" si="132"/>
        <v/>
      </c>
      <c r="B635" s="70" t="str">
        <f t="shared" si="133"/>
        <v/>
      </c>
      <c r="C635" s="204" t="str" cm="1">
        <f t="array" ref="C635">IF(D635="","",
    IF(AND(ISNUMBER(D635), D635=INT(D635)),
        $V$6 &amp; " " &amp; (IFERROR(MAX($Y$12:$Y634), 0) + 1),
        IF(ISNUMBER(SEARCH(".", D635)), "", INDEX($C$12:$C635, MATCH(2, 1/($C$12:$C635 &lt;&gt; ""))))
    )
)</f>
        <v/>
      </c>
      <c r="D635" s="206"/>
      <c r="E635" s="206" t="str">
        <f>IF(AA635 = "", "",
    IF(ISNUMBER(SEARCH("Kiện", C635)),
       " GÓI " &amp; COUNTIF($C$13:C635, "*Kiện*") &amp; "/" &amp; COUNTIF($C$13:$C$1000, "*Kiện*") &amp; " " &amp; AA635,
       AA635)
)</f>
        <v/>
      </c>
      <c r="F635" s="206"/>
      <c r="G635" s="206"/>
      <c r="H635" s="206"/>
      <c r="I635" s="206"/>
      <c r="J635" s="206" t="str">
        <f t="shared" si="135"/>
        <v/>
      </c>
      <c r="K635" s="206" t="str">
        <f t="shared" si="137"/>
        <v/>
      </c>
      <c r="L635" s="206" t="str">
        <f t="shared" si="138"/>
        <v/>
      </c>
      <c r="M635" s="206" t="str">
        <f t="shared" si="139"/>
        <v/>
      </c>
      <c r="N635" s="206" t="str">
        <f t="shared" si="140"/>
        <v/>
      </c>
      <c r="O635" s="206" t="str">
        <f t="shared" si="141"/>
        <v/>
      </c>
      <c r="P635" s="84" t="str">
        <f t="shared" si="142"/>
        <v/>
      </c>
      <c r="Q635" s="205"/>
      <c r="R635" s="70" t="str">
        <f>IF(S635="IN",'BOM_Phan II'!$Y$3,"")</f>
        <v/>
      </c>
      <c r="S635" s="69" t="str">
        <f t="shared" si="134"/>
        <v/>
      </c>
      <c r="T635">
        <f t="shared" si="143"/>
        <v>3</v>
      </c>
      <c r="U635" t="str">
        <f t="shared" si="146"/>
        <v>KIỆN 14</v>
      </c>
      <c r="V635" t="str">
        <f t="shared" si="144"/>
        <v/>
      </c>
      <c r="W635" s="266"/>
      <c r="X635" s="266"/>
      <c r="Y635" s="266" t="str">
        <f t="shared" si="136"/>
        <v/>
      </c>
      <c r="Z635" s="266"/>
    </row>
    <row r="636" spans="1:26" ht="27" hidden="1" customHeight="1">
      <c r="A636" s="70" t="str">
        <f t="shared" si="132"/>
        <v/>
      </c>
      <c r="B636" s="70" t="str">
        <f t="shared" si="133"/>
        <v/>
      </c>
      <c r="C636" s="204" t="str" cm="1">
        <f t="array" ref="C636">IF(D636="","",
    IF(AND(ISNUMBER(D636), D636=INT(D636)),
        $V$6 &amp; " " &amp; (IFERROR(MAX($Y$12:$Y635), 0) + 1),
        IF(ISNUMBER(SEARCH(".", D636)), "", INDEX($C$12:$C636, MATCH(2, 1/($C$12:$C636 &lt;&gt; ""))))
    )
)</f>
        <v/>
      </c>
      <c r="D636" s="206"/>
      <c r="E636" s="206" t="str">
        <f>IF(AA636 = "", "",
    IF(ISNUMBER(SEARCH("Kiện", C636)),
       " GÓI " &amp; COUNTIF($C$13:C636, "*Kiện*") &amp; "/" &amp; COUNTIF($C$13:$C$1000, "*Kiện*") &amp; " " &amp; AA636,
       AA636)
)</f>
        <v/>
      </c>
      <c r="F636" s="206"/>
      <c r="G636" s="206"/>
      <c r="H636" s="206"/>
      <c r="I636" s="206"/>
      <c r="J636" s="206" t="str">
        <f t="shared" si="135"/>
        <v/>
      </c>
      <c r="K636" s="206" t="str">
        <f t="shared" si="137"/>
        <v/>
      </c>
      <c r="L636" s="206" t="str">
        <f t="shared" si="138"/>
        <v/>
      </c>
      <c r="M636" s="206" t="str">
        <f t="shared" si="139"/>
        <v/>
      </c>
      <c r="N636" s="206" t="str">
        <f t="shared" si="140"/>
        <v/>
      </c>
      <c r="O636" s="206" t="str">
        <f t="shared" si="141"/>
        <v/>
      </c>
      <c r="P636" s="84" t="str">
        <f t="shared" si="142"/>
        <v/>
      </c>
      <c r="Q636" s="205"/>
      <c r="R636" s="70" t="str">
        <f>IF(S636="IN",'BOM_Phan II'!$Y$3,"")</f>
        <v/>
      </c>
      <c r="S636" s="69" t="str">
        <f t="shared" si="134"/>
        <v/>
      </c>
      <c r="T636">
        <f t="shared" si="143"/>
        <v>3</v>
      </c>
      <c r="U636" t="str">
        <f t="shared" si="146"/>
        <v>KIỆN 14</v>
      </c>
      <c r="V636" t="str">
        <f t="shared" si="144"/>
        <v/>
      </c>
      <c r="W636" s="266"/>
      <c r="X636" s="266"/>
      <c r="Y636" s="266" t="str">
        <f t="shared" si="136"/>
        <v/>
      </c>
      <c r="Z636" s="266"/>
    </row>
    <row r="637" spans="1:26" ht="27" hidden="1" customHeight="1">
      <c r="A637" s="70" t="str">
        <f t="shared" si="132"/>
        <v/>
      </c>
      <c r="B637" s="70" t="str">
        <f t="shared" si="133"/>
        <v/>
      </c>
      <c r="C637" s="204" t="str" cm="1">
        <f t="array" ref="C637">IF(D637="","",
    IF(AND(ISNUMBER(D637), D637=INT(D637)),
        $V$6 &amp; " " &amp; (IFERROR(MAX($Y$12:$Y636), 0) + 1),
        IF(ISNUMBER(SEARCH(".", D637)), "", INDEX($C$12:$C637, MATCH(2, 1/($C$12:$C637 &lt;&gt; ""))))
    )
)</f>
        <v/>
      </c>
      <c r="D637" s="206"/>
      <c r="E637" s="206" t="str">
        <f>IF(AA637 = "", "",
    IF(ISNUMBER(SEARCH("Kiện", C637)),
       " GÓI " &amp; COUNTIF($C$13:C637, "*Kiện*") &amp; "/" &amp; COUNTIF($C$13:$C$1000, "*Kiện*") &amp; " " &amp; AA637,
       AA637)
)</f>
        <v/>
      </c>
      <c r="F637" s="206"/>
      <c r="G637" s="206"/>
      <c r="H637" s="206"/>
      <c r="I637" s="206"/>
      <c r="J637" s="206" t="str">
        <f t="shared" si="135"/>
        <v/>
      </c>
      <c r="K637" s="206" t="str">
        <f t="shared" si="137"/>
        <v/>
      </c>
      <c r="L637" s="206" t="str">
        <f t="shared" si="138"/>
        <v/>
      </c>
      <c r="M637" s="206" t="str">
        <f t="shared" si="139"/>
        <v/>
      </c>
      <c r="N637" s="206" t="str">
        <f t="shared" si="140"/>
        <v/>
      </c>
      <c r="O637" s="206" t="str">
        <f t="shared" si="141"/>
        <v/>
      </c>
      <c r="P637" s="84" t="str">
        <f t="shared" si="142"/>
        <v/>
      </c>
      <c r="Q637" s="205"/>
      <c r="R637" s="70" t="str">
        <f>IF(S637="IN",'BOM_Phan II'!$Y$3,"")</f>
        <v/>
      </c>
      <c r="S637" s="69" t="str">
        <f t="shared" si="134"/>
        <v/>
      </c>
      <c r="T637">
        <f t="shared" si="143"/>
        <v>3</v>
      </c>
      <c r="U637" t="str">
        <f t="shared" si="146"/>
        <v>KIỆN 14</v>
      </c>
      <c r="V637" t="str">
        <f t="shared" si="144"/>
        <v/>
      </c>
      <c r="W637" s="266"/>
      <c r="X637" s="266"/>
      <c r="Y637" s="266" t="str">
        <f t="shared" si="136"/>
        <v/>
      </c>
      <c r="Z637" s="266"/>
    </row>
    <row r="638" spans="1:26" ht="27" hidden="1" customHeight="1">
      <c r="A638" s="70" t="str">
        <f t="shared" si="132"/>
        <v/>
      </c>
      <c r="B638" s="70" t="str">
        <f t="shared" si="133"/>
        <v/>
      </c>
      <c r="C638" s="204" t="str" cm="1">
        <f t="array" ref="C638">IF(D638="","",
    IF(AND(ISNUMBER(D638), D638=INT(D638)),
        $V$6 &amp; " " &amp; (IFERROR(MAX($Y$12:$Y637), 0) + 1),
        IF(ISNUMBER(SEARCH(".", D638)), "", INDEX($C$12:$C638, MATCH(2, 1/($C$12:$C638 &lt;&gt; ""))))
    )
)</f>
        <v/>
      </c>
      <c r="D638" s="206"/>
      <c r="E638" s="206" t="str">
        <f>IF(AA638 = "", "",
    IF(ISNUMBER(SEARCH("Kiện", C638)),
       " GÓI " &amp; COUNTIF($C$13:C638, "*Kiện*") &amp; "/" &amp; COUNTIF($C$13:$C$1000, "*Kiện*") &amp; " " &amp; AA638,
       AA638)
)</f>
        <v/>
      </c>
      <c r="F638" s="206"/>
      <c r="G638" s="206"/>
      <c r="H638" s="206"/>
      <c r="I638" s="206"/>
      <c r="J638" s="206" t="str">
        <f t="shared" si="135"/>
        <v/>
      </c>
      <c r="K638" s="206" t="str">
        <f t="shared" si="137"/>
        <v/>
      </c>
      <c r="L638" s="206" t="str">
        <f t="shared" si="138"/>
        <v/>
      </c>
      <c r="M638" s="206" t="str">
        <f t="shared" si="139"/>
        <v/>
      </c>
      <c r="N638" s="206" t="str">
        <f t="shared" si="140"/>
        <v/>
      </c>
      <c r="O638" s="206" t="str">
        <f t="shared" si="141"/>
        <v/>
      </c>
      <c r="P638" s="84" t="str">
        <f t="shared" si="142"/>
        <v/>
      </c>
      <c r="Q638" s="205"/>
      <c r="R638" s="70" t="str">
        <f>IF(S638="IN",'BOM_Phan II'!$Y$3,"")</f>
        <v/>
      </c>
      <c r="S638" s="69" t="str">
        <f t="shared" si="134"/>
        <v/>
      </c>
      <c r="T638">
        <f t="shared" si="143"/>
        <v>3</v>
      </c>
      <c r="U638" t="str">
        <f t="shared" si="146"/>
        <v>KIỆN 14</v>
      </c>
      <c r="V638" t="str">
        <f t="shared" si="144"/>
        <v/>
      </c>
      <c r="W638" s="266"/>
      <c r="X638" s="266"/>
      <c r="Y638" s="266" t="str">
        <f t="shared" si="136"/>
        <v/>
      </c>
      <c r="Z638" s="266"/>
    </row>
    <row r="639" spans="1:26" ht="27" hidden="1" customHeight="1">
      <c r="A639" s="70" t="str">
        <f t="shared" si="132"/>
        <v/>
      </c>
      <c r="B639" s="70" t="str">
        <f t="shared" si="133"/>
        <v/>
      </c>
      <c r="C639" s="204" t="str" cm="1">
        <f t="array" ref="C639">IF(D639="","",
    IF(AND(ISNUMBER(D639), D639=INT(D639)),
        $V$6 &amp; " " &amp; (IFERROR(MAX($Y$12:$Y638), 0) + 1),
        IF(ISNUMBER(SEARCH(".", D639)), "", INDEX($C$12:$C639, MATCH(2, 1/($C$12:$C639 &lt;&gt; ""))))
    )
)</f>
        <v/>
      </c>
      <c r="D639" s="206"/>
      <c r="E639" s="206" t="str">
        <f>IF(AA639 = "", "",
    IF(ISNUMBER(SEARCH("Kiện", C639)),
       " GÓI " &amp; COUNTIF($C$13:C639, "*Kiện*") &amp; "/" &amp; COUNTIF($C$13:$C$1000, "*Kiện*") &amp; " " &amp; AA639,
       AA639)
)</f>
        <v/>
      </c>
      <c r="F639" s="206"/>
      <c r="G639" s="206"/>
      <c r="H639" s="206"/>
      <c r="I639" s="206"/>
      <c r="J639" s="206" t="str">
        <f t="shared" si="135"/>
        <v/>
      </c>
      <c r="K639" s="206" t="str">
        <f t="shared" si="137"/>
        <v/>
      </c>
      <c r="L639" s="206" t="str">
        <f t="shared" si="138"/>
        <v/>
      </c>
      <c r="M639" s="206" t="str">
        <f t="shared" si="139"/>
        <v/>
      </c>
      <c r="N639" s="206" t="str">
        <f t="shared" si="140"/>
        <v/>
      </c>
      <c r="O639" s="206" t="str">
        <f t="shared" si="141"/>
        <v/>
      </c>
      <c r="P639" s="84" t="str">
        <f t="shared" si="142"/>
        <v/>
      </c>
      <c r="Q639" s="205"/>
      <c r="R639" s="70" t="str">
        <f>IF(S639="IN",'BOM_Phan II'!$Y$3,"")</f>
        <v/>
      </c>
      <c r="S639" s="69" t="str">
        <f t="shared" si="134"/>
        <v/>
      </c>
      <c r="T639">
        <f t="shared" si="143"/>
        <v>3</v>
      </c>
      <c r="U639" t="str">
        <f t="shared" si="146"/>
        <v>KIỆN 14</v>
      </c>
      <c r="V639" t="str">
        <f t="shared" si="144"/>
        <v/>
      </c>
      <c r="W639" s="266"/>
      <c r="X639" s="266"/>
      <c r="Y639" s="266" t="str">
        <f t="shared" si="136"/>
        <v/>
      </c>
      <c r="Z639" s="266"/>
    </row>
    <row r="640" spans="1:26" ht="27" hidden="1" customHeight="1">
      <c r="A640" s="70" t="str">
        <f t="shared" si="132"/>
        <v/>
      </c>
      <c r="B640" s="70" t="str">
        <f t="shared" si="133"/>
        <v/>
      </c>
      <c r="C640" s="204" t="str" cm="1">
        <f t="array" ref="C640">IF(D640="","",
    IF(AND(ISNUMBER(D640), D640=INT(D640)),
        $V$6 &amp; " " &amp; (IFERROR(MAX($Y$12:$Y639), 0) + 1),
        IF(ISNUMBER(SEARCH(".", D640)), "", INDEX($C$12:$C640, MATCH(2, 1/($C$12:$C640 &lt;&gt; ""))))
    )
)</f>
        <v/>
      </c>
      <c r="D640" s="206"/>
      <c r="E640" s="206" t="str">
        <f>IF(AA640 = "", "",
    IF(ISNUMBER(SEARCH("Kiện", C640)),
       " GÓI " &amp; COUNTIF($C$13:C640, "*Kiện*") &amp; "/" &amp; COUNTIF($C$13:$C$1000, "*Kiện*") &amp; " " &amp; AA640,
       AA640)
)</f>
        <v/>
      </c>
      <c r="F640" s="206"/>
      <c r="G640" s="206"/>
      <c r="H640" s="206"/>
      <c r="I640" s="206"/>
      <c r="J640" s="206" t="str">
        <f t="shared" si="135"/>
        <v/>
      </c>
      <c r="K640" s="206" t="str">
        <f t="shared" si="137"/>
        <v/>
      </c>
      <c r="L640" s="206" t="str">
        <f t="shared" si="138"/>
        <v/>
      </c>
      <c r="M640" s="206" t="str">
        <f t="shared" si="139"/>
        <v/>
      </c>
      <c r="N640" s="206" t="str">
        <f t="shared" si="140"/>
        <v/>
      </c>
      <c r="O640" s="206" t="str">
        <f t="shared" si="141"/>
        <v/>
      </c>
      <c r="P640" s="84" t="str">
        <f t="shared" si="142"/>
        <v/>
      </c>
      <c r="Q640" s="205"/>
      <c r="R640" s="70" t="str">
        <f>IF(S640="IN",'BOM_Phan II'!$Y$3,"")</f>
        <v/>
      </c>
      <c r="S640" s="69" t="str">
        <f t="shared" si="134"/>
        <v/>
      </c>
      <c r="T640">
        <f t="shared" si="143"/>
        <v>3</v>
      </c>
      <c r="U640" t="str">
        <f t="shared" si="146"/>
        <v>KIỆN 14</v>
      </c>
      <c r="V640" t="str">
        <f t="shared" si="144"/>
        <v/>
      </c>
      <c r="W640" s="266"/>
      <c r="X640" s="266"/>
      <c r="Y640" s="266" t="str">
        <f t="shared" si="136"/>
        <v/>
      </c>
      <c r="Z640" s="266"/>
    </row>
    <row r="641" spans="1:26" ht="27" hidden="1" customHeight="1">
      <c r="A641" s="70" t="str">
        <f t="shared" si="132"/>
        <v/>
      </c>
      <c r="B641" s="70" t="str">
        <f t="shared" si="133"/>
        <v/>
      </c>
      <c r="C641" s="204" t="str" cm="1">
        <f t="array" ref="C641">IF(D641="","",
    IF(AND(ISNUMBER(D641), D641=INT(D641)),
        $V$6 &amp; " " &amp; (IFERROR(MAX($Y$12:$Y640), 0) + 1),
        IF(ISNUMBER(SEARCH(".", D641)), "", INDEX($C$12:$C641, MATCH(2, 1/($C$12:$C641 &lt;&gt; ""))))
    )
)</f>
        <v/>
      </c>
      <c r="D641" s="206"/>
      <c r="E641" s="206" t="str">
        <f>IF(AA641 = "", "",
    IF(ISNUMBER(SEARCH("Kiện", C641)),
       " GÓI " &amp; COUNTIF($C$13:C641, "*Kiện*") &amp; "/" &amp; COUNTIF($C$13:$C$1000, "*Kiện*") &amp; " " &amp; AA641,
       AA641)
)</f>
        <v/>
      </c>
      <c r="F641" s="206"/>
      <c r="G641" s="206"/>
      <c r="H641" s="206"/>
      <c r="I641" s="206"/>
      <c r="J641" s="206" t="str">
        <f t="shared" si="135"/>
        <v/>
      </c>
      <c r="K641" s="206" t="str">
        <f t="shared" si="137"/>
        <v/>
      </c>
      <c r="L641" s="206" t="str">
        <f t="shared" si="138"/>
        <v/>
      </c>
      <c r="M641" s="206" t="str">
        <f t="shared" si="139"/>
        <v/>
      </c>
      <c r="N641" s="206" t="str">
        <f t="shared" si="140"/>
        <v/>
      </c>
      <c r="O641" s="206" t="str">
        <f t="shared" si="141"/>
        <v/>
      </c>
      <c r="P641" s="84" t="str">
        <f t="shared" si="142"/>
        <v/>
      </c>
      <c r="Q641" s="205"/>
      <c r="R641" s="70" t="str">
        <f>IF(S641="IN",'BOM_Phan II'!$Y$3,"")</f>
        <v/>
      </c>
      <c r="S641" s="69" t="str">
        <f t="shared" si="134"/>
        <v/>
      </c>
      <c r="T641">
        <f t="shared" si="143"/>
        <v>3</v>
      </c>
      <c r="U641" t="str">
        <f t="shared" si="146"/>
        <v>KIỆN 14</v>
      </c>
      <c r="V641" t="str">
        <f t="shared" si="144"/>
        <v/>
      </c>
      <c r="W641" s="266"/>
      <c r="X641" s="266"/>
      <c r="Y641" s="266" t="str">
        <f t="shared" si="136"/>
        <v/>
      </c>
      <c r="Z641" s="266"/>
    </row>
    <row r="642" spans="1:26" ht="27" hidden="1" customHeight="1">
      <c r="A642" s="70" t="str">
        <f t="shared" si="132"/>
        <v/>
      </c>
      <c r="B642" s="70" t="str">
        <f t="shared" si="133"/>
        <v/>
      </c>
      <c r="C642" s="204" t="str" cm="1">
        <f t="array" ref="C642">IF(D642="","",
    IF(AND(ISNUMBER(D642), D642=INT(D642)),
        $V$6 &amp; " " &amp; (IFERROR(MAX($Y$12:$Y641), 0) + 1),
        IF(ISNUMBER(SEARCH(".", D642)), "", INDEX($C$12:$C642, MATCH(2, 1/($C$12:$C642 &lt;&gt; ""))))
    )
)</f>
        <v/>
      </c>
      <c r="D642" s="206"/>
      <c r="E642" s="206" t="str">
        <f>IF(AA642 = "", "",
    IF(ISNUMBER(SEARCH("Kiện", C642)),
       " GÓI " &amp; COUNTIF($C$13:C642, "*Kiện*") &amp; "/" &amp; COUNTIF($C$13:$C$1000, "*Kiện*") &amp; " " &amp; AA642,
       AA642)
)</f>
        <v/>
      </c>
      <c r="F642" s="206"/>
      <c r="G642" s="206"/>
      <c r="H642" s="206"/>
      <c r="I642" s="206"/>
      <c r="J642" s="206" t="str">
        <f t="shared" si="135"/>
        <v/>
      </c>
      <c r="K642" s="206" t="str">
        <f t="shared" si="137"/>
        <v/>
      </c>
      <c r="L642" s="206" t="str">
        <f t="shared" si="138"/>
        <v/>
      </c>
      <c r="M642" s="206" t="str">
        <f t="shared" si="139"/>
        <v/>
      </c>
      <c r="N642" s="206" t="str">
        <f t="shared" si="140"/>
        <v/>
      </c>
      <c r="O642" s="206" t="str">
        <f t="shared" si="141"/>
        <v/>
      </c>
      <c r="P642" s="84" t="str">
        <f t="shared" si="142"/>
        <v/>
      </c>
      <c r="Q642" s="205"/>
      <c r="R642" s="70" t="str">
        <f>IF(S642="IN",'BOM_Phan II'!$Y$3,"")</f>
        <v/>
      </c>
      <c r="S642" s="69" t="str">
        <f t="shared" si="134"/>
        <v/>
      </c>
      <c r="T642">
        <f t="shared" si="143"/>
        <v>3</v>
      </c>
      <c r="U642" t="str">
        <f>IF(C642="",U527,C642)</f>
        <v>KIỆN 14</v>
      </c>
      <c r="V642" t="str">
        <f t="shared" si="144"/>
        <v/>
      </c>
      <c r="W642" s="266"/>
      <c r="X642" s="266"/>
      <c r="Y642" s="266" t="str">
        <f t="shared" si="136"/>
        <v/>
      </c>
      <c r="Z642" s="266"/>
    </row>
    <row r="643" spans="1:26" ht="27" hidden="1" customHeight="1">
      <c r="A643" s="70" t="str">
        <f t="shared" si="132"/>
        <v/>
      </c>
      <c r="B643" s="70" t="str">
        <f t="shared" si="133"/>
        <v/>
      </c>
      <c r="C643" s="204" t="str" cm="1">
        <f t="array" ref="C643">IF(D643="","",
    IF(AND(ISNUMBER(D643), D643=INT(D643)),
        $V$6 &amp; " " &amp; (IFERROR(MAX($Y$12:$Y642), 0) + 1),
        IF(ISNUMBER(SEARCH(".", D643)), "", INDEX($C$12:$C643, MATCH(2, 1/($C$12:$C643 &lt;&gt; ""))))
    )
)</f>
        <v/>
      </c>
      <c r="D643" s="206"/>
      <c r="E643" s="206" t="str">
        <f>IF(AA643 = "", "",
    IF(ISNUMBER(SEARCH("Kiện", C643)),
       " GÓI " &amp; COUNTIF($C$13:C643, "*Kiện*") &amp; "/" &amp; COUNTIF($C$13:$C$1000, "*Kiện*") &amp; " " &amp; AA643,
       AA643)
)</f>
        <v/>
      </c>
      <c r="F643" s="206"/>
      <c r="G643" s="206"/>
      <c r="H643" s="206"/>
      <c r="I643" s="206"/>
      <c r="J643" s="206" t="str">
        <f t="shared" si="135"/>
        <v/>
      </c>
      <c r="K643" s="206" t="str">
        <f t="shared" si="137"/>
        <v/>
      </c>
      <c r="L643" s="206" t="str">
        <f t="shared" si="138"/>
        <v/>
      </c>
      <c r="M643" s="206" t="str">
        <f t="shared" si="139"/>
        <v/>
      </c>
      <c r="N643" s="206" t="str">
        <f t="shared" si="140"/>
        <v/>
      </c>
      <c r="O643" s="206" t="str">
        <f t="shared" si="141"/>
        <v/>
      </c>
      <c r="P643" s="84" t="str">
        <f t="shared" si="142"/>
        <v/>
      </c>
      <c r="Q643" s="205"/>
      <c r="R643" s="70" t="str">
        <f>IF(S643="IN",'BOM_Phan II'!$Y$3,"")</f>
        <v/>
      </c>
      <c r="S643" s="69" t="str">
        <f t="shared" si="134"/>
        <v/>
      </c>
      <c r="T643">
        <f t="shared" si="143"/>
        <v>3</v>
      </c>
      <c r="U643" t="str">
        <f t="shared" ref="U643:U673" si="147">IF(C643="",U642,C643)</f>
        <v>KIỆN 14</v>
      </c>
      <c r="V643" t="str">
        <f t="shared" si="144"/>
        <v/>
      </c>
      <c r="W643" s="266"/>
      <c r="X643" s="266"/>
      <c r="Y643" s="266" t="str">
        <f t="shared" si="136"/>
        <v/>
      </c>
      <c r="Z643" s="266"/>
    </row>
    <row r="644" spans="1:26" ht="27" hidden="1" customHeight="1">
      <c r="A644" s="70" t="str">
        <f t="shared" si="132"/>
        <v/>
      </c>
      <c r="B644" s="70" t="str">
        <f t="shared" si="133"/>
        <v/>
      </c>
      <c r="C644" s="204" t="str" cm="1">
        <f t="array" ref="C644">IF(D644="","",
    IF(AND(ISNUMBER(D644), D644=INT(D644)),
        $V$6 &amp; " " &amp; (IFERROR(MAX($Y$12:$Y643), 0) + 1),
        IF(ISNUMBER(SEARCH(".", D644)), "", INDEX($C$12:$C644, MATCH(2, 1/($C$12:$C644 &lt;&gt; ""))))
    )
)</f>
        <v/>
      </c>
      <c r="D644" s="206"/>
      <c r="E644" s="206" t="str">
        <f>IF(AA644 = "", "",
    IF(ISNUMBER(SEARCH("Kiện", C644)),
       " GÓI " &amp; COUNTIF($C$13:C644, "*Kiện*") &amp; "/" &amp; COUNTIF($C$13:$C$1000, "*Kiện*") &amp; " " &amp; AA644,
       AA644)
)</f>
        <v/>
      </c>
      <c r="F644" s="206"/>
      <c r="G644" s="206"/>
      <c r="H644" s="206"/>
      <c r="I644" s="206"/>
      <c r="J644" s="206" t="str">
        <f t="shared" si="135"/>
        <v/>
      </c>
      <c r="K644" s="206" t="str">
        <f t="shared" si="137"/>
        <v/>
      </c>
      <c r="L644" s="206" t="str">
        <f t="shared" si="138"/>
        <v/>
      </c>
      <c r="M644" s="206" t="str">
        <f t="shared" si="139"/>
        <v/>
      </c>
      <c r="N644" s="206" t="str">
        <f t="shared" si="140"/>
        <v/>
      </c>
      <c r="O644" s="206" t="str">
        <f t="shared" si="141"/>
        <v/>
      </c>
      <c r="P644" s="84" t="str">
        <f t="shared" si="142"/>
        <v/>
      </c>
      <c r="Q644" s="205"/>
      <c r="R644" s="70" t="str">
        <f>IF(S644="IN",'BOM_Phan II'!$Y$3,"")</f>
        <v/>
      </c>
      <c r="S644" s="69" t="str">
        <f t="shared" si="134"/>
        <v/>
      </c>
      <c r="T644">
        <f t="shared" si="143"/>
        <v>3</v>
      </c>
      <c r="U644" t="str">
        <f t="shared" si="147"/>
        <v>KIỆN 14</v>
      </c>
      <c r="V644" t="str">
        <f t="shared" si="144"/>
        <v/>
      </c>
      <c r="W644" s="266"/>
      <c r="X644" s="266"/>
      <c r="Y644" s="266" t="str">
        <f t="shared" si="136"/>
        <v/>
      </c>
      <c r="Z644" s="266"/>
    </row>
    <row r="645" spans="1:26" ht="27" hidden="1" customHeight="1">
      <c r="A645" s="70" t="str">
        <f t="shared" si="132"/>
        <v/>
      </c>
      <c r="B645" s="70" t="str">
        <f t="shared" si="133"/>
        <v/>
      </c>
      <c r="C645" s="204" t="str" cm="1">
        <f t="array" ref="C645">IF(D645="","",
    IF(AND(ISNUMBER(D645), D645=INT(D645)),
        $V$6 &amp; " " &amp; (IFERROR(MAX($Y$12:$Y644), 0) + 1),
        IF(ISNUMBER(SEARCH(".", D645)), "", INDEX($C$12:$C645, MATCH(2, 1/($C$12:$C645 &lt;&gt; ""))))
    )
)</f>
        <v/>
      </c>
      <c r="D645" s="206"/>
      <c r="E645" s="206" t="str">
        <f>IF(AA645 = "", "",
    IF(ISNUMBER(SEARCH("Kiện", C645)),
       " GÓI " &amp; COUNTIF($C$13:C645, "*Kiện*") &amp; "/" &amp; COUNTIF($C$13:$C$1000, "*Kiện*") &amp; " " &amp; AA645,
       AA645)
)</f>
        <v/>
      </c>
      <c r="F645" s="206"/>
      <c r="G645" s="206"/>
      <c r="H645" s="206"/>
      <c r="I645" s="206"/>
      <c r="J645" s="206" t="str">
        <f t="shared" si="135"/>
        <v/>
      </c>
      <c r="K645" s="206" t="str">
        <f t="shared" si="137"/>
        <v/>
      </c>
      <c r="L645" s="206" t="str">
        <f t="shared" si="138"/>
        <v/>
      </c>
      <c r="M645" s="206" t="str">
        <f t="shared" si="139"/>
        <v/>
      </c>
      <c r="N645" s="206" t="str">
        <f t="shared" si="140"/>
        <v/>
      </c>
      <c r="O645" s="206" t="str">
        <f t="shared" si="141"/>
        <v/>
      </c>
      <c r="P645" s="84" t="str">
        <f t="shared" si="142"/>
        <v/>
      </c>
      <c r="Q645" s="205"/>
      <c r="R645" s="70" t="str">
        <f>IF(S645="IN",'BOM_Phan II'!$Y$3,"")</f>
        <v/>
      </c>
      <c r="S645" s="69" t="str">
        <f t="shared" si="134"/>
        <v/>
      </c>
      <c r="T645">
        <f t="shared" si="143"/>
        <v>3</v>
      </c>
      <c r="U645" t="str">
        <f t="shared" si="147"/>
        <v>KIỆN 14</v>
      </c>
      <c r="V645" t="str">
        <f t="shared" si="144"/>
        <v/>
      </c>
      <c r="W645" s="266"/>
      <c r="X645" s="266"/>
      <c r="Y645" s="266" t="str">
        <f t="shared" si="136"/>
        <v/>
      </c>
      <c r="Z645" s="266"/>
    </row>
    <row r="646" spans="1:26" ht="27" hidden="1" customHeight="1">
      <c r="A646" s="70" t="str">
        <f t="shared" si="132"/>
        <v/>
      </c>
      <c r="B646" s="70" t="str">
        <f t="shared" si="133"/>
        <v/>
      </c>
      <c r="C646" s="204" t="str" cm="1">
        <f t="array" ref="C646">IF(D646="","",
    IF(AND(ISNUMBER(D646), D646=INT(D646)),
        $V$6 &amp; " " &amp; (IFERROR(MAX($Y$12:$Y645), 0) + 1),
        IF(ISNUMBER(SEARCH(".", D646)), "", INDEX($C$12:$C646, MATCH(2, 1/($C$12:$C646 &lt;&gt; ""))))
    )
)</f>
        <v/>
      </c>
      <c r="D646" s="206"/>
      <c r="E646" s="206" t="str">
        <f>IF(AA646 = "", "",
    IF(ISNUMBER(SEARCH("Kiện", C646)),
       " GÓI " &amp; COUNTIF($C$13:C646, "*Kiện*") &amp; "/" &amp; COUNTIF($C$13:$C$1000, "*Kiện*") &amp; " " &amp; AA646,
       AA646)
)</f>
        <v/>
      </c>
      <c r="F646" s="206"/>
      <c r="G646" s="206"/>
      <c r="H646" s="206"/>
      <c r="I646" s="206"/>
      <c r="J646" s="206" t="str">
        <f t="shared" si="135"/>
        <v/>
      </c>
      <c r="K646" s="206" t="str">
        <f t="shared" si="137"/>
        <v/>
      </c>
      <c r="L646" s="206" t="str">
        <f t="shared" si="138"/>
        <v/>
      </c>
      <c r="M646" s="206" t="str">
        <f t="shared" si="139"/>
        <v/>
      </c>
      <c r="N646" s="206" t="str">
        <f t="shared" si="140"/>
        <v/>
      </c>
      <c r="O646" s="206" t="str">
        <f t="shared" si="141"/>
        <v/>
      </c>
      <c r="P646" s="84" t="str">
        <f t="shared" si="142"/>
        <v/>
      </c>
      <c r="Q646" s="205"/>
      <c r="R646" s="70" t="str">
        <f>IF(S646="IN",'BOM_Phan II'!$Y$3,"")</f>
        <v/>
      </c>
      <c r="S646" s="69" t="str">
        <f t="shared" si="134"/>
        <v/>
      </c>
      <c r="T646">
        <f t="shared" si="143"/>
        <v>3</v>
      </c>
      <c r="U646" t="str">
        <f t="shared" si="147"/>
        <v>KIỆN 14</v>
      </c>
      <c r="V646" t="str">
        <f t="shared" si="144"/>
        <v/>
      </c>
      <c r="W646" s="266"/>
      <c r="X646" s="266"/>
      <c r="Y646" s="266" t="str">
        <f t="shared" si="136"/>
        <v/>
      </c>
      <c r="Z646" s="266"/>
    </row>
    <row r="647" spans="1:26" ht="27" hidden="1" customHeight="1">
      <c r="A647" s="70" t="str">
        <f t="shared" si="132"/>
        <v/>
      </c>
      <c r="B647" s="70" t="str">
        <f t="shared" si="133"/>
        <v/>
      </c>
      <c r="C647" s="204" t="str" cm="1">
        <f t="array" ref="C647">IF(D647="","",
    IF(AND(ISNUMBER(D647), D647=INT(D647)),
        $V$6 &amp; " " &amp; (IFERROR(MAX($Y$12:$Y646), 0) + 1),
        IF(ISNUMBER(SEARCH(".", D647)), "", INDEX($C$12:$C647, MATCH(2, 1/($C$12:$C647 &lt;&gt; ""))))
    )
)</f>
        <v/>
      </c>
      <c r="D647" s="206"/>
      <c r="E647" s="206" t="str">
        <f>IF(AA647 = "", "",
    IF(ISNUMBER(SEARCH("Kiện", C647)),
       " GÓI " &amp; COUNTIF($C$13:C647, "*Kiện*") &amp; "/" &amp; COUNTIF($C$13:$C$1000, "*Kiện*") &amp; " " &amp; AA647,
       AA647)
)</f>
        <v/>
      </c>
      <c r="F647" s="206"/>
      <c r="G647" s="206"/>
      <c r="H647" s="206"/>
      <c r="I647" s="206"/>
      <c r="J647" s="206" t="str">
        <f t="shared" si="135"/>
        <v/>
      </c>
      <c r="K647" s="206" t="str">
        <f t="shared" si="137"/>
        <v/>
      </c>
      <c r="L647" s="206" t="str">
        <f t="shared" si="138"/>
        <v/>
      </c>
      <c r="M647" s="206" t="str">
        <f t="shared" si="139"/>
        <v/>
      </c>
      <c r="N647" s="206" t="str">
        <f t="shared" si="140"/>
        <v/>
      </c>
      <c r="O647" s="206" t="str">
        <f t="shared" si="141"/>
        <v/>
      </c>
      <c r="P647" s="84" t="str">
        <f t="shared" si="142"/>
        <v/>
      </c>
      <c r="Q647" s="205"/>
      <c r="R647" s="70" t="str">
        <f>IF(S647="IN",'BOM_Phan II'!$Y$3,"")</f>
        <v/>
      </c>
      <c r="S647" s="69" t="str">
        <f t="shared" si="134"/>
        <v/>
      </c>
      <c r="T647">
        <f t="shared" si="143"/>
        <v>3</v>
      </c>
      <c r="U647" t="str">
        <f t="shared" si="147"/>
        <v>KIỆN 14</v>
      </c>
      <c r="V647" t="str">
        <f t="shared" si="144"/>
        <v/>
      </c>
      <c r="W647" s="266"/>
      <c r="X647" s="266"/>
      <c r="Y647" s="266" t="str">
        <f t="shared" si="136"/>
        <v/>
      </c>
      <c r="Z647" s="266"/>
    </row>
    <row r="648" spans="1:26" ht="27" hidden="1" customHeight="1">
      <c r="A648" s="70" t="str">
        <f t="shared" si="132"/>
        <v/>
      </c>
      <c r="B648" s="70" t="str">
        <f t="shared" si="133"/>
        <v/>
      </c>
      <c r="C648" s="204" t="str" cm="1">
        <f t="array" ref="C648">IF(D648="","",
    IF(AND(ISNUMBER(D648), D648=INT(D648)),
        $V$6 &amp; " " &amp; (IFERROR(MAX($Y$12:$Y647), 0) + 1),
        IF(ISNUMBER(SEARCH(".", D648)), "", INDEX($C$12:$C648, MATCH(2, 1/($C$12:$C648 &lt;&gt; ""))))
    )
)</f>
        <v/>
      </c>
      <c r="D648" s="206"/>
      <c r="E648" s="206" t="str">
        <f>IF(AA648 = "", "",
    IF(ISNUMBER(SEARCH("Kiện", C648)),
       " GÓI " &amp; COUNTIF($C$13:C648, "*Kiện*") &amp; "/" &amp; COUNTIF($C$13:$C$1000, "*Kiện*") &amp; " " &amp; AA648,
       AA648)
)</f>
        <v/>
      </c>
      <c r="F648" s="206"/>
      <c r="G648" s="206"/>
      <c r="H648" s="206"/>
      <c r="I648" s="206"/>
      <c r="J648" s="206" t="str">
        <f t="shared" si="135"/>
        <v/>
      </c>
      <c r="K648" s="206" t="str">
        <f t="shared" si="137"/>
        <v/>
      </c>
      <c r="L648" s="206" t="str">
        <f t="shared" si="138"/>
        <v/>
      </c>
      <c r="M648" s="206" t="str">
        <f t="shared" si="139"/>
        <v/>
      </c>
      <c r="N648" s="206" t="str">
        <f t="shared" si="140"/>
        <v/>
      </c>
      <c r="O648" s="206" t="str">
        <f t="shared" si="141"/>
        <v/>
      </c>
      <c r="P648" s="84" t="str">
        <f t="shared" si="142"/>
        <v/>
      </c>
      <c r="Q648" s="205"/>
      <c r="R648" s="70" t="str">
        <f>IF(S648="IN",'BOM_Phan II'!$Y$3,"")</f>
        <v/>
      </c>
      <c r="S648" s="69" t="str">
        <f t="shared" si="134"/>
        <v/>
      </c>
      <c r="T648">
        <f t="shared" si="143"/>
        <v>3</v>
      </c>
      <c r="U648" t="str">
        <f t="shared" si="147"/>
        <v>KIỆN 14</v>
      </c>
      <c r="V648" t="str">
        <f t="shared" si="144"/>
        <v/>
      </c>
      <c r="W648" s="266"/>
      <c r="X648" s="266"/>
      <c r="Y648" s="266" t="str">
        <f t="shared" si="136"/>
        <v/>
      </c>
      <c r="Z648" s="266"/>
    </row>
    <row r="649" spans="1:26" ht="27" hidden="1" customHeight="1">
      <c r="A649" s="70" t="str">
        <f t="shared" si="132"/>
        <v/>
      </c>
      <c r="B649" s="70" t="str">
        <f t="shared" si="133"/>
        <v/>
      </c>
      <c r="C649" s="204" t="str" cm="1">
        <f t="array" ref="C649">IF(D649="","",
    IF(AND(ISNUMBER(D649), D649=INT(D649)),
        $V$6 &amp; " " &amp; (IFERROR(MAX($Y$12:$Y648), 0) + 1),
        IF(ISNUMBER(SEARCH(".", D649)), "", INDEX($C$12:$C649, MATCH(2, 1/($C$12:$C649 &lt;&gt; ""))))
    )
)</f>
        <v/>
      </c>
      <c r="D649" s="206"/>
      <c r="E649" s="206" t="str">
        <f>IF(AA649 = "", "",
    IF(ISNUMBER(SEARCH("Kiện", C649)),
       " GÓI " &amp; COUNTIF($C$13:C649, "*Kiện*") &amp; "/" &amp; COUNTIF($C$13:$C$1000, "*Kiện*") &amp; " " &amp; AA649,
       AA649)
)</f>
        <v/>
      </c>
      <c r="F649" s="206"/>
      <c r="G649" s="206"/>
      <c r="H649" s="206"/>
      <c r="I649" s="206"/>
      <c r="J649" s="206" t="str">
        <f t="shared" si="135"/>
        <v/>
      </c>
      <c r="K649" s="206" t="str">
        <f t="shared" si="137"/>
        <v/>
      </c>
      <c r="L649" s="206" t="str">
        <f t="shared" si="138"/>
        <v/>
      </c>
      <c r="M649" s="206" t="str">
        <f t="shared" si="139"/>
        <v/>
      </c>
      <c r="N649" s="206" t="str">
        <f t="shared" si="140"/>
        <v/>
      </c>
      <c r="O649" s="206" t="str">
        <f t="shared" si="141"/>
        <v/>
      </c>
      <c r="P649" s="84" t="str">
        <f t="shared" si="142"/>
        <v/>
      </c>
      <c r="Q649" s="205"/>
      <c r="R649" s="70" t="str">
        <f>IF(S649="IN",'BOM_Phan II'!$Y$3,"")</f>
        <v/>
      </c>
      <c r="S649" s="69" t="str">
        <f t="shared" si="134"/>
        <v/>
      </c>
      <c r="T649">
        <f t="shared" si="143"/>
        <v>3</v>
      </c>
      <c r="U649" t="str">
        <f t="shared" si="147"/>
        <v>KIỆN 14</v>
      </c>
      <c r="V649" t="str">
        <f t="shared" si="144"/>
        <v/>
      </c>
      <c r="W649" s="266"/>
      <c r="X649" s="266"/>
      <c r="Y649" s="266" t="str">
        <f t="shared" si="136"/>
        <v/>
      </c>
      <c r="Z649" s="266"/>
    </row>
    <row r="650" spans="1:26" ht="27" hidden="1" customHeight="1">
      <c r="A650" s="70" t="str">
        <f t="shared" si="132"/>
        <v/>
      </c>
      <c r="B650" s="70" t="str">
        <f t="shared" si="133"/>
        <v/>
      </c>
      <c r="C650" s="204" t="str" cm="1">
        <f t="array" ref="C650">IF(D650="","",
    IF(AND(ISNUMBER(D650), D650=INT(D650)),
        $V$6 &amp; " " &amp; (IFERROR(MAX($Y$12:$Y649), 0) + 1),
        IF(ISNUMBER(SEARCH(".", D650)), "", INDEX($C$12:$C650, MATCH(2, 1/($C$12:$C650 &lt;&gt; ""))))
    )
)</f>
        <v/>
      </c>
      <c r="D650" s="206"/>
      <c r="E650" s="206" t="str">
        <f>IF(AA650 = "", "",
    IF(ISNUMBER(SEARCH("Kiện", C650)),
       " GÓI " &amp; COUNTIF($C$13:C650, "*Kiện*") &amp; "/" &amp; COUNTIF($C$13:$C$1000, "*Kiện*") &amp; " " &amp; AA650,
       AA650)
)</f>
        <v/>
      </c>
      <c r="F650" s="206"/>
      <c r="G650" s="206"/>
      <c r="H650" s="206"/>
      <c r="I650" s="206"/>
      <c r="J650" s="206" t="str">
        <f t="shared" si="135"/>
        <v/>
      </c>
      <c r="K650" s="206" t="str">
        <f t="shared" si="137"/>
        <v/>
      </c>
      <c r="L650" s="206" t="str">
        <f t="shared" si="138"/>
        <v/>
      </c>
      <c r="M650" s="206" t="str">
        <f t="shared" si="139"/>
        <v/>
      </c>
      <c r="N650" s="206" t="str">
        <f t="shared" si="140"/>
        <v/>
      </c>
      <c r="O650" s="206" t="str">
        <f t="shared" si="141"/>
        <v/>
      </c>
      <c r="P650" s="84" t="str">
        <f t="shared" si="142"/>
        <v/>
      </c>
      <c r="Q650" s="205"/>
      <c r="R650" s="70" t="str">
        <f>IF(S650="IN",'BOM_Phan II'!$Y$3,"")</f>
        <v/>
      </c>
      <c r="S650" s="69" t="str">
        <f t="shared" si="134"/>
        <v/>
      </c>
      <c r="T650">
        <f t="shared" si="143"/>
        <v>3</v>
      </c>
      <c r="U650" t="str">
        <f t="shared" si="147"/>
        <v>KIỆN 14</v>
      </c>
      <c r="V650" t="str">
        <f t="shared" si="144"/>
        <v/>
      </c>
      <c r="W650" s="266"/>
      <c r="X650" s="266"/>
      <c r="Y650" s="266" t="str">
        <f t="shared" si="136"/>
        <v/>
      </c>
      <c r="Z650" s="266"/>
    </row>
    <row r="651" spans="1:26" ht="27" hidden="1" customHeight="1">
      <c r="A651" s="70" t="str">
        <f t="shared" si="132"/>
        <v/>
      </c>
      <c r="B651" s="70" t="str">
        <f t="shared" si="133"/>
        <v/>
      </c>
      <c r="C651" s="204" t="str" cm="1">
        <f t="array" ref="C651">IF(D651="","",
    IF(AND(ISNUMBER(D651), D651=INT(D651)),
        $V$6 &amp; " " &amp; (IFERROR(MAX($Y$12:$Y650), 0) + 1),
        IF(ISNUMBER(SEARCH(".", D651)), "", INDEX($C$12:$C651, MATCH(2, 1/($C$12:$C651 &lt;&gt; ""))))
    )
)</f>
        <v/>
      </c>
      <c r="D651" s="206"/>
      <c r="E651" s="206" t="str">
        <f>IF(AA651 = "", "",
    IF(ISNUMBER(SEARCH("Kiện", C651)),
       " GÓI " &amp; COUNTIF($C$13:C651, "*Kiện*") &amp; "/" &amp; COUNTIF($C$13:$C$1000, "*Kiện*") &amp; " " &amp; AA651,
       AA651)
)</f>
        <v/>
      </c>
      <c r="F651" s="206"/>
      <c r="G651" s="206"/>
      <c r="H651" s="206"/>
      <c r="I651" s="206"/>
      <c r="J651" s="206" t="str">
        <f t="shared" si="135"/>
        <v/>
      </c>
      <c r="K651" s="206" t="str">
        <f t="shared" si="137"/>
        <v/>
      </c>
      <c r="L651" s="206" t="str">
        <f t="shared" si="138"/>
        <v/>
      </c>
      <c r="M651" s="206" t="str">
        <f t="shared" si="139"/>
        <v/>
      </c>
      <c r="N651" s="206" t="str">
        <f t="shared" si="140"/>
        <v/>
      </c>
      <c r="O651" s="206" t="str">
        <f t="shared" si="141"/>
        <v/>
      </c>
      <c r="P651" s="84" t="str">
        <f t="shared" si="142"/>
        <v/>
      </c>
      <c r="Q651" s="205"/>
      <c r="R651" s="70" t="str">
        <f>IF(S651="IN",'BOM_Phan II'!$Y$3,"")</f>
        <v/>
      </c>
      <c r="S651" s="69" t="str">
        <f t="shared" si="134"/>
        <v/>
      </c>
      <c r="T651">
        <f t="shared" si="143"/>
        <v>3</v>
      </c>
      <c r="U651" t="str">
        <f t="shared" si="147"/>
        <v>KIỆN 14</v>
      </c>
      <c r="V651" t="str">
        <f t="shared" si="144"/>
        <v/>
      </c>
      <c r="W651" s="266"/>
      <c r="X651" s="266"/>
      <c r="Y651" s="266" t="str">
        <f t="shared" si="136"/>
        <v/>
      </c>
      <c r="Z651" s="266"/>
    </row>
    <row r="652" spans="1:26" ht="27" hidden="1" customHeight="1">
      <c r="A652" s="70" t="str">
        <f t="shared" ref="A652:A715" si="148">IF(S652="IN",$E$6,"")</f>
        <v/>
      </c>
      <c r="B652" s="70" t="str">
        <f t="shared" ref="B652:B715" si="149">IF(S652="IN","Muc "&amp;$E$7,"")</f>
        <v/>
      </c>
      <c r="C652" s="204" t="str" cm="1">
        <f t="array" ref="C652">IF(D652="","",
    IF(AND(ISNUMBER(D652), D652=INT(D652)),
        $V$6 &amp; " " &amp; (IFERROR(MAX($Y$12:$Y651), 0) + 1),
        IF(ISNUMBER(SEARCH(".", D652)), "", INDEX($C$12:$C652, MATCH(2, 1/($C$12:$C652 &lt;&gt; ""))))
    )
)</f>
        <v/>
      </c>
      <c r="D652" s="206"/>
      <c r="E652" s="206" t="str">
        <f>IF(AA652 = "", "",
    IF(ISNUMBER(SEARCH("Kiện", C652)),
       " GÓI " &amp; COUNTIF($C$13:C652, "*Kiện*") &amp; "/" &amp; COUNTIF($C$13:$C$1000, "*Kiện*") &amp; " " &amp; AA652,
       AA652)
)</f>
        <v/>
      </c>
      <c r="F652" s="206"/>
      <c r="G652" s="206"/>
      <c r="H652" s="206"/>
      <c r="I652" s="206"/>
      <c r="J652" s="206" t="str">
        <f t="shared" si="135"/>
        <v/>
      </c>
      <c r="K652" s="206" t="str">
        <f t="shared" si="137"/>
        <v/>
      </c>
      <c r="L652" s="206" t="str">
        <f t="shared" si="138"/>
        <v/>
      </c>
      <c r="M652" s="206" t="str">
        <f t="shared" si="139"/>
        <v/>
      </c>
      <c r="N652" s="206" t="str">
        <f t="shared" si="140"/>
        <v/>
      </c>
      <c r="O652" s="206" t="str">
        <f t="shared" si="141"/>
        <v/>
      </c>
      <c r="P652" s="84" t="str">
        <f t="shared" si="142"/>
        <v/>
      </c>
      <c r="Q652" s="205"/>
      <c r="R652" s="70" t="str">
        <f>IF(S652="IN",'BOM_Phan II'!$Y$3,"")</f>
        <v/>
      </c>
      <c r="S652" s="69" t="str">
        <f t="shared" ref="S652:S715" si="150">IF(OR(E652&lt;&gt;"",D652&lt;&gt;""),"IN","")</f>
        <v/>
      </c>
      <c r="T652">
        <f t="shared" si="143"/>
        <v>3</v>
      </c>
      <c r="U652" t="str">
        <f t="shared" si="147"/>
        <v>KIỆN 14</v>
      </c>
      <c r="V652" t="str">
        <f t="shared" si="144"/>
        <v/>
      </c>
      <c r="W652" s="266"/>
      <c r="X652" s="266"/>
      <c r="Y652" s="266" t="str">
        <f t="shared" si="136"/>
        <v/>
      </c>
      <c r="Z652" s="266"/>
    </row>
    <row r="653" spans="1:26" ht="27" hidden="1" customHeight="1">
      <c r="A653" s="70" t="str">
        <f t="shared" si="148"/>
        <v/>
      </c>
      <c r="B653" s="70" t="str">
        <f t="shared" si="149"/>
        <v/>
      </c>
      <c r="C653" s="204" t="str" cm="1">
        <f t="array" ref="C653">IF(D653="","",
    IF(AND(ISNUMBER(D653), D653=INT(D653)),
        $V$6 &amp; " " &amp; (IFERROR(MAX($Y$12:$Y652), 0) + 1),
        IF(ISNUMBER(SEARCH(".", D653)), "", INDEX($C$12:$C653, MATCH(2, 1/($C$12:$C653 &lt;&gt; ""))))
    )
)</f>
        <v/>
      </c>
      <c r="D653" s="206"/>
      <c r="E653" s="206" t="str">
        <f>IF(AA653 = "", "",
    IF(ISNUMBER(SEARCH("Kiện", C653)),
       " GÓI " &amp; COUNTIF($C$13:C653, "*Kiện*") &amp; "/" &amp; COUNTIF($C$13:$C$1000, "*Kiện*") &amp; " " &amp; AA653,
       AA653)
)</f>
        <v/>
      </c>
      <c r="F653" s="206"/>
      <c r="G653" s="206"/>
      <c r="H653" s="206"/>
      <c r="I653" s="206"/>
      <c r="J653" s="206" t="str">
        <f t="shared" ref="J653:J716" si="151">IF(C653&lt;&gt;"",C653&amp;"_"&amp;$E$6,"")</f>
        <v/>
      </c>
      <c r="K653" s="206" t="str">
        <f t="shared" si="137"/>
        <v/>
      </c>
      <c r="L653" s="206" t="str">
        <f t="shared" si="138"/>
        <v/>
      </c>
      <c r="M653" s="206" t="str">
        <f t="shared" si="139"/>
        <v/>
      </c>
      <c r="N653" s="206" t="str">
        <f t="shared" si="140"/>
        <v/>
      </c>
      <c r="O653" s="206" t="str">
        <f t="shared" si="141"/>
        <v/>
      </c>
      <c r="P653" s="84" t="str">
        <f t="shared" si="142"/>
        <v/>
      </c>
      <c r="Q653" s="205"/>
      <c r="R653" s="70" t="str">
        <f>IF(S653="IN",'BOM_Phan II'!$Y$3,"")</f>
        <v/>
      </c>
      <c r="S653" s="69" t="str">
        <f t="shared" si="150"/>
        <v/>
      </c>
      <c r="T653">
        <f t="shared" si="143"/>
        <v>3</v>
      </c>
      <c r="U653" t="str">
        <f t="shared" si="147"/>
        <v>KIỆN 14</v>
      </c>
      <c r="V653" t="str">
        <f t="shared" si="144"/>
        <v/>
      </c>
      <c r="W653" s="266"/>
      <c r="X653" s="266"/>
      <c r="Y653" s="266" t="str">
        <f t="shared" ref="Y653:Y716" si="152">IFERROR(VALUE(RIGHT(C653,LEN(C653)-5)),"")</f>
        <v/>
      </c>
      <c r="Z653" s="266"/>
    </row>
    <row r="654" spans="1:26" ht="27" hidden="1" customHeight="1">
      <c r="A654" s="70" t="str">
        <f t="shared" si="148"/>
        <v/>
      </c>
      <c r="B654" s="70" t="str">
        <f t="shared" si="149"/>
        <v/>
      </c>
      <c r="C654" s="204" t="str" cm="1">
        <f t="array" ref="C654">IF(D654="","",
    IF(AND(ISNUMBER(D654), D654=INT(D654)),
        $V$6 &amp; " " &amp; (IFERROR(MAX($Y$12:$Y653), 0) + 1),
        IF(ISNUMBER(SEARCH(".", D654)), "", INDEX($C$12:$C654, MATCH(2, 1/($C$12:$C654 &lt;&gt; ""))))
    )
)</f>
        <v/>
      </c>
      <c r="D654" s="206"/>
      <c r="E654" s="206" t="str">
        <f>IF(AA654 = "", "",
    IF(ISNUMBER(SEARCH("Kiện", C654)),
       " GÓI " &amp; COUNTIF($C$13:C654, "*Kiện*") &amp; "/" &amp; COUNTIF($C$13:$C$1000, "*Kiện*") &amp; " " &amp; AA654,
       AA654)
)</f>
        <v/>
      </c>
      <c r="F654" s="206"/>
      <c r="G654" s="206"/>
      <c r="H654" s="206"/>
      <c r="I654" s="206"/>
      <c r="J654" s="206" t="str">
        <f t="shared" si="151"/>
        <v/>
      </c>
      <c r="K654" s="206" t="str">
        <f t="shared" ref="K654:K717" si="153">IFERROR(IF($C654&lt;&gt;"",IF($T$13=1,F654+20,IF($T$13=2,F654+20,IF($T$13=3,F654+50,IF($T$13=4,F654+40,IF($T$13=5,F654+50,IF($T$13=51,F654+50,IF($T$13=6,F654+50,IF($T$13=7,F654+50,"")))))))),""),"")</f>
        <v/>
      </c>
      <c r="L654" s="206" t="str">
        <f t="shared" ref="L654:L717" si="154">IFERROR(IF($C654&lt;&gt;"",IF($T$13=1,G654+20,IF($T$13=2,G654+20,IF($T$13=3,G654+50,IF($T$13=4,G654+40,IF($T$13=5,G654+50,IF($T$13=51,G654+50,IF($T$13=6,G654+50,IF($T$13=7,G654+50,"")))))))),""),"")</f>
        <v/>
      </c>
      <c r="M654" s="206" t="str">
        <f t="shared" ref="M654:M717" si="155">IFERROR(IF($C654&lt;&gt;"",IF($T$13=1,H654+20,IF($T$13=2,H654+20,IF($T$13=3,H654+70,IF($T$13=4,H654+40,IF($T$13=5,H654+50,IF($T$13=51,H654+150,IF($T$13=6,H654+50,IF($T$13=7,H654+50,"")))))))),""),"")</f>
        <v/>
      </c>
      <c r="N654" s="206" t="str">
        <f t="shared" ref="N654:N717" si="156">IF(C654&lt;&gt;"",I654,"")</f>
        <v/>
      </c>
      <c r="O654" s="206" t="str">
        <f t="shared" ref="O654:O717" si="157">IF(C654&lt;&gt;"",$O$13,"")</f>
        <v/>
      </c>
      <c r="P654" s="84" t="str">
        <f t="shared" ref="P654:P717" si="158">IFERROR(IF(C654&lt;&gt;"",SUMIFS($V$13:$V$969,$U$13:$U$969,C654)*$S$6,V654*$S$6),"")</f>
        <v/>
      </c>
      <c r="Q654" s="205"/>
      <c r="R654" s="70" t="str">
        <f>IF(S654="IN",'BOM_Phan II'!$Y$3,"")</f>
        <v/>
      </c>
      <c r="S654" s="69" t="str">
        <f t="shared" si="150"/>
        <v/>
      </c>
      <c r="T654">
        <f t="shared" ref="T654:T717" si="159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3</v>
      </c>
      <c r="U654" t="str">
        <f t="shared" si="147"/>
        <v>KIỆN 14</v>
      </c>
      <c r="V654" t="str">
        <f t="shared" ref="V654:V717" si="160">IFERROR(IF(AND(C654="", OR($W654="1", $W654="2")), IF(I654="", "", F654*G654*H654*I654/10^9), ""), "")</f>
        <v/>
      </c>
      <c r="W654" s="266"/>
      <c r="X654" s="266"/>
      <c r="Y654" s="266" t="str">
        <f t="shared" si="152"/>
        <v/>
      </c>
      <c r="Z654" s="266"/>
    </row>
    <row r="655" spans="1:26" ht="27" hidden="1" customHeight="1">
      <c r="A655" s="70" t="str">
        <f t="shared" si="148"/>
        <v/>
      </c>
      <c r="B655" s="70" t="str">
        <f t="shared" si="149"/>
        <v/>
      </c>
      <c r="C655" s="204" t="str" cm="1">
        <f t="array" ref="C655">IF(D655="","",
    IF(AND(ISNUMBER(D655), D655=INT(D655)),
        $V$6 &amp; " " &amp; (IFERROR(MAX($Y$12:$Y654), 0) + 1),
        IF(ISNUMBER(SEARCH(".", D655)), "", INDEX($C$12:$C655, MATCH(2, 1/($C$12:$C655 &lt;&gt; ""))))
    )
)</f>
        <v/>
      </c>
      <c r="D655" s="206"/>
      <c r="E655" s="206" t="str">
        <f>IF(AA655 = "", "",
    IF(ISNUMBER(SEARCH("Kiện", C655)),
       " GÓI " &amp; COUNTIF($C$13:C655, "*Kiện*") &amp; "/" &amp; COUNTIF($C$13:$C$1000, "*Kiện*") &amp; " " &amp; AA655,
       AA655)
)</f>
        <v/>
      </c>
      <c r="F655" s="206"/>
      <c r="G655" s="206"/>
      <c r="H655" s="206"/>
      <c r="I655" s="206"/>
      <c r="J655" s="206" t="str">
        <f t="shared" si="151"/>
        <v/>
      </c>
      <c r="K655" s="206" t="str">
        <f t="shared" si="153"/>
        <v/>
      </c>
      <c r="L655" s="206" t="str">
        <f t="shared" si="154"/>
        <v/>
      </c>
      <c r="M655" s="206" t="str">
        <f t="shared" si="155"/>
        <v/>
      </c>
      <c r="N655" s="206" t="str">
        <f t="shared" si="156"/>
        <v/>
      </c>
      <c r="O655" s="206" t="str">
        <f t="shared" si="157"/>
        <v/>
      </c>
      <c r="P655" s="84" t="str">
        <f t="shared" si="158"/>
        <v/>
      </c>
      <c r="Q655" s="205"/>
      <c r="R655" s="70" t="str">
        <f>IF(S655="IN",'BOM_Phan II'!$Y$3,"")</f>
        <v/>
      </c>
      <c r="S655" s="69" t="str">
        <f t="shared" si="150"/>
        <v/>
      </c>
      <c r="T655">
        <f t="shared" si="159"/>
        <v>3</v>
      </c>
      <c r="U655" t="str">
        <f t="shared" si="147"/>
        <v>KIỆN 14</v>
      </c>
      <c r="V655" t="str">
        <f t="shared" si="160"/>
        <v/>
      </c>
      <c r="W655" s="266"/>
      <c r="X655" s="266"/>
      <c r="Y655" s="266" t="str">
        <f t="shared" si="152"/>
        <v/>
      </c>
      <c r="Z655" s="266"/>
    </row>
    <row r="656" spans="1:26" ht="27" hidden="1" customHeight="1">
      <c r="A656" s="70" t="str">
        <f t="shared" si="148"/>
        <v/>
      </c>
      <c r="B656" s="70" t="str">
        <f t="shared" si="149"/>
        <v/>
      </c>
      <c r="C656" s="204" t="str" cm="1">
        <f t="array" ref="C656">IF(D656="","",
    IF(AND(ISNUMBER(D656), D656=INT(D656)),
        $V$6 &amp; " " &amp; (IFERROR(MAX($Y$12:$Y655), 0) + 1),
        IF(ISNUMBER(SEARCH(".", D656)), "", INDEX($C$12:$C656, MATCH(2, 1/($C$12:$C656 &lt;&gt; ""))))
    )
)</f>
        <v/>
      </c>
      <c r="D656" s="206"/>
      <c r="E656" s="206" t="str">
        <f>IF(AA656 = "", "",
    IF(ISNUMBER(SEARCH("Kiện", C656)),
       " GÓI " &amp; COUNTIF($C$13:C656, "*Kiện*") &amp; "/" &amp; COUNTIF($C$13:$C$1000, "*Kiện*") &amp; " " &amp; AA656,
       AA656)
)</f>
        <v/>
      </c>
      <c r="F656" s="206"/>
      <c r="G656" s="206"/>
      <c r="H656" s="206"/>
      <c r="I656" s="206"/>
      <c r="J656" s="206" t="str">
        <f t="shared" si="151"/>
        <v/>
      </c>
      <c r="K656" s="206" t="str">
        <f t="shared" si="153"/>
        <v/>
      </c>
      <c r="L656" s="206" t="str">
        <f t="shared" si="154"/>
        <v/>
      </c>
      <c r="M656" s="206" t="str">
        <f t="shared" si="155"/>
        <v/>
      </c>
      <c r="N656" s="206" t="str">
        <f t="shared" si="156"/>
        <v/>
      </c>
      <c r="O656" s="206" t="str">
        <f t="shared" si="157"/>
        <v/>
      </c>
      <c r="P656" s="84" t="str">
        <f t="shared" si="158"/>
        <v/>
      </c>
      <c r="Q656" s="205"/>
      <c r="R656" s="70" t="str">
        <f>IF(S656="IN",'BOM_Phan II'!$Y$3,"")</f>
        <v/>
      </c>
      <c r="S656" s="69" t="str">
        <f t="shared" si="150"/>
        <v/>
      </c>
      <c r="T656">
        <f t="shared" si="159"/>
        <v>3</v>
      </c>
      <c r="U656" t="str">
        <f t="shared" si="147"/>
        <v>KIỆN 14</v>
      </c>
      <c r="V656" t="str">
        <f t="shared" si="160"/>
        <v/>
      </c>
      <c r="W656" s="266"/>
      <c r="X656" s="266"/>
      <c r="Y656" s="266" t="str">
        <f t="shared" si="152"/>
        <v/>
      </c>
      <c r="Z656" s="266"/>
    </row>
    <row r="657" spans="1:26" ht="27" hidden="1" customHeight="1">
      <c r="A657" s="70" t="str">
        <f t="shared" si="148"/>
        <v/>
      </c>
      <c r="B657" s="70" t="str">
        <f t="shared" si="149"/>
        <v/>
      </c>
      <c r="C657" s="204" t="str" cm="1">
        <f t="array" ref="C657">IF(D657="","",
    IF(AND(ISNUMBER(D657), D657=INT(D657)),
        $V$6 &amp; " " &amp; (IFERROR(MAX($Y$12:$Y656), 0) + 1),
        IF(ISNUMBER(SEARCH(".", D657)), "", INDEX($C$12:$C657, MATCH(2, 1/($C$12:$C657 &lt;&gt; ""))))
    )
)</f>
        <v/>
      </c>
      <c r="D657" s="206"/>
      <c r="E657" s="206" t="str">
        <f>IF(AA657 = "", "",
    IF(ISNUMBER(SEARCH("Kiện", C657)),
       " GÓI " &amp; COUNTIF($C$13:C657, "*Kiện*") &amp; "/" &amp; COUNTIF($C$13:$C$1000, "*Kiện*") &amp; " " &amp; AA657,
       AA657)
)</f>
        <v/>
      </c>
      <c r="F657" s="206"/>
      <c r="G657" s="206"/>
      <c r="H657" s="206"/>
      <c r="I657" s="206"/>
      <c r="J657" s="206" t="str">
        <f t="shared" si="151"/>
        <v/>
      </c>
      <c r="K657" s="206" t="str">
        <f t="shared" si="153"/>
        <v/>
      </c>
      <c r="L657" s="206" t="str">
        <f t="shared" si="154"/>
        <v/>
      </c>
      <c r="M657" s="206" t="str">
        <f t="shared" si="155"/>
        <v/>
      </c>
      <c r="N657" s="206" t="str">
        <f t="shared" si="156"/>
        <v/>
      </c>
      <c r="O657" s="206" t="str">
        <f t="shared" si="157"/>
        <v/>
      </c>
      <c r="P657" s="84" t="str">
        <f t="shared" si="158"/>
        <v/>
      </c>
      <c r="Q657" s="205"/>
      <c r="R657" s="70" t="str">
        <f>IF(S657="IN",'BOM_Phan II'!$Y$3,"")</f>
        <v/>
      </c>
      <c r="S657" s="69" t="str">
        <f t="shared" si="150"/>
        <v/>
      </c>
      <c r="T657">
        <f t="shared" si="159"/>
        <v>3</v>
      </c>
      <c r="U657" t="str">
        <f t="shared" si="147"/>
        <v>KIỆN 14</v>
      </c>
      <c r="V657" t="str">
        <f t="shared" si="160"/>
        <v/>
      </c>
      <c r="W657" s="266"/>
      <c r="X657" s="266"/>
      <c r="Y657" s="266" t="str">
        <f t="shared" si="152"/>
        <v/>
      </c>
      <c r="Z657" s="266"/>
    </row>
    <row r="658" spans="1:26" ht="27" hidden="1" customHeight="1">
      <c r="A658" s="70" t="str">
        <f t="shared" si="148"/>
        <v/>
      </c>
      <c r="B658" s="70" t="str">
        <f t="shared" si="149"/>
        <v/>
      </c>
      <c r="C658" s="204" t="str" cm="1">
        <f t="array" ref="C658">IF(D658="","",
    IF(AND(ISNUMBER(D658), D658=INT(D658)),
        $V$6 &amp; " " &amp; (IFERROR(MAX($Y$12:$Y657), 0) + 1),
        IF(ISNUMBER(SEARCH(".", D658)), "", INDEX($C$12:$C658, MATCH(2, 1/($C$12:$C658 &lt;&gt; ""))))
    )
)</f>
        <v/>
      </c>
      <c r="D658" s="206"/>
      <c r="E658" s="206" t="str">
        <f>IF(AA658 = "", "",
    IF(ISNUMBER(SEARCH("Kiện", C658)),
       " GÓI " &amp; COUNTIF($C$13:C658, "*Kiện*") &amp; "/" &amp; COUNTIF($C$13:$C$1000, "*Kiện*") &amp; " " &amp; AA658,
       AA658)
)</f>
        <v/>
      </c>
      <c r="F658" s="206"/>
      <c r="G658" s="206"/>
      <c r="H658" s="206"/>
      <c r="I658" s="206"/>
      <c r="J658" s="206" t="str">
        <f t="shared" si="151"/>
        <v/>
      </c>
      <c r="K658" s="206" t="str">
        <f t="shared" si="153"/>
        <v/>
      </c>
      <c r="L658" s="206" t="str">
        <f t="shared" si="154"/>
        <v/>
      </c>
      <c r="M658" s="206" t="str">
        <f t="shared" si="155"/>
        <v/>
      </c>
      <c r="N658" s="206" t="str">
        <f t="shared" si="156"/>
        <v/>
      </c>
      <c r="O658" s="206" t="str">
        <f t="shared" si="157"/>
        <v/>
      </c>
      <c r="P658" s="84" t="str">
        <f t="shared" si="158"/>
        <v/>
      </c>
      <c r="Q658" s="205"/>
      <c r="R658" s="70" t="str">
        <f>IF(S658="IN",'BOM_Phan II'!$Y$3,"")</f>
        <v/>
      </c>
      <c r="S658" s="69" t="str">
        <f t="shared" si="150"/>
        <v/>
      </c>
      <c r="T658">
        <f t="shared" si="159"/>
        <v>3</v>
      </c>
      <c r="U658" t="str">
        <f t="shared" si="147"/>
        <v>KIỆN 14</v>
      </c>
      <c r="V658" t="str">
        <f t="shared" si="160"/>
        <v/>
      </c>
      <c r="W658" s="266"/>
      <c r="X658" s="266"/>
      <c r="Y658" s="266" t="str">
        <f t="shared" si="152"/>
        <v/>
      </c>
      <c r="Z658" s="266"/>
    </row>
    <row r="659" spans="1:26" ht="27" hidden="1" customHeight="1">
      <c r="A659" s="70" t="str">
        <f t="shared" si="148"/>
        <v/>
      </c>
      <c r="B659" s="70" t="str">
        <f t="shared" si="149"/>
        <v/>
      </c>
      <c r="C659" s="204" t="str" cm="1">
        <f t="array" ref="C659">IF(D659="","",
    IF(AND(ISNUMBER(D659), D659=INT(D659)),
        $V$6 &amp; " " &amp; (IFERROR(MAX($Y$12:$Y658), 0) + 1),
        IF(ISNUMBER(SEARCH(".", D659)), "", INDEX($C$12:$C659, MATCH(2, 1/($C$12:$C659 &lt;&gt; ""))))
    )
)</f>
        <v/>
      </c>
      <c r="D659" s="206"/>
      <c r="E659" s="206" t="str">
        <f>IF(AA659 = "", "",
    IF(ISNUMBER(SEARCH("Kiện", C659)),
       " GÓI " &amp; COUNTIF($C$13:C659, "*Kiện*") &amp; "/" &amp; COUNTIF($C$13:$C$1000, "*Kiện*") &amp; " " &amp; AA659,
       AA659)
)</f>
        <v/>
      </c>
      <c r="F659" s="206"/>
      <c r="G659" s="206"/>
      <c r="H659" s="206"/>
      <c r="I659" s="206"/>
      <c r="J659" s="206" t="str">
        <f t="shared" si="151"/>
        <v/>
      </c>
      <c r="K659" s="206" t="str">
        <f t="shared" si="153"/>
        <v/>
      </c>
      <c r="L659" s="206" t="str">
        <f t="shared" si="154"/>
        <v/>
      </c>
      <c r="M659" s="206" t="str">
        <f t="shared" si="155"/>
        <v/>
      </c>
      <c r="N659" s="206" t="str">
        <f t="shared" si="156"/>
        <v/>
      </c>
      <c r="O659" s="206" t="str">
        <f t="shared" si="157"/>
        <v/>
      </c>
      <c r="P659" s="84" t="str">
        <f t="shared" si="158"/>
        <v/>
      </c>
      <c r="Q659" s="205"/>
      <c r="R659" s="70" t="str">
        <f>IF(S659="IN",'BOM_Phan II'!$Y$3,"")</f>
        <v/>
      </c>
      <c r="S659" s="69" t="str">
        <f t="shared" si="150"/>
        <v/>
      </c>
      <c r="T659">
        <f t="shared" si="159"/>
        <v>3</v>
      </c>
      <c r="U659" t="str">
        <f t="shared" si="147"/>
        <v>KIỆN 14</v>
      </c>
      <c r="V659" t="str">
        <f t="shared" si="160"/>
        <v/>
      </c>
      <c r="W659" s="266"/>
      <c r="X659" s="266"/>
      <c r="Y659" s="266" t="str">
        <f t="shared" si="152"/>
        <v/>
      </c>
      <c r="Z659" s="266"/>
    </row>
    <row r="660" spans="1:26" ht="27" hidden="1" customHeight="1">
      <c r="A660" s="70" t="str">
        <f t="shared" si="148"/>
        <v/>
      </c>
      <c r="B660" s="70" t="str">
        <f t="shared" si="149"/>
        <v/>
      </c>
      <c r="C660" s="204" t="str" cm="1">
        <f t="array" ref="C660">IF(D660="","",
    IF(AND(ISNUMBER(D660), D660=INT(D660)),
        $V$6 &amp; " " &amp; (IFERROR(MAX($Y$12:$Y659), 0) + 1),
        IF(ISNUMBER(SEARCH(".", D660)), "", INDEX($C$12:$C660, MATCH(2, 1/($C$12:$C660 &lt;&gt; ""))))
    )
)</f>
        <v/>
      </c>
      <c r="D660" s="206"/>
      <c r="E660" s="206" t="str">
        <f>IF(AA660 = "", "",
    IF(ISNUMBER(SEARCH("Kiện", C660)),
       " GÓI " &amp; COUNTIF($C$13:C660, "*Kiện*") &amp; "/" &amp; COUNTIF($C$13:$C$1000, "*Kiện*") &amp; " " &amp; AA660,
       AA660)
)</f>
        <v/>
      </c>
      <c r="F660" s="206"/>
      <c r="G660" s="206"/>
      <c r="H660" s="206"/>
      <c r="I660" s="206"/>
      <c r="J660" s="206" t="str">
        <f t="shared" si="151"/>
        <v/>
      </c>
      <c r="K660" s="206" t="str">
        <f t="shared" si="153"/>
        <v/>
      </c>
      <c r="L660" s="206" t="str">
        <f t="shared" si="154"/>
        <v/>
      </c>
      <c r="M660" s="206" t="str">
        <f t="shared" si="155"/>
        <v/>
      </c>
      <c r="N660" s="206" t="str">
        <f t="shared" si="156"/>
        <v/>
      </c>
      <c r="O660" s="206" t="str">
        <f t="shared" si="157"/>
        <v/>
      </c>
      <c r="P660" s="84" t="str">
        <f t="shared" si="158"/>
        <v/>
      </c>
      <c r="Q660" s="205"/>
      <c r="R660" s="70" t="str">
        <f>IF(S660="IN",'BOM_Phan II'!$Y$3,"")</f>
        <v/>
      </c>
      <c r="S660" s="69" t="str">
        <f t="shared" si="150"/>
        <v/>
      </c>
      <c r="T660">
        <f t="shared" si="159"/>
        <v>3</v>
      </c>
      <c r="U660" t="str">
        <f t="shared" si="147"/>
        <v>KIỆN 14</v>
      </c>
      <c r="V660" t="str">
        <f t="shared" si="160"/>
        <v/>
      </c>
      <c r="W660" s="266"/>
      <c r="X660" s="266"/>
      <c r="Y660" s="266" t="str">
        <f t="shared" si="152"/>
        <v/>
      </c>
      <c r="Z660" s="266"/>
    </row>
    <row r="661" spans="1:26" ht="27" hidden="1" customHeight="1">
      <c r="A661" s="70" t="str">
        <f t="shared" si="148"/>
        <v/>
      </c>
      <c r="B661" s="70" t="str">
        <f t="shared" si="149"/>
        <v/>
      </c>
      <c r="C661" s="204" t="str" cm="1">
        <f t="array" ref="C661">IF(D661="","",
    IF(AND(ISNUMBER(D661), D661=INT(D661)),
        $V$6 &amp; " " &amp; (IFERROR(MAX($Y$12:$Y660), 0) + 1),
        IF(ISNUMBER(SEARCH(".", D661)), "", INDEX($C$12:$C661, MATCH(2, 1/($C$12:$C661 &lt;&gt; ""))))
    )
)</f>
        <v/>
      </c>
      <c r="D661" s="206"/>
      <c r="E661" s="206" t="str">
        <f>IF(AA661 = "", "",
    IF(ISNUMBER(SEARCH("Kiện", C661)),
       " GÓI " &amp; COUNTIF($C$13:C661, "*Kiện*") &amp; "/" &amp; COUNTIF($C$13:$C$1000, "*Kiện*") &amp; " " &amp; AA661,
       AA661)
)</f>
        <v/>
      </c>
      <c r="F661" s="206"/>
      <c r="G661" s="206"/>
      <c r="H661" s="206"/>
      <c r="I661" s="206"/>
      <c r="J661" s="206" t="str">
        <f t="shared" si="151"/>
        <v/>
      </c>
      <c r="K661" s="206" t="str">
        <f t="shared" si="153"/>
        <v/>
      </c>
      <c r="L661" s="206" t="str">
        <f t="shared" si="154"/>
        <v/>
      </c>
      <c r="M661" s="206" t="str">
        <f t="shared" si="155"/>
        <v/>
      </c>
      <c r="N661" s="206" t="str">
        <f t="shared" si="156"/>
        <v/>
      </c>
      <c r="O661" s="206" t="str">
        <f t="shared" si="157"/>
        <v/>
      </c>
      <c r="P661" s="84" t="str">
        <f t="shared" si="158"/>
        <v/>
      </c>
      <c r="Q661" s="205"/>
      <c r="R661" s="70" t="str">
        <f>IF(S661="IN",'BOM_Phan II'!$Y$3,"")</f>
        <v/>
      </c>
      <c r="S661" s="69" t="str">
        <f t="shared" si="150"/>
        <v/>
      </c>
      <c r="T661">
        <f t="shared" si="159"/>
        <v>3</v>
      </c>
      <c r="U661" t="str">
        <f t="shared" si="147"/>
        <v>KIỆN 14</v>
      </c>
      <c r="V661" t="str">
        <f t="shared" si="160"/>
        <v/>
      </c>
      <c r="W661" s="266"/>
      <c r="X661" s="266"/>
      <c r="Y661" s="266" t="str">
        <f t="shared" si="152"/>
        <v/>
      </c>
      <c r="Z661" s="266"/>
    </row>
    <row r="662" spans="1:26" ht="27" hidden="1" customHeight="1">
      <c r="A662" s="70" t="str">
        <f t="shared" si="148"/>
        <v/>
      </c>
      <c r="B662" s="70" t="str">
        <f t="shared" si="149"/>
        <v/>
      </c>
      <c r="C662" s="204" t="str" cm="1">
        <f t="array" ref="C662">IF(D662="","",
    IF(AND(ISNUMBER(D662), D662=INT(D662)),
        $V$6 &amp; " " &amp; (IFERROR(MAX($Y$12:$Y661), 0) + 1),
        IF(ISNUMBER(SEARCH(".", D662)), "", INDEX($C$12:$C662, MATCH(2, 1/($C$12:$C662 &lt;&gt; ""))))
    )
)</f>
        <v/>
      </c>
      <c r="D662" s="206"/>
      <c r="E662" s="206" t="str">
        <f>IF(AA662 = "", "",
    IF(ISNUMBER(SEARCH("Kiện", C662)),
       " GÓI " &amp; COUNTIF($C$13:C662, "*Kiện*") &amp; "/" &amp; COUNTIF($C$13:$C$1000, "*Kiện*") &amp; " " &amp; AA662,
       AA662)
)</f>
        <v/>
      </c>
      <c r="F662" s="206"/>
      <c r="G662" s="206"/>
      <c r="H662" s="206"/>
      <c r="I662" s="206"/>
      <c r="J662" s="206" t="str">
        <f t="shared" si="151"/>
        <v/>
      </c>
      <c r="K662" s="206" t="str">
        <f t="shared" si="153"/>
        <v/>
      </c>
      <c r="L662" s="206" t="str">
        <f t="shared" si="154"/>
        <v/>
      </c>
      <c r="M662" s="206" t="str">
        <f t="shared" si="155"/>
        <v/>
      </c>
      <c r="N662" s="206" t="str">
        <f t="shared" si="156"/>
        <v/>
      </c>
      <c r="O662" s="206" t="str">
        <f t="shared" si="157"/>
        <v/>
      </c>
      <c r="P662" s="84" t="str">
        <f t="shared" si="158"/>
        <v/>
      </c>
      <c r="Q662" s="205"/>
      <c r="R662" s="70" t="str">
        <f>IF(S662="IN",'BOM_Phan II'!$Y$3,"")</f>
        <v/>
      </c>
      <c r="S662" s="69" t="str">
        <f t="shared" si="150"/>
        <v/>
      </c>
      <c r="T662">
        <f t="shared" si="159"/>
        <v>3</v>
      </c>
      <c r="U662" t="str">
        <f t="shared" si="147"/>
        <v>KIỆN 14</v>
      </c>
      <c r="V662" t="str">
        <f t="shared" si="160"/>
        <v/>
      </c>
      <c r="W662" s="266"/>
      <c r="X662" s="266"/>
      <c r="Y662" s="266" t="str">
        <f t="shared" si="152"/>
        <v/>
      </c>
      <c r="Z662" s="266"/>
    </row>
    <row r="663" spans="1:26" ht="27" hidden="1" customHeight="1">
      <c r="A663" s="70" t="str">
        <f t="shared" si="148"/>
        <v/>
      </c>
      <c r="B663" s="70" t="str">
        <f t="shared" si="149"/>
        <v/>
      </c>
      <c r="C663" s="204" t="str" cm="1">
        <f t="array" ref="C663">IF(D663="","",
    IF(AND(ISNUMBER(D663), D663=INT(D663)),
        $V$6 &amp; " " &amp; (IFERROR(MAX($Y$12:$Y662), 0) + 1),
        IF(ISNUMBER(SEARCH(".", D663)), "", INDEX($C$12:$C663, MATCH(2, 1/($C$12:$C663 &lt;&gt; ""))))
    )
)</f>
        <v/>
      </c>
      <c r="D663" s="206"/>
      <c r="E663" s="206" t="str">
        <f>IF(AA663 = "", "",
    IF(ISNUMBER(SEARCH("Kiện", C663)),
       " GÓI " &amp; COUNTIF($C$13:C663, "*Kiện*") &amp; "/" &amp; COUNTIF($C$13:$C$1000, "*Kiện*") &amp; " " &amp; AA663,
       AA663)
)</f>
        <v/>
      </c>
      <c r="F663" s="206"/>
      <c r="G663" s="206"/>
      <c r="H663" s="206"/>
      <c r="I663" s="206"/>
      <c r="J663" s="206" t="str">
        <f t="shared" si="151"/>
        <v/>
      </c>
      <c r="K663" s="206" t="str">
        <f t="shared" si="153"/>
        <v/>
      </c>
      <c r="L663" s="206" t="str">
        <f t="shared" si="154"/>
        <v/>
      </c>
      <c r="M663" s="206" t="str">
        <f t="shared" si="155"/>
        <v/>
      </c>
      <c r="N663" s="206" t="str">
        <f t="shared" si="156"/>
        <v/>
      </c>
      <c r="O663" s="206" t="str">
        <f t="shared" si="157"/>
        <v/>
      </c>
      <c r="P663" s="84" t="str">
        <f t="shared" si="158"/>
        <v/>
      </c>
      <c r="Q663" s="205"/>
      <c r="R663" s="70" t="str">
        <f>IF(S663="IN",'BOM_Phan II'!$Y$3,"")</f>
        <v/>
      </c>
      <c r="S663" s="69" t="str">
        <f t="shared" si="150"/>
        <v/>
      </c>
      <c r="T663">
        <f t="shared" si="159"/>
        <v>3</v>
      </c>
      <c r="U663" t="str">
        <f t="shared" si="147"/>
        <v>KIỆN 14</v>
      </c>
      <c r="V663" t="str">
        <f t="shared" si="160"/>
        <v/>
      </c>
      <c r="W663" s="266"/>
      <c r="X663" s="266"/>
      <c r="Y663" s="266" t="str">
        <f t="shared" si="152"/>
        <v/>
      </c>
      <c r="Z663" s="266"/>
    </row>
    <row r="664" spans="1:26" ht="27" hidden="1" customHeight="1">
      <c r="A664" s="70" t="str">
        <f t="shared" si="148"/>
        <v/>
      </c>
      <c r="B664" s="70" t="str">
        <f t="shared" si="149"/>
        <v/>
      </c>
      <c r="C664" s="204" t="str" cm="1">
        <f t="array" ref="C664">IF(D664="","",
    IF(AND(ISNUMBER(D664), D664=INT(D664)),
        $V$6 &amp; " " &amp; (IFERROR(MAX($Y$12:$Y663), 0) + 1),
        IF(ISNUMBER(SEARCH(".", D664)), "", INDEX($C$12:$C664, MATCH(2, 1/($C$12:$C664 &lt;&gt; ""))))
    )
)</f>
        <v/>
      </c>
      <c r="D664" s="206"/>
      <c r="E664" s="206" t="str">
        <f>IF(AA664 = "", "",
    IF(ISNUMBER(SEARCH("Kiện", C664)),
       " GÓI " &amp; COUNTIF($C$13:C664, "*Kiện*") &amp; "/" &amp; COUNTIF($C$13:$C$1000, "*Kiện*") &amp; " " &amp; AA664,
       AA664)
)</f>
        <v/>
      </c>
      <c r="F664" s="206"/>
      <c r="G664" s="206"/>
      <c r="H664" s="206"/>
      <c r="I664" s="206"/>
      <c r="J664" s="206" t="str">
        <f t="shared" si="151"/>
        <v/>
      </c>
      <c r="K664" s="206" t="str">
        <f t="shared" si="153"/>
        <v/>
      </c>
      <c r="L664" s="206" t="str">
        <f t="shared" si="154"/>
        <v/>
      </c>
      <c r="M664" s="206" t="str">
        <f t="shared" si="155"/>
        <v/>
      </c>
      <c r="N664" s="206" t="str">
        <f t="shared" si="156"/>
        <v/>
      </c>
      <c r="O664" s="206" t="str">
        <f t="shared" si="157"/>
        <v/>
      </c>
      <c r="P664" s="84" t="str">
        <f t="shared" si="158"/>
        <v/>
      </c>
      <c r="Q664" s="205"/>
      <c r="R664" s="70" t="str">
        <f>IF(S664="IN",'BOM_Phan II'!$Y$3,"")</f>
        <v/>
      </c>
      <c r="S664" s="69" t="str">
        <f t="shared" si="150"/>
        <v/>
      </c>
      <c r="T664">
        <f t="shared" si="159"/>
        <v>3</v>
      </c>
      <c r="U664" t="str">
        <f t="shared" si="147"/>
        <v>KIỆN 14</v>
      </c>
      <c r="V664" t="str">
        <f t="shared" si="160"/>
        <v/>
      </c>
      <c r="W664" s="266"/>
      <c r="X664" s="266"/>
      <c r="Y664" s="266" t="str">
        <f t="shared" si="152"/>
        <v/>
      </c>
      <c r="Z664" s="266"/>
    </row>
    <row r="665" spans="1:26" ht="27" hidden="1" customHeight="1">
      <c r="A665" s="70" t="str">
        <f t="shared" si="148"/>
        <v/>
      </c>
      <c r="B665" s="70" t="str">
        <f t="shared" si="149"/>
        <v/>
      </c>
      <c r="C665" s="204" t="str" cm="1">
        <f t="array" ref="C665">IF(D665="","",
    IF(AND(ISNUMBER(D665), D665=INT(D665)),
        $V$6 &amp; " " &amp; (IFERROR(MAX($Y$12:$Y664), 0) + 1),
        IF(ISNUMBER(SEARCH(".", D665)), "", INDEX($C$12:$C665, MATCH(2, 1/($C$12:$C665 &lt;&gt; ""))))
    )
)</f>
        <v/>
      </c>
      <c r="D665" s="206"/>
      <c r="E665" s="206" t="str">
        <f>IF(AA665 = "", "",
    IF(ISNUMBER(SEARCH("Kiện", C665)),
       " GÓI " &amp; COUNTIF($C$13:C665, "*Kiện*") &amp; "/" &amp; COUNTIF($C$13:$C$1000, "*Kiện*") &amp; " " &amp; AA665,
       AA665)
)</f>
        <v/>
      </c>
      <c r="F665" s="206"/>
      <c r="G665" s="206"/>
      <c r="H665" s="206"/>
      <c r="I665" s="206"/>
      <c r="J665" s="206" t="str">
        <f t="shared" si="151"/>
        <v/>
      </c>
      <c r="K665" s="206" t="str">
        <f t="shared" si="153"/>
        <v/>
      </c>
      <c r="L665" s="206" t="str">
        <f t="shared" si="154"/>
        <v/>
      </c>
      <c r="M665" s="206" t="str">
        <f t="shared" si="155"/>
        <v/>
      </c>
      <c r="N665" s="206" t="str">
        <f t="shared" si="156"/>
        <v/>
      </c>
      <c r="O665" s="206" t="str">
        <f t="shared" si="157"/>
        <v/>
      </c>
      <c r="P665" s="84" t="str">
        <f t="shared" si="158"/>
        <v/>
      </c>
      <c r="Q665" s="205"/>
      <c r="R665" s="70" t="str">
        <f>IF(S665="IN",'BOM_Phan II'!$Y$3,"")</f>
        <v/>
      </c>
      <c r="S665" s="69" t="str">
        <f t="shared" si="150"/>
        <v/>
      </c>
      <c r="T665">
        <f t="shared" si="159"/>
        <v>3</v>
      </c>
      <c r="U665" t="str">
        <f t="shared" si="147"/>
        <v>KIỆN 14</v>
      </c>
      <c r="V665" t="str">
        <f t="shared" si="160"/>
        <v/>
      </c>
      <c r="W665" s="266"/>
      <c r="X665" s="266"/>
      <c r="Y665" s="266" t="str">
        <f t="shared" si="152"/>
        <v/>
      </c>
      <c r="Z665" s="266"/>
    </row>
    <row r="666" spans="1:26" ht="27" hidden="1" customHeight="1">
      <c r="A666" s="70" t="str">
        <f t="shared" si="148"/>
        <v/>
      </c>
      <c r="B666" s="70" t="str">
        <f t="shared" si="149"/>
        <v/>
      </c>
      <c r="C666" s="204" t="str" cm="1">
        <f t="array" ref="C666">IF(D666="","",
    IF(AND(ISNUMBER(D666), D666=INT(D666)),
        $V$6 &amp; " " &amp; (IFERROR(MAX($Y$12:$Y665), 0) + 1),
        IF(ISNUMBER(SEARCH(".", D666)), "", INDEX($C$12:$C666, MATCH(2, 1/($C$12:$C666 &lt;&gt; ""))))
    )
)</f>
        <v/>
      </c>
      <c r="D666" s="206"/>
      <c r="E666" s="206" t="str">
        <f>IF(AA666 = "", "",
    IF(ISNUMBER(SEARCH("Kiện", C666)),
       " GÓI " &amp; COUNTIF($C$13:C666, "*Kiện*") &amp; "/" &amp; COUNTIF($C$13:$C$1000, "*Kiện*") &amp; " " &amp; AA666,
       AA666)
)</f>
        <v/>
      </c>
      <c r="F666" s="206"/>
      <c r="G666" s="206"/>
      <c r="H666" s="206"/>
      <c r="I666" s="206"/>
      <c r="J666" s="206" t="str">
        <f t="shared" si="151"/>
        <v/>
      </c>
      <c r="K666" s="206" t="str">
        <f t="shared" si="153"/>
        <v/>
      </c>
      <c r="L666" s="206" t="str">
        <f t="shared" si="154"/>
        <v/>
      </c>
      <c r="M666" s="206" t="str">
        <f t="shared" si="155"/>
        <v/>
      </c>
      <c r="N666" s="206" t="str">
        <f t="shared" si="156"/>
        <v/>
      </c>
      <c r="O666" s="206" t="str">
        <f t="shared" si="157"/>
        <v/>
      </c>
      <c r="P666" s="84" t="str">
        <f t="shared" si="158"/>
        <v/>
      </c>
      <c r="Q666" s="205"/>
      <c r="R666" s="70" t="str">
        <f>IF(S666="IN",'BOM_Phan II'!$Y$3,"")</f>
        <v/>
      </c>
      <c r="S666" s="69" t="str">
        <f t="shared" si="150"/>
        <v/>
      </c>
      <c r="T666">
        <f t="shared" si="159"/>
        <v>3</v>
      </c>
      <c r="U666" t="str">
        <f t="shared" si="147"/>
        <v>KIỆN 14</v>
      </c>
      <c r="V666" t="str">
        <f t="shared" si="160"/>
        <v/>
      </c>
      <c r="W666" s="266"/>
      <c r="X666" s="266"/>
      <c r="Y666" s="266" t="str">
        <f t="shared" si="152"/>
        <v/>
      </c>
      <c r="Z666" s="266"/>
    </row>
    <row r="667" spans="1:26" ht="27" hidden="1" customHeight="1">
      <c r="A667" s="70" t="str">
        <f t="shared" si="148"/>
        <v/>
      </c>
      <c r="B667" s="70" t="str">
        <f t="shared" si="149"/>
        <v/>
      </c>
      <c r="C667" s="204" t="str" cm="1">
        <f t="array" ref="C667">IF(D667="","",
    IF(AND(ISNUMBER(D667), D667=INT(D667)),
        $V$6 &amp; " " &amp; (IFERROR(MAX($Y$12:$Y666), 0) + 1),
        IF(ISNUMBER(SEARCH(".", D667)), "", INDEX($C$12:$C667, MATCH(2, 1/($C$12:$C667 &lt;&gt; ""))))
    )
)</f>
        <v/>
      </c>
      <c r="D667" s="206"/>
      <c r="E667" s="206" t="str">
        <f>IF(AA667 = "", "",
    IF(ISNUMBER(SEARCH("Kiện", C667)),
       " GÓI " &amp; COUNTIF($C$13:C667, "*Kiện*") &amp; "/" &amp; COUNTIF($C$13:$C$1000, "*Kiện*") &amp; " " &amp; AA667,
       AA667)
)</f>
        <v/>
      </c>
      <c r="F667" s="206"/>
      <c r="G667" s="206"/>
      <c r="H667" s="206"/>
      <c r="I667" s="206"/>
      <c r="J667" s="206" t="str">
        <f t="shared" si="151"/>
        <v/>
      </c>
      <c r="K667" s="206" t="str">
        <f t="shared" si="153"/>
        <v/>
      </c>
      <c r="L667" s="206" t="str">
        <f t="shared" si="154"/>
        <v/>
      </c>
      <c r="M667" s="206" t="str">
        <f t="shared" si="155"/>
        <v/>
      </c>
      <c r="N667" s="206" t="str">
        <f t="shared" si="156"/>
        <v/>
      </c>
      <c r="O667" s="206" t="str">
        <f t="shared" si="157"/>
        <v/>
      </c>
      <c r="P667" s="84" t="str">
        <f t="shared" si="158"/>
        <v/>
      </c>
      <c r="Q667" s="205"/>
      <c r="R667" s="70" t="str">
        <f>IF(S667="IN",'BOM_Phan II'!$Y$3,"")</f>
        <v/>
      </c>
      <c r="S667" s="69" t="str">
        <f t="shared" si="150"/>
        <v/>
      </c>
      <c r="T667">
        <f t="shared" si="159"/>
        <v>3</v>
      </c>
      <c r="U667" t="str">
        <f t="shared" si="147"/>
        <v>KIỆN 14</v>
      </c>
      <c r="V667" t="str">
        <f t="shared" si="160"/>
        <v/>
      </c>
      <c r="W667" s="266"/>
      <c r="X667" s="266"/>
      <c r="Y667" s="266" t="str">
        <f t="shared" si="152"/>
        <v/>
      </c>
      <c r="Z667" s="266"/>
    </row>
    <row r="668" spans="1:26" ht="27" hidden="1" customHeight="1">
      <c r="A668" s="70" t="str">
        <f t="shared" si="148"/>
        <v/>
      </c>
      <c r="B668" s="70" t="str">
        <f t="shared" si="149"/>
        <v/>
      </c>
      <c r="C668" s="204" t="str" cm="1">
        <f t="array" ref="C668">IF(D668="","",
    IF(AND(ISNUMBER(D668), D668=INT(D668)),
        $V$6 &amp; " " &amp; (IFERROR(MAX($Y$12:$Y667), 0) + 1),
        IF(ISNUMBER(SEARCH(".", D668)), "", INDEX($C$12:$C668, MATCH(2, 1/($C$12:$C668 &lt;&gt; ""))))
    )
)</f>
        <v/>
      </c>
      <c r="D668" s="206"/>
      <c r="E668" s="206" t="str">
        <f>IF(AA668 = "", "",
    IF(ISNUMBER(SEARCH("Kiện", C668)),
       " GÓI " &amp; COUNTIF($C$13:C668, "*Kiện*") &amp; "/" &amp; COUNTIF($C$13:$C$1000, "*Kiện*") &amp; " " &amp; AA668,
       AA668)
)</f>
        <v/>
      </c>
      <c r="F668" s="206"/>
      <c r="G668" s="206"/>
      <c r="H668" s="206"/>
      <c r="I668" s="206"/>
      <c r="J668" s="206" t="str">
        <f t="shared" si="151"/>
        <v/>
      </c>
      <c r="K668" s="206" t="str">
        <f t="shared" si="153"/>
        <v/>
      </c>
      <c r="L668" s="206" t="str">
        <f t="shared" si="154"/>
        <v/>
      </c>
      <c r="M668" s="206" t="str">
        <f t="shared" si="155"/>
        <v/>
      </c>
      <c r="N668" s="206" t="str">
        <f t="shared" si="156"/>
        <v/>
      </c>
      <c r="O668" s="206" t="str">
        <f t="shared" si="157"/>
        <v/>
      </c>
      <c r="P668" s="84" t="str">
        <f t="shared" si="158"/>
        <v/>
      </c>
      <c r="Q668" s="205"/>
      <c r="R668" s="70" t="str">
        <f>IF(S668="IN",'BOM_Phan II'!$Y$3,"")</f>
        <v/>
      </c>
      <c r="S668" s="69" t="str">
        <f t="shared" si="150"/>
        <v/>
      </c>
      <c r="T668">
        <f t="shared" si="159"/>
        <v>3</v>
      </c>
      <c r="U668" t="str">
        <f t="shared" si="147"/>
        <v>KIỆN 14</v>
      </c>
      <c r="V668" t="str">
        <f t="shared" si="160"/>
        <v/>
      </c>
      <c r="W668" s="266"/>
      <c r="X668" s="266"/>
      <c r="Y668" s="266" t="str">
        <f t="shared" si="152"/>
        <v/>
      </c>
      <c r="Z668" s="266"/>
    </row>
    <row r="669" spans="1:26" ht="27" hidden="1" customHeight="1">
      <c r="A669" s="70" t="str">
        <f t="shared" si="148"/>
        <v/>
      </c>
      <c r="B669" s="70" t="str">
        <f t="shared" si="149"/>
        <v/>
      </c>
      <c r="C669" s="204" t="str" cm="1">
        <f t="array" ref="C669">IF(D669="","",
    IF(AND(ISNUMBER(D669), D669=INT(D669)),
        $V$6 &amp; " " &amp; (IFERROR(MAX($Y$12:$Y668), 0) + 1),
        IF(ISNUMBER(SEARCH(".", D669)), "", INDEX($C$12:$C669, MATCH(2, 1/($C$12:$C669 &lt;&gt; ""))))
    )
)</f>
        <v/>
      </c>
      <c r="D669" s="206"/>
      <c r="E669" s="206" t="str">
        <f>IF(AA669 = "", "",
    IF(ISNUMBER(SEARCH("Kiện", C669)),
       " GÓI " &amp; COUNTIF($C$13:C669, "*Kiện*") &amp; "/" &amp; COUNTIF($C$13:$C$1000, "*Kiện*") &amp; " " &amp; AA669,
       AA669)
)</f>
        <v/>
      </c>
      <c r="F669" s="206"/>
      <c r="G669" s="206"/>
      <c r="H669" s="206"/>
      <c r="I669" s="206"/>
      <c r="J669" s="206" t="str">
        <f t="shared" si="151"/>
        <v/>
      </c>
      <c r="K669" s="206" t="str">
        <f t="shared" si="153"/>
        <v/>
      </c>
      <c r="L669" s="206" t="str">
        <f t="shared" si="154"/>
        <v/>
      </c>
      <c r="M669" s="206" t="str">
        <f t="shared" si="155"/>
        <v/>
      </c>
      <c r="N669" s="206" t="str">
        <f t="shared" si="156"/>
        <v/>
      </c>
      <c r="O669" s="206" t="str">
        <f t="shared" si="157"/>
        <v/>
      </c>
      <c r="P669" s="84" t="str">
        <f t="shared" si="158"/>
        <v/>
      </c>
      <c r="Q669" s="205"/>
      <c r="R669" s="70" t="str">
        <f>IF(S669="IN",'BOM_Phan II'!$Y$3,"")</f>
        <v/>
      </c>
      <c r="S669" s="69" t="str">
        <f t="shared" si="150"/>
        <v/>
      </c>
      <c r="T669">
        <f t="shared" si="159"/>
        <v>3</v>
      </c>
      <c r="U669" t="str">
        <f t="shared" si="147"/>
        <v>KIỆN 14</v>
      </c>
      <c r="V669" t="str">
        <f t="shared" si="160"/>
        <v/>
      </c>
      <c r="W669" s="266"/>
      <c r="X669" s="266"/>
      <c r="Y669" s="266" t="str">
        <f t="shared" si="152"/>
        <v/>
      </c>
      <c r="Z669" s="266"/>
    </row>
    <row r="670" spans="1:26" ht="27" hidden="1" customHeight="1">
      <c r="A670" s="70" t="str">
        <f t="shared" si="148"/>
        <v/>
      </c>
      <c r="B670" s="70" t="str">
        <f t="shared" si="149"/>
        <v/>
      </c>
      <c r="C670" s="204" t="str" cm="1">
        <f t="array" ref="C670">IF(D670="","",
    IF(AND(ISNUMBER(D670), D670=INT(D670)),
        $V$6 &amp; " " &amp; (IFERROR(MAX($Y$12:$Y669), 0) + 1),
        IF(ISNUMBER(SEARCH(".", D670)), "", INDEX($C$12:$C670, MATCH(2, 1/($C$12:$C670 &lt;&gt; ""))))
    )
)</f>
        <v/>
      </c>
      <c r="D670" s="206"/>
      <c r="E670" s="206" t="str">
        <f>IF(AA670 = "", "",
    IF(ISNUMBER(SEARCH("Kiện", C670)),
       " GÓI " &amp; COUNTIF($C$13:C670, "*Kiện*") &amp; "/" &amp; COUNTIF($C$13:$C$1000, "*Kiện*") &amp; " " &amp; AA670,
       AA670)
)</f>
        <v/>
      </c>
      <c r="F670" s="206"/>
      <c r="G670" s="206"/>
      <c r="H670" s="206"/>
      <c r="I670" s="206"/>
      <c r="J670" s="206" t="str">
        <f t="shared" si="151"/>
        <v/>
      </c>
      <c r="K670" s="206" t="str">
        <f t="shared" si="153"/>
        <v/>
      </c>
      <c r="L670" s="206" t="str">
        <f t="shared" si="154"/>
        <v/>
      </c>
      <c r="M670" s="206" t="str">
        <f t="shared" si="155"/>
        <v/>
      </c>
      <c r="N670" s="206" t="str">
        <f t="shared" si="156"/>
        <v/>
      </c>
      <c r="O670" s="206" t="str">
        <f t="shared" si="157"/>
        <v/>
      </c>
      <c r="P670" s="84" t="str">
        <f t="shared" si="158"/>
        <v/>
      </c>
      <c r="Q670" s="205"/>
      <c r="R670" s="70" t="str">
        <f>IF(S670="IN",'BOM_Phan II'!$Y$3,"")</f>
        <v/>
      </c>
      <c r="S670" s="69" t="str">
        <f t="shared" si="150"/>
        <v/>
      </c>
      <c r="T670">
        <f t="shared" si="159"/>
        <v>3</v>
      </c>
      <c r="U670" t="str">
        <f t="shared" si="147"/>
        <v>KIỆN 14</v>
      </c>
      <c r="V670" t="str">
        <f t="shared" si="160"/>
        <v/>
      </c>
      <c r="W670" s="266"/>
      <c r="X670" s="266"/>
      <c r="Y670" s="266" t="str">
        <f t="shared" si="152"/>
        <v/>
      </c>
      <c r="Z670" s="266"/>
    </row>
    <row r="671" spans="1:26" ht="27" hidden="1" customHeight="1">
      <c r="A671" s="70" t="str">
        <f t="shared" si="148"/>
        <v/>
      </c>
      <c r="B671" s="70" t="str">
        <f t="shared" si="149"/>
        <v/>
      </c>
      <c r="C671" s="204" t="str" cm="1">
        <f t="array" ref="C671">IF(D671="","",
    IF(AND(ISNUMBER(D671), D671=INT(D671)),
        $V$6 &amp; " " &amp; (IFERROR(MAX($Y$12:$Y670), 0) + 1),
        IF(ISNUMBER(SEARCH(".", D671)), "", INDEX($C$12:$C671, MATCH(2, 1/($C$12:$C671 &lt;&gt; ""))))
    )
)</f>
        <v/>
      </c>
      <c r="D671" s="206"/>
      <c r="E671" s="206" t="str">
        <f>IF(AA671 = "", "",
    IF(ISNUMBER(SEARCH("Kiện", C671)),
       " GÓI " &amp; COUNTIF($C$13:C671, "*Kiện*") &amp; "/" &amp; COUNTIF($C$13:$C$1000, "*Kiện*") &amp; " " &amp; AA671,
       AA671)
)</f>
        <v/>
      </c>
      <c r="F671" s="206"/>
      <c r="G671" s="206"/>
      <c r="H671" s="206"/>
      <c r="I671" s="206"/>
      <c r="J671" s="206" t="str">
        <f t="shared" si="151"/>
        <v/>
      </c>
      <c r="K671" s="206" t="str">
        <f t="shared" si="153"/>
        <v/>
      </c>
      <c r="L671" s="206" t="str">
        <f t="shared" si="154"/>
        <v/>
      </c>
      <c r="M671" s="206" t="str">
        <f t="shared" si="155"/>
        <v/>
      </c>
      <c r="N671" s="206" t="str">
        <f t="shared" si="156"/>
        <v/>
      </c>
      <c r="O671" s="206" t="str">
        <f t="shared" si="157"/>
        <v/>
      </c>
      <c r="P671" s="84" t="str">
        <f t="shared" si="158"/>
        <v/>
      </c>
      <c r="Q671" s="205"/>
      <c r="R671" s="70" t="str">
        <f>IF(S671="IN",'BOM_Phan II'!$Y$3,"")</f>
        <v/>
      </c>
      <c r="S671" s="69" t="str">
        <f t="shared" si="150"/>
        <v/>
      </c>
      <c r="T671">
        <f t="shared" si="159"/>
        <v>3</v>
      </c>
      <c r="U671" t="str">
        <f t="shared" si="147"/>
        <v>KIỆN 14</v>
      </c>
      <c r="V671" t="str">
        <f t="shared" si="160"/>
        <v/>
      </c>
      <c r="W671" s="266"/>
      <c r="X671" s="266"/>
      <c r="Y671" s="266" t="str">
        <f t="shared" si="152"/>
        <v/>
      </c>
      <c r="Z671" s="266"/>
    </row>
    <row r="672" spans="1:26" ht="27" hidden="1" customHeight="1">
      <c r="A672" s="70" t="str">
        <f t="shared" si="148"/>
        <v/>
      </c>
      <c r="B672" s="70" t="str">
        <f t="shared" si="149"/>
        <v/>
      </c>
      <c r="C672" s="204" t="str" cm="1">
        <f t="array" ref="C672">IF(D672="","",
    IF(AND(ISNUMBER(D672), D672=INT(D672)),
        $V$6 &amp; " " &amp; (IFERROR(MAX($Y$12:$Y671), 0) + 1),
        IF(ISNUMBER(SEARCH(".", D672)), "", INDEX($C$12:$C672, MATCH(2, 1/($C$12:$C672 &lt;&gt; ""))))
    )
)</f>
        <v/>
      </c>
      <c r="D672" s="206"/>
      <c r="E672" s="206" t="str">
        <f>IF(AA672 = "", "",
    IF(ISNUMBER(SEARCH("Kiện", C672)),
       " GÓI " &amp; COUNTIF($C$13:C672, "*Kiện*") &amp; "/" &amp; COUNTIF($C$13:$C$1000, "*Kiện*") &amp; " " &amp; AA672,
       AA672)
)</f>
        <v/>
      </c>
      <c r="F672" s="206"/>
      <c r="G672" s="206"/>
      <c r="H672" s="206"/>
      <c r="I672" s="206"/>
      <c r="J672" s="206" t="str">
        <f t="shared" si="151"/>
        <v/>
      </c>
      <c r="K672" s="206" t="str">
        <f t="shared" si="153"/>
        <v/>
      </c>
      <c r="L672" s="206" t="str">
        <f t="shared" si="154"/>
        <v/>
      </c>
      <c r="M672" s="206" t="str">
        <f t="shared" si="155"/>
        <v/>
      </c>
      <c r="N672" s="206" t="str">
        <f t="shared" si="156"/>
        <v/>
      </c>
      <c r="O672" s="206" t="str">
        <f t="shared" si="157"/>
        <v/>
      </c>
      <c r="P672" s="84" t="str">
        <f t="shared" si="158"/>
        <v/>
      </c>
      <c r="Q672" s="205"/>
      <c r="R672" s="70" t="str">
        <f>IF(S672="IN",'BOM_Phan II'!$Y$3,"")</f>
        <v/>
      </c>
      <c r="S672" s="69" t="str">
        <f t="shared" si="150"/>
        <v/>
      </c>
      <c r="T672">
        <f t="shared" si="159"/>
        <v>3</v>
      </c>
      <c r="U672" t="str">
        <f t="shared" si="147"/>
        <v>KIỆN 14</v>
      </c>
      <c r="V672" t="str">
        <f t="shared" si="160"/>
        <v/>
      </c>
      <c r="W672" s="266"/>
      <c r="X672" s="266"/>
      <c r="Y672" s="266" t="str">
        <f t="shared" si="152"/>
        <v/>
      </c>
      <c r="Z672" s="266"/>
    </row>
    <row r="673" spans="1:26" ht="27" hidden="1" customHeight="1">
      <c r="A673" s="70" t="str">
        <f t="shared" si="148"/>
        <v/>
      </c>
      <c r="B673" s="70" t="str">
        <f t="shared" si="149"/>
        <v/>
      </c>
      <c r="C673" s="204" t="str" cm="1">
        <f t="array" ref="C673">IF(D673="","",
    IF(AND(ISNUMBER(D673), D673=INT(D673)),
        $V$6 &amp; " " &amp; (IFERROR(MAX($Y$12:$Y672), 0) + 1),
        IF(ISNUMBER(SEARCH(".", D673)), "", INDEX($C$12:$C673, MATCH(2, 1/($C$12:$C673 &lt;&gt; ""))))
    )
)</f>
        <v/>
      </c>
      <c r="D673" s="206"/>
      <c r="E673" s="206" t="str">
        <f>IF(AA673 = "", "",
    IF(ISNUMBER(SEARCH("Kiện", C673)),
       " GÓI " &amp; COUNTIF($C$13:C673, "*Kiện*") &amp; "/" &amp; COUNTIF($C$13:$C$1000, "*Kiện*") &amp; " " &amp; AA673,
       AA673)
)</f>
        <v/>
      </c>
      <c r="F673" s="206"/>
      <c r="G673" s="206"/>
      <c r="H673" s="206"/>
      <c r="I673" s="206"/>
      <c r="J673" s="206" t="str">
        <f t="shared" si="151"/>
        <v/>
      </c>
      <c r="K673" s="206" t="str">
        <f t="shared" si="153"/>
        <v/>
      </c>
      <c r="L673" s="206" t="str">
        <f t="shared" si="154"/>
        <v/>
      </c>
      <c r="M673" s="206" t="str">
        <f t="shared" si="155"/>
        <v/>
      </c>
      <c r="N673" s="206" t="str">
        <f t="shared" si="156"/>
        <v/>
      </c>
      <c r="O673" s="206" t="str">
        <f t="shared" si="157"/>
        <v/>
      </c>
      <c r="P673" s="84" t="str">
        <f t="shared" si="158"/>
        <v/>
      </c>
      <c r="Q673" s="205"/>
      <c r="R673" s="70" t="str">
        <f>IF(S673="IN",'BOM_Phan II'!$Y$3,"")</f>
        <v/>
      </c>
      <c r="S673" s="69" t="str">
        <f t="shared" si="150"/>
        <v/>
      </c>
      <c r="T673">
        <f t="shared" si="159"/>
        <v>3</v>
      </c>
      <c r="U673" t="str">
        <f t="shared" si="147"/>
        <v>KIỆN 14</v>
      </c>
      <c r="V673" t="str">
        <f t="shared" si="160"/>
        <v/>
      </c>
      <c r="W673" s="266"/>
      <c r="X673" s="266"/>
      <c r="Y673" s="266" t="str">
        <f t="shared" si="152"/>
        <v/>
      </c>
      <c r="Z673" s="266"/>
    </row>
    <row r="674" spans="1:26" ht="27" hidden="1" customHeight="1">
      <c r="A674" s="70" t="str">
        <f t="shared" si="148"/>
        <v/>
      </c>
      <c r="B674" s="70" t="str">
        <f t="shared" si="149"/>
        <v/>
      </c>
      <c r="C674" s="204" t="str" cm="1">
        <f t="array" ref="C674">IF(D674="","",
    IF(AND(ISNUMBER(D674), D674=INT(D674)),
        $V$6 &amp; " " &amp; (IFERROR(MAX($Y$12:$Y673), 0) + 1),
        IF(ISNUMBER(SEARCH(".", D674)), "", INDEX($C$12:$C674, MATCH(2, 1/($C$12:$C674 &lt;&gt; ""))))
    )
)</f>
        <v/>
      </c>
      <c r="D674" s="206"/>
      <c r="E674" s="206" t="str">
        <f>IF(AA674 = "", "",
    IF(ISNUMBER(SEARCH("Kiện", C674)),
       " GÓI " &amp; COUNTIF($C$13:C674, "*Kiện*") &amp; "/" &amp; COUNTIF($C$13:$C$1000, "*Kiện*") &amp; " " &amp; AA674,
       AA674)
)</f>
        <v/>
      </c>
      <c r="F674" s="206"/>
      <c r="G674" s="206"/>
      <c r="H674" s="206"/>
      <c r="I674" s="206"/>
      <c r="J674" s="206" t="str">
        <f t="shared" si="151"/>
        <v/>
      </c>
      <c r="K674" s="206" t="str">
        <f t="shared" si="153"/>
        <v/>
      </c>
      <c r="L674" s="206" t="str">
        <f t="shared" si="154"/>
        <v/>
      </c>
      <c r="M674" s="206" t="str">
        <f t="shared" si="155"/>
        <v/>
      </c>
      <c r="N674" s="206" t="str">
        <f t="shared" si="156"/>
        <v/>
      </c>
      <c r="O674" s="206" t="str">
        <f t="shared" si="157"/>
        <v/>
      </c>
      <c r="P674" s="84" t="str">
        <f t="shared" si="158"/>
        <v/>
      </c>
      <c r="Q674" s="205"/>
      <c r="R674" s="70" t="str">
        <f>IF(S674="IN",'BOM_Phan II'!$Y$3,"")</f>
        <v/>
      </c>
      <c r="S674" s="69" t="str">
        <f t="shared" si="150"/>
        <v/>
      </c>
      <c r="T674">
        <f t="shared" si="159"/>
        <v>3</v>
      </c>
      <c r="U674" t="str">
        <f>IF(C674="",U559,C674)</f>
        <v>KIỆN 14</v>
      </c>
      <c r="V674" t="str">
        <f t="shared" si="160"/>
        <v/>
      </c>
      <c r="W674" s="266"/>
      <c r="X674" s="266"/>
      <c r="Y674" s="266" t="str">
        <f t="shared" si="152"/>
        <v/>
      </c>
      <c r="Z674" s="266"/>
    </row>
    <row r="675" spans="1:26" ht="27" hidden="1" customHeight="1">
      <c r="A675" s="70" t="str">
        <f t="shared" si="148"/>
        <v/>
      </c>
      <c r="B675" s="70" t="str">
        <f t="shared" si="149"/>
        <v/>
      </c>
      <c r="C675" s="204" t="str" cm="1">
        <f t="array" ref="C675">IF(D675="","",
    IF(AND(ISNUMBER(D675), D675=INT(D675)),
        $V$6 &amp; " " &amp; (IFERROR(MAX($Y$12:$Y674), 0) + 1),
        IF(ISNUMBER(SEARCH(".", D675)), "", INDEX($C$12:$C675, MATCH(2, 1/($C$12:$C675 &lt;&gt; ""))))
    )
)</f>
        <v/>
      </c>
      <c r="D675" s="206"/>
      <c r="E675" s="206" t="str">
        <f>IF(AA675 = "", "",
    IF(ISNUMBER(SEARCH("Kiện", C675)),
       " GÓI " &amp; COUNTIF($C$13:C675, "*Kiện*") &amp; "/" &amp; COUNTIF($C$13:$C$1000, "*Kiện*") &amp; " " &amp; AA675,
       AA675)
)</f>
        <v/>
      </c>
      <c r="F675" s="206"/>
      <c r="G675" s="206"/>
      <c r="H675" s="206"/>
      <c r="I675" s="206"/>
      <c r="J675" s="206" t="str">
        <f t="shared" si="151"/>
        <v/>
      </c>
      <c r="K675" s="206" t="str">
        <f t="shared" si="153"/>
        <v/>
      </c>
      <c r="L675" s="206" t="str">
        <f t="shared" si="154"/>
        <v/>
      </c>
      <c r="M675" s="206" t="str">
        <f t="shared" si="155"/>
        <v/>
      </c>
      <c r="N675" s="206" t="str">
        <f t="shared" si="156"/>
        <v/>
      </c>
      <c r="O675" s="206" t="str">
        <f t="shared" si="157"/>
        <v/>
      </c>
      <c r="P675" s="84" t="str">
        <f t="shared" si="158"/>
        <v/>
      </c>
      <c r="Q675" s="205"/>
      <c r="R675" s="70" t="str">
        <f>IF(S675="IN",'BOM_Phan II'!$Y$3,"")</f>
        <v/>
      </c>
      <c r="S675" s="69" t="str">
        <f t="shared" si="150"/>
        <v/>
      </c>
      <c r="T675">
        <f t="shared" si="159"/>
        <v>3</v>
      </c>
      <c r="U675" t="str">
        <f t="shared" ref="U675:U705" si="161">IF(C675="",U674,C675)</f>
        <v>KIỆN 14</v>
      </c>
      <c r="V675" t="str">
        <f t="shared" si="160"/>
        <v/>
      </c>
      <c r="W675" s="266"/>
      <c r="X675" s="266"/>
      <c r="Y675" s="266" t="str">
        <f t="shared" si="152"/>
        <v/>
      </c>
      <c r="Z675" s="266"/>
    </row>
    <row r="676" spans="1:26" ht="27" hidden="1" customHeight="1">
      <c r="A676" s="70" t="str">
        <f t="shared" si="148"/>
        <v/>
      </c>
      <c r="B676" s="70" t="str">
        <f t="shared" si="149"/>
        <v/>
      </c>
      <c r="C676" s="204" t="str" cm="1">
        <f t="array" ref="C676">IF(D676="","",
    IF(AND(ISNUMBER(D676), D676=INT(D676)),
        $V$6 &amp; " " &amp; (IFERROR(MAX($Y$12:$Y675), 0) + 1),
        IF(ISNUMBER(SEARCH(".", D676)), "", INDEX($C$12:$C676, MATCH(2, 1/($C$12:$C676 &lt;&gt; ""))))
    )
)</f>
        <v/>
      </c>
      <c r="D676" s="206"/>
      <c r="E676" s="206" t="str">
        <f>IF(AA676 = "", "",
    IF(ISNUMBER(SEARCH("Kiện", C676)),
       " GÓI " &amp; COUNTIF($C$13:C676, "*Kiện*") &amp; "/" &amp; COUNTIF($C$13:$C$1000, "*Kiện*") &amp; " " &amp; AA676,
       AA676)
)</f>
        <v/>
      </c>
      <c r="F676" s="206"/>
      <c r="G676" s="206"/>
      <c r="H676" s="206"/>
      <c r="I676" s="206"/>
      <c r="J676" s="206" t="str">
        <f t="shared" si="151"/>
        <v/>
      </c>
      <c r="K676" s="206" t="str">
        <f t="shared" si="153"/>
        <v/>
      </c>
      <c r="L676" s="206" t="str">
        <f t="shared" si="154"/>
        <v/>
      </c>
      <c r="M676" s="206" t="str">
        <f t="shared" si="155"/>
        <v/>
      </c>
      <c r="N676" s="206" t="str">
        <f t="shared" si="156"/>
        <v/>
      </c>
      <c r="O676" s="206" t="str">
        <f t="shared" si="157"/>
        <v/>
      </c>
      <c r="P676" s="84" t="str">
        <f t="shared" si="158"/>
        <v/>
      </c>
      <c r="Q676" s="205"/>
      <c r="R676" s="70" t="str">
        <f>IF(S676="IN",'BOM_Phan II'!$Y$3,"")</f>
        <v/>
      </c>
      <c r="S676" s="69" t="str">
        <f t="shared" si="150"/>
        <v/>
      </c>
      <c r="T676">
        <f t="shared" si="159"/>
        <v>3</v>
      </c>
      <c r="U676" t="str">
        <f t="shared" si="161"/>
        <v>KIỆN 14</v>
      </c>
      <c r="V676" t="str">
        <f t="shared" si="160"/>
        <v/>
      </c>
      <c r="W676" s="266"/>
      <c r="X676" s="266"/>
      <c r="Y676" s="266" t="str">
        <f t="shared" si="152"/>
        <v/>
      </c>
      <c r="Z676" s="266"/>
    </row>
    <row r="677" spans="1:26" ht="27" hidden="1" customHeight="1">
      <c r="A677" s="70" t="str">
        <f t="shared" si="148"/>
        <v/>
      </c>
      <c r="B677" s="70" t="str">
        <f t="shared" si="149"/>
        <v/>
      </c>
      <c r="C677" s="204" t="str" cm="1">
        <f t="array" ref="C677">IF(D677="","",
    IF(AND(ISNUMBER(D677), D677=INT(D677)),
        $V$6 &amp; " " &amp; (IFERROR(MAX($Y$12:$Y676), 0) + 1),
        IF(ISNUMBER(SEARCH(".", D677)), "", INDEX($C$12:$C677, MATCH(2, 1/($C$12:$C677 &lt;&gt; ""))))
    )
)</f>
        <v/>
      </c>
      <c r="D677" s="206"/>
      <c r="E677" s="206" t="str">
        <f>IF(AA677 = "", "",
    IF(ISNUMBER(SEARCH("Kiện", C677)),
       " GÓI " &amp; COUNTIF($C$13:C677, "*Kiện*") &amp; "/" &amp; COUNTIF($C$13:$C$1000, "*Kiện*") &amp; " " &amp; AA677,
       AA677)
)</f>
        <v/>
      </c>
      <c r="F677" s="206"/>
      <c r="G677" s="206"/>
      <c r="H677" s="206"/>
      <c r="I677" s="206"/>
      <c r="J677" s="206" t="str">
        <f t="shared" si="151"/>
        <v/>
      </c>
      <c r="K677" s="206" t="str">
        <f t="shared" si="153"/>
        <v/>
      </c>
      <c r="L677" s="206" t="str">
        <f t="shared" si="154"/>
        <v/>
      </c>
      <c r="M677" s="206" t="str">
        <f t="shared" si="155"/>
        <v/>
      </c>
      <c r="N677" s="206" t="str">
        <f t="shared" si="156"/>
        <v/>
      </c>
      <c r="O677" s="206" t="str">
        <f t="shared" si="157"/>
        <v/>
      </c>
      <c r="P677" s="84" t="str">
        <f t="shared" si="158"/>
        <v/>
      </c>
      <c r="Q677" s="205"/>
      <c r="R677" s="70" t="str">
        <f>IF(S677="IN",'BOM_Phan II'!$Y$3,"")</f>
        <v/>
      </c>
      <c r="S677" s="69" t="str">
        <f t="shared" si="150"/>
        <v/>
      </c>
      <c r="T677">
        <f t="shared" si="159"/>
        <v>3</v>
      </c>
      <c r="U677" t="str">
        <f t="shared" si="161"/>
        <v>KIỆN 14</v>
      </c>
      <c r="V677" t="str">
        <f t="shared" si="160"/>
        <v/>
      </c>
      <c r="W677" s="266"/>
      <c r="X677" s="266"/>
      <c r="Y677" s="266" t="str">
        <f t="shared" si="152"/>
        <v/>
      </c>
      <c r="Z677" s="266"/>
    </row>
    <row r="678" spans="1:26" ht="27" hidden="1" customHeight="1">
      <c r="A678" s="70" t="str">
        <f t="shared" si="148"/>
        <v/>
      </c>
      <c r="B678" s="70" t="str">
        <f t="shared" si="149"/>
        <v/>
      </c>
      <c r="C678" s="204" t="str" cm="1">
        <f t="array" ref="C678">IF(D678="","",
    IF(AND(ISNUMBER(D678), D678=INT(D678)),
        $V$6 &amp; " " &amp; (IFERROR(MAX($Y$12:$Y677), 0) + 1),
        IF(ISNUMBER(SEARCH(".", D678)), "", INDEX($C$12:$C678, MATCH(2, 1/($C$12:$C678 &lt;&gt; ""))))
    )
)</f>
        <v/>
      </c>
      <c r="D678" s="206"/>
      <c r="E678" s="206" t="str">
        <f>IF(AA678 = "", "",
    IF(ISNUMBER(SEARCH("Kiện", C678)),
       " GÓI " &amp; COUNTIF($C$13:C678, "*Kiện*") &amp; "/" &amp; COUNTIF($C$13:$C$1000, "*Kiện*") &amp; " " &amp; AA678,
       AA678)
)</f>
        <v/>
      </c>
      <c r="F678" s="206"/>
      <c r="G678" s="206"/>
      <c r="H678" s="206"/>
      <c r="I678" s="206"/>
      <c r="J678" s="206" t="str">
        <f t="shared" si="151"/>
        <v/>
      </c>
      <c r="K678" s="206" t="str">
        <f t="shared" si="153"/>
        <v/>
      </c>
      <c r="L678" s="206" t="str">
        <f t="shared" si="154"/>
        <v/>
      </c>
      <c r="M678" s="206" t="str">
        <f t="shared" si="155"/>
        <v/>
      </c>
      <c r="N678" s="206" t="str">
        <f t="shared" si="156"/>
        <v/>
      </c>
      <c r="O678" s="206" t="str">
        <f t="shared" si="157"/>
        <v/>
      </c>
      <c r="P678" s="84" t="str">
        <f t="shared" si="158"/>
        <v/>
      </c>
      <c r="Q678" s="205"/>
      <c r="R678" s="70" t="str">
        <f>IF(S678="IN",'BOM_Phan II'!$Y$3,"")</f>
        <v/>
      </c>
      <c r="S678" s="69" t="str">
        <f t="shared" si="150"/>
        <v/>
      </c>
      <c r="T678">
        <f t="shared" si="159"/>
        <v>3</v>
      </c>
      <c r="U678" t="str">
        <f t="shared" si="161"/>
        <v>KIỆN 14</v>
      </c>
      <c r="V678" t="str">
        <f t="shared" si="160"/>
        <v/>
      </c>
      <c r="W678" s="266"/>
      <c r="X678" s="266"/>
      <c r="Y678" s="266" t="str">
        <f t="shared" si="152"/>
        <v/>
      </c>
      <c r="Z678" s="266"/>
    </row>
    <row r="679" spans="1:26" ht="27" hidden="1" customHeight="1">
      <c r="A679" s="70" t="str">
        <f t="shared" si="148"/>
        <v/>
      </c>
      <c r="B679" s="70" t="str">
        <f t="shared" si="149"/>
        <v/>
      </c>
      <c r="C679" s="204" t="str" cm="1">
        <f t="array" ref="C679">IF(D679="","",
    IF(AND(ISNUMBER(D679), D679=INT(D679)),
        $V$6 &amp; " " &amp; (IFERROR(MAX($Y$12:$Y678), 0) + 1),
        IF(ISNUMBER(SEARCH(".", D679)), "", INDEX($C$12:$C679, MATCH(2, 1/($C$12:$C679 &lt;&gt; ""))))
    )
)</f>
        <v/>
      </c>
      <c r="D679" s="206"/>
      <c r="E679" s="206" t="str">
        <f>IF(AA679 = "", "",
    IF(ISNUMBER(SEARCH("Kiện", C679)),
       " GÓI " &amp; COUNTIF($C$13:C679, "*Kiện*") &amp; "/" &amp; COUNTIF($C$13:$C$1000, "*Kiện*") &amp; " " &amp; AA679,
       AA679)
)</f>
        <v/>
      </c>
      <c r="F679" s="206"/>
      <c r="G679" s="206"/>
      <c r="H679" s="206"/>
      <c r="I679" s="206"/>
      <c r="J679" s="206" t="str">
        <f t="shared" si="151"/>
        <v/>
      </c>
      <c r="K679" s="206" t="str">
        <f t="shared" si="153"/>
        <v/>
      </c>
      <c r="L679" s="206" t="str">
        <f t="shared" si="154"/>
        <v/>
      </c>
      <c r="M679" s="206" t="str">
        <f t="shared" si="155"/>
        <v/>
      </c>
      <c r="N679" s="206" t="str">
        <f t="shared" si="156"/>
        <v/>
      </c>
      <c r="O679" s="206" t="str">
        <f t="shared" si="157"/>
        <v/>
      </c>
      <c r="P679" s="84" t="str">
        <f t="shared" si="158"/>
        <v/>
      </c>
      <c r="Q679" s="205"/>
      <c r="R679" s="70" t="str">
        <f>IF(S679="IN",'BOM_Phan II'!$Y$3,"")</f>
        <v/>
      </c>
      <c r="S679" s="69" t="str">
        <f t="shared" si="150"/>
        <v/>
      </c>
      <c r="T679">
        <f t="shared" si="159"/>
        <v>3</v>
      </c>
      <c r="U679" t="str">
        <f t="shared" si="161"/>
        <v>KIỆN 14</v>
      </c>
      <c r="V679" t="str">
        <f t="shared" si="160"/>
        <v/>
      </c>
      <c r="W679" s="266"/>
      <c r="X679" s="266"/>
      <c r="Y679" s="266" t="str">
        <f t="shared" si="152"/>
        <v/>
      </c>
      <c r="Z679" s="266"/>
    </row>
    <row r="680" spans="1:26" ht="27" hidden="1" customHeight="1">
      <c r="A680" s="70" t="str">
        <f t="shared" si="148"/>
        <v/>
      </c>
      <c r="B680" s="70" t="str">
        <f t="shared" si="149"/>
        <v/>
      </c>
      <c r="C680" s="204" t="str" cm="1">
        <f t="array" ref="C680">IF(D680="","",
    IF(AND(ISNUMBER(D680), D680=INT(D680)),
        $V$6 &amp; " " &amp; (IFERROR(MAX($Y$12:$Y679), 0) + 1),
        IF(ISNUMBER(SEARCH(".", D680)), "", INDEX($C$12:$C680, MATCH(2, 1/($C$12:$C680 &lt;&gt; ""))))
    )
)</f>
        <v/>
      </c>
      <c r="D680" s="206"/>
      <c r="E680" s="206" t="str">
        <f>IF(AA680 = "", "",
    IF(ISNUMBER(SEARCH("Kiện", C680)),
       " GÓI " &amp; COUNTIF($C$13:C680, "*Kiện*") &amp; "/" &amp; COUNTIF($C$13:$C$1000, "*Kiện*") &amp; " " &amp; AA680,
       AA680)
)</f>
        <v/>
      </c>
      <c r="F680" s="206"/>
      <c r="G680" s="206"/>
      <c r="H680" s="206"/>
      <c r="I680" s="206"/>
      <c r="J680" s="206" t="str">
        <f t="shared" si="151"/>
        <v/>
      </c>
      <c r="K680" s="206" t="str">
        <f t="shared" si="153"/>
        <v/>
      </c>
      <c r="L680" s="206" t="str">
        <f t="shared" si="154"/>
        <v/>
      </c>
      <c r="M680" s="206" t="str">
        <f t="shared" si="155"/>
        <v/>
      </c>
      <c r="N680" s="206" t="str">
        <f t="shared" si="156"/>
        <v/>
      </c>
      <c r="O680" s="206" t="str">
        <f t="shared" si="157"/>
        <v/>
      </c>
      <c r="P680" s="84" t="str">
        <f t="shared" si="158"/>
        <v/>
      </c>
      <c r="Q680" s="205"/>
      <c r="R680" s="70" t="str">
        <f>IF(S680="IN",'BOM_Phan II'!$Y$3,"")</f>
        <v/>
      </c>
      <c r="S680" s="69" t="str">
        <f t="shared" si="150"/>
        <v/>
      </c>
      <c r="T680">
        <f t="shared" si="159"/>
        <v>3</v>
      </c>
      <c r="U680" t="str">
        <f t="shared" si="161"/>
        <v>KIỆN 14</v>
      </c>
      <c r="V680" t="str">
        <f t="shared" si="160"/>
        <v/>
      </c>
      <c r="W680" s="266"/>
      <c r="X680" s="266"/>
      <c r="Y680" s="266" t="str">
        <f t="shared" si="152"/>
        <v/>
      </c>
      <c r="Z680" s="266"/>
    </row>
    <row r="681" spans="1:26" ht="27" hidden="1" customHeight="1">
      <c r="A681" s="70" t="str">
        <f t="shared" si="148"/>
        <v/>
      </c>
      <c r="B681" s="70" t="str">
        <f t="shared" si="149"/>
        <v/>
      </c>
      <c r="C681" s="204" t="str" cm="1">
        <f t="array" ref="C681">IF(D681="","",
    IF(AND(ISNUMBER(D681), D681=INT(D681)),
        $V$6 &amp; " " &amp; (IFERROR(MAX($Y$12:$Y680), 0) + 1),
        IF(ISNUMBER(SEARCH(".", D681)), "", INDEX($C$12:$C681, MATCH(2, 1/($C$12:$C681 &lt;&gt; ""))))
    )
)</f>
        <v/>
      </c>
      <c r="D681" s="206"/>
      <c r="E681" s="206" t="str">
        <f>IF(AA681 = "", "",
    IF(ISNUMBER(SEARCH("Kiện", C681)),
       " GÓI " &amp; COUNTIF($C$13:C681, "*Kiện*") &amp; "/" &amp; COUNTIF($C$13:$C$1000, "*Kiện*") &amp; " " &amp; AA681,
       AA681)
)</f>
        <v/>
      </c>
      <c r="F681" s="206"/>
      <c r="G681" s="206"/>
      <c r="H681" s="206"/>
      <c r="I681" s="206"/>
      <c r="J681" s="206" t="str">
        <f t="shared" si="151"/>
        <v/>
      </c>
      <c r="K681" s="206" t="str">
        <f t="shared" si="153"/>
        <v/>
      </c>
      <c r="L681" s="206" t="str">
        <f t="shared" si="154"/>
        <v/>
      </c>
      <c r="M681" s="206" t="str">
        <f t="shared" si="155"/>
        <v/>
      </c>
      <c r="N681" s="206" t="str">
        <f t="shared" si="156"/>
        <v/>
      </c>
      <c r="O681" s="206" t="str">
        <f t="shared" si="157"/>
        <v/>
      </c>
      <c r="P681" s="84" t="str">
        <f t="shared" si="158"/>
        <v/>
      </c>
      <c r="Q681" s="205"/>
      <c r="R681" s="70" t="str">
        <f>IF(S681="IN",'BOM_Phan II'!$Y$3,"")</f>
        <v/>
      </c>
      <c r="S681" s="69" t="str">
        <f t="shared" si="150"/>
        <v/>
      </c>
      <c r="T681">
        <f t="shared" si="159"/>
        <v>3</v>
      </c>
      <c r="U681" t="str">
        <f t="shared" si="161"/>
        <v>KIỆN 14</v>
      </c>
      <c r="V681" t="str">
        <f t="shared" si="160"/>
        <v/>
      </c>
      <c r="W681" s="266"/>
      <c r="X681" s="266"/>
      <c r="Y681" s="266" t="str">
        <f t="shared" si="152"/>
        <v/>
      </c>
      <c r="Z681" s="266"/>
    </row>
    <row r="682" spans="1:26" ht="27" hidden="1" customHeight="1">
      <c r="A682" s="70" t="str">
        <f t="shared" si="148"/>
        <v/>
      </c>
      <c r="B682" s="70" t="str">
        <f t="shared" si="149"/>
        <v/>
      </c>
      <c r="C682" s="204" t="str" cm="1">
        <f t="array" ref="C682">IF(D682="","",
    IF(AND(ISNUMBER(D682), D682=INT(D682)),
        $V$6 &amp; " " &amp; (IFERROR(MAX($Y$12:$Y681), 0) + 1),
        IF(ISNUMBER(SEARCH(".", D682)), "", INDEX($C$12:$C682, MATCH(2, 1/($C$12:$C682 &lt;&gt; ""))))
    )
)</f>
        <v/>
      </c>
      <c r="D682" s="206"/>
      <c r="E682" s="206" t="str">
        <f>IF(AA682 = "", "",
    IF(ISNUMBER(SEARCH("Kiện", C682)),
       " GÓI " &amp; COUNTIF($C$13:C682, "*Kiện*") &amp; "/" &amp; COUNTIF($C$13:$C$1000, "*Kiện*") &amp; " " &amp; AA682,
       AA682)
)</f>
        <v/>
      </c>
      <c r="F682" s="206"/>
      <c r="G682" s="206"/>
      <c r="H682" s="206"/>
      <c r="I682" s="206"/>
      <c r="J682" s="206" t="str">
        <f t="shared" si="151"/>
        <v/>
      </c>
      <c r="K682" s="206" t="str">
        <f t="shared" si="153"/>
        <v/>
      </c>
      <c r="L682" s="206" t="str">
        <f t="shared" si="154"/>
        <v/>
      </c>
      <c r="M682" s="206" t="str">
        <f t="shared" si="155"/>
        <v/>
      </c>
      <c r="N682" s="206" t="str">
        <f t="shared" si="156"/>
        <v/>
      </c>
      <c r="O682" s="206" t="str">
        <f t="shared" si="157"/>
        <v/>
      </c>
      <c r="P682" s="84" t="str">
        <f t="shared" si="158"/>
        <v/>
      </c>
      <c r="Q682" s="205"/>
      <c r="R682" s="70" t="str">
        <f>IF(S682="IN",'BOM_Phan II'!$Y$3,"")</f>
        <v/>
      </c>
      <c r="S682" s="69" t="str">
        <f t="shared" si="150"/>
        <v/>
      </c>
      <c r="T682">
        <f t="shared" si="159"/>
        <v>3</v>
      </c>
      <c r="U682" t="str">
        <f t="shared" si="161"/>
        <v>KIỆN 14</v>
      </c>
      <c r="V682" t="str">
        <f t="shared" si="160"/>
        <v/>
      </c>
      <c r="W682" s="266"/>
      <c r="X682" s="266"/>
      <c r="Y682" s="266" t="str">
        <f t="shared" si="152"/>
        <v/>
      </c>
      <c r="Z682" s="266"/>
    </row>
    <row r="683" spans="1:26" ht="27" hidden="1" customHeight="1">
      <c r="A683" s="70" t="str">
        <f t="shared" si="148"/>
        <v/>
      </c>
      <c r="B683" s="70" t="str">
        <f t="shared" si="149"/>
        <v/>
      </c>
      <c r="C683" s="204" t="str" cm="1">
        <f t="array" ref="C683">IF(D683="","",
    IF(AND(ISNUMBER(D683), D683=INT(D683)),
        $V$6 &amp; " " &amp; (IFERROR(MAX($Y$12:$Y682), 0) + 1),
        IF(ISNUMBER(SEARCH(".", D683)), "", INDEX($C$12:$C683, MATCH(2, 1/($C$12:$C683 &lt;&gt; ""))))
    )
)</f>
        <v/>
      </c>
      <c r="D683" s="206"/>
      <c r="E683" s="206" t="str">
        <f>IF(AA683 = "", "",
    IF(ISNUMBER(SEARCH("Kiện", C683)),
       " GÓI " &amp; COUNTIF($C$13:C683, "*Kiện*") &amp; "/" &amp; COUNTIF($C$13:$C$1000, "*Kiện*") &amp; " " &amp; AA683,
       AA683)
)</f>
        <v/>
      </c>
      <c r="F683" s="206"/>
      <c r="G683" s="206"/>
      <c r="H683" s="206"/>
      <c r="I683" s="206"/>
      <c r="J683" s="206" t="str">
        <f t="shared" si="151"/>
        <v/>
      </c>
      <c r="K683" s="206" t="str">
        <f t="shared" si="153"/>
        <v/>
      </c>
      <c r="L683" s="206" t="str">
        <f t="shared" si="154"/>
        <v/>
      </c>
      <c r="M683" s="206" t="str">
        <f t="shared" si="155"/>
        <v/>
      </c>
      <c r="N683" s="206" t="str">
        <f t="shared" si="156"/>
        <v/>
      </c>
      <c r="O683" s="206" t="str">
        <f t="shared" si="157"/>
        <v/>
      </c>
      <c r="P683" s="84" t="str">
        <f t="shared" si="158"/>
        <v/>
      </c>
      <c r="Q683" s="205"/>
      <c r="R683" s="70" t="str">
        <f>IF(S683="IN",'BOM_Phan II'!$Y$3,"")</f>
        <v/>
      </c>
      <c r="S683" s="69" t="str">
        <f t="shared" si="150"/>
        <v/>
      </c>
      <c r="T683">
        <f t="shared" si="159"/>
        <v>3</v>
      </c>
      <c r="U683" t="str">
        <f t="shared" si="161"/>
        <v>KIỆN 14</v>
      </c>
      <c r="V683" t="str">
        <f t="shared" si="160"/>
        <v/>
      </c>
      <c r="W683" s="266"/>
      <c r="X683" s="266"/>
      <c r="Y683" s="266" t="str">
        <f t="shared" si="152"/>
        <v/>
      </c>
      <c r="Z683" s="266"/>
    </row>
    <row r="684" spans="1:26" ht="27" hidden="1" customHeight="1">
      <c r="A684" s="70" t="str">
        <f t="shared" si="148"/>
        <v/>
      </c>
      <c r="B684" s="70" t="str">
        <f t="shared" si="149"/>
        <v/>
      </c>
      <c r="C684" s="204" t="str" cm="1">
        <f t="array" ref="C684">IF(D684="","",
    IF(AND(ISNUMBER(D684), D684=INT(D684)),
        $V$6 &amp; " " &amp; (IFERROR(MAX($Y$12:$Y683), 0) + 1),
        IF(ISNUMBER(SEARCH(".", D684)), "", INDEX($C$12:$C684, MATCH(2, 1/($C$12:$C684 &lt;&gt; ""))))
    )
)</f>
        <v/>
      </c>
      <c r="D684" s="206"/>
      <c r="E684" s="206" t="str">
        <f>IF(AA684 = "", "",
    IF(ISNUMBER(SEARCH("Kiện", C684)),
       " GÓI " &amp; COUNTIF($C$13:C684, "*Kiện*") &amp; "/" &amp; COUNTIF($C$13:$C$1000, "*Kiện*") &amp; " " &amp; AA684,
       AA684)
)</f>
        <v/>
      </c>
      <c r="F684" s="206"/>
      <c r="G684" s="206"/>
      <c r="H684" s="206"/>
      <c r="I684" s="206"/>
      <c r="J684" s="206" t="str">
        <f t="shared" si="151"/>
        <v/>
      </c>
      <c r="K684" s="206" t="str">
        <f t="shared" si="153"/>
        <v/>
      </c>
      <c r="L684" s="206" t="str">
        <f t="shared" si="154"/>
        <v/>
      </c>
      <c r="M684" s="206" t="str">
        <f t="shared" si="155"/>
        <v/>
      </c>
      <c r="N684" s="206" t="str">
        <f t="shared" si="156"/>
        <v/>
      </c>
      <c r="O684" s="206" t="str">
        <f t="shared" si="157"/>
        <v/>
      </c>
      <c r="P684" s="84" t="str">
        <f t="shared" si="158"/>
        <v/>
      </c>
      <c r="Q684" s="205"/>
      <c r="R684" s="70" t="str">
        <f>IF(S684="IN",'BOM_Phan II'!$Y$3,"")</f>
        <v/>
      </c>
      <c r="S684" s="69" t="str">
        <f t="shared" si="150"/>
        <v/>
      </c>
      <c r="T684">
        <f t="shared" si="159"/>
        <v>3</v>
      </c>
      <c r="U684" t="str">
        <f t="shared" si="161"/>
        <v>KIỆN 14</v>
      </c>
      <c r="V684" t="str">
        <f t="shared" si="160"/>
        <v/>
      </c>
      <c r="W684" s="266"/>
      <c r="X684" s="266"/>
      <c r="Y684" s="266" t="str">
        <f t="shared" si="152"/>
        <v/>
      </c>
      <c r="Z684" s="266"/>
    </row>
    <row r="685" spans="1:26" ht="27" hidden="1" customHeight="1">
      <c r="A685" s="70" t="str">
        <f t="shared" si="148"/>
        <v/>
      </c>
      <c r="B685" s="70" t="str">
        <f t="shared" si="149"/>
        <v/>
      </c>
      <c r="C685" s="204" t="str" cm="1">
        <f t="array" ref="C685">IF(D685="","",
    IF(AND(ISNUMBER(D685), D685=INT(D685)),
        $V$6 &amp; " " &amp; (IFERROR(MAX($Y$12:$Y684), 0) + 1),
        IF(ISNUMBER(SEARCH(".", D685)), "", INDEX($C$12:$C685, MATCH(2, 1/($C$12:$C685 &lt;&gt; ""))))
    )
)</f>
        <v/>
      </c>
      <c r="D685" s="206"/>
      <c r="E685" s="206" t="str">
        <f>IF(AA685 = "", "",
    IF(ISNUMBER(SEARCH("Kiện", C685)),
       " GÓI " &amp; COUNTIF($C$13:C685, "*Kiện*") &amp; "/" &amp; COUNTIF($C$13:$C$1000, "*Kiện*") &amp; " " &amp; AA685,
       AA685)
)</f>
        <v/>
      </c>
      <c r="F685" s="206"/>
      <c r="G685" s="206"/>
      <c r="H685" s="206"/>
      <c r="I685" s="206"/>
      <c r="J685" s="206" t="str">
        <f t="shared" si="151"/>
        <v/>
      </c>
      <c r="K685" s="206" t="str">
        <f t="shared" si="153"/>
        <v/>
      </c>
      <c r="L685" s="206" t="str">
        <f t="shared" si="154"/>
        <v/>
      </c>
      <c r="M685" s="206" t="str">
        <f t="shared" si="155"/>
        <v/>
      </c>
      <c r="N685" s="206" t="str">
        <f t="shared" si="156"/>
        <v/>
      </c>
      <c r="O685" s="206" t="str">
        <f t="shared" si="157"/>
        <v/>
      </c>
      <c r="P685" s="84" t="str">
        <f t="shared" si="158"/>
        <v/>
      </c>
      <c r="Q685" s="205"/>
      <c r="R685" s="70" t="str">
        <f>IF(S685="IN",'BOM_Phan II'!$Y$3,"")</f>
        <v/>
      </c>
      <c r="S685" s="69" t="str">
        <f t="shared" si="150"/>
        <v/>
      </c>
      <c r="T685">
        <f t="shared" si="159"/>
        <v>3</v>
      </c>
      <c r="U685" t="str">
        <f t="shared" si="161"/>
        <v>KIỆN 14</v>
      </c>
      <c r="V685" t="str">
        <f t="shared" si="160"/>
        <v/>
      </c>
      <c r="W685" s="266"/>
      <c r="X685" s="266"/>
      <c r="Y685" s="266" t="str">
        <f t="shared" si="152"/>
        <v/>
      </c>
      <c r="Z685" s="266"/>
    </row>
    <row r="686" spans="1:26" ht="27" hidden="1" customHeight="1">
      <c r="A686" s="70" t="str">
        <f t="shared" si="148"/>
        <v/>
      </c>
      <c r="B686" s="70" t="str">
        <f t="shared" si="149"/>
        <v/>
      </c>
      <c r="C686" s="204" t="str" cm="1">
        <f t="array" ref="C686">IF(D686="","",
    IF(AND(ISNUMBER(D686), D686=INT(D686)),
        $V$6 &amp; " " &amp; (IFERROR(MAX($Y$12:$Y685), 0) + 1),
        IF(ISNUMBER(SEARCH(".", D686)), "", INDEX($C$12:$C686, MATCH(2, 1/($C$12:$C686 &lt;&gt; ""))))
    )
)</f>
        <v/>
      </c>
      <c r="D686" s="206"/>
      <c r="E686" s="206" t="str">
        <f>IF(AA686 = "", "",
    IF(ISNUMBER(SEARCH("Kiện", C686)),
       " GÓI " &amp; COUNTIF($C$13:C686, "*Kiện*") &amp; "/" &amp; COUNTIF($C$13:$C$1000, "*Kiện*") &amp; " " &amp; AA686,
       AA686)
)</f>
        <v/>
      </c>
      <c r="F686" s="206"/>
      <c r="G686" s="206"/>
      <c r="H686" s="206"/>
      <c r="I686" s="206"/>
      <c r="J686" s="206" t="str">
        <f t="shared" si="151"/>
        <v/>
      </c>
      <c r="K686" s="206" t="str">
        <f t="shared" si="153"/>
        <v/>
      </c>
      <c r="L686" s="206" t="str">
        <f t="shared" si="154"/>
        <v/>
      </c>
      <c r="M686" s="206" t="str">
        <f t="shared" si="155"/>
        <v/>
      </c>
      <c r="N686" s="206" t="str">
        <f t="shared" si="156"/>
        <v/>
      </c>
      <c r="O686" s="206" t="str">
        <f t="shared" si="157"/>
        <v/>
      </c>
      <c r="P686" s="84" t="str">
        <f t="shared" si="158"/>
        <v/>
      </c>
      <c r="Q686" s="205"/>
      <c r="R686" s="70" t="str">
        <f>IF(S686="IN",'BOM_Phan II'!$Y$3,"")</f>
        <v/>
      </c>
      <c r="S686" s="69" t="str">
        <f t="shared" si="150"/>
        <v/>
      </c>
      <c r="T686">
        <f t="shared" si="159"/>
        <v>3</v>
      </c>
      <c r="U686" t="str">
        <f t="shared" si="161"/>
        <v>KIỆN 14</v>
      </c>
      <c r="V686" t="str">
        <f t="shared" si="160"/>
        <v/>
      </c>
      <c r="W686" s="266"/>
      <c r="X686" s="266"/>
      <c r="Y686" s="266" t="str">
        <f t="shared" si="152"/>
        <v/>
      </c>
      <c r="Z686" s="266"/>
    </row>
    <row r="687" spans="1:26" ht="27" hidden="1" customHeight="1">
      <c r="A687" s="70" t="str">
        <f t="shared" si="148"/>
        <v/>
      </c>
      <c r="B687" s="70" t="str">
        <f t="shared" si="149"/>
        <v/>
      </c>
      <c r="C687" s="204" t="str" cm="1">
        <f t="array" ref="C687">IF(D687="","",
    IF(AND(ISNUMBER(D687), D687=INT(D687)),
        $V$6 &amp; " " &amp; (IFERROR(MAX($Y$12:$Y686), 0) + 1),
        IF(ISNUMBER(SEARCH(".", D687)), "", INDEX($C$12:$C687, MATCH(2, 1/($C$12:$C687 &lt;&gt; ""))))
    )
)</f>
        <v/>
      </c>
      <c r="D687" s="206"/>
      <c r="E687" s="206" t="str">
        <f>IF(AA687 = "", "",
    IF(ISNUMBER(SEARCH("Kiện", C687)),
       " GÓI " &amp; COUNTIF($C$13:C687, "*Kiện*") &amp; "/" &amp; COUNTIF($C$13:$C$1000, "*Kiện*") &amp; " " &amp; AA687,
       AA687)
)</f>
        <v/>
      </c>
      <c r="F687" s="206"/>
      <c r="G687" s="206"/>
      <c r="H687" s="206"/>
      <c r="I687" s="206"/>
      <c r="J687" s="206" t="str">
        <f t="shared" si="151"/>
        <v/>
      </c>
      <c r="K687" s="206" t="str">
        <f t="shared" si="153"/>
        <v/>
      </c>
      <c r="L687" s="206" t="str">
        <f t="shared" si="154"/>
        <v/>
      </c>
      <c r="M687" s="206" t="str">
        <f t="shared" si="155"/>
        <v/>
      </c>
      <c r="N687" s="206" t="str">
        <f t="shared" si="156"/>
        <v/>
      </c>
      <c r="O687" s="206" t="str">
        <f t="shared" si="157"/>
        <v/>
      </c>
      <c r="P687" s="84" t="str">
        <f t="shared" si="158"/>
        <v/>
      </c>
      <c r="Q687" s="205"/>
      <c r="R687" s="70" t="str">
        <f>IF(S687="IN",'BOM_Phan II'!$Y$3,"")</f>
        <v/>
      </c>
      <c r="S687" s="69" t="str">
        <f t="shared" si="150"/>
        <v/>
      </c>
      <c r="T687">
        <f t="shared" si="159"/>
        <v>3</v>
      </c>
      <c r="U687" t="str">
        <f t="shared" si="161"/>
        <v>KIỆN 14</v>
      </c>
      <c r="V687" t="str">
        <f t="shared" si="160"/>
        <v/>
      </c>
      <c r="W687" s="266"/>
      <c r="X687" s="266"/>
      <c r="Y687" s="266" t="str">
        <f t="shared" si="152"/>
        <v/>
      </c>
      <c r="Z687" s="266"/>
    </row>
    <row r="688" spans="1:26" ht="27" hidden="1" customHeight="1">
      <c r="A688" s="70" t="str">
        <f t="shared" si="148"/>
        <v/>
      </c>
      <c r="B688" s="70" t="str">
        <f t="shared" si="149"/>
        <v/>
      </c>
      <c r="C688" s="204" t="str" cm="1">
        <f t="array" ref="C688">IF(D688="","",
    IF(AND(ISNUMBER(D688), D688=INT(D688)),
        $V$6 &amp; " " &amp; (IFERROR(MAX($Y$12:$Y687), 0) + 1),
        IF(ISNUMBER(SEARCH(".", D688)), "", INDEX($C$12:$C688, MATCH(2, 1/($C$12:$C688 &lt;&gt; ""))))
    )
)</f>
        <v/>
      </c>
      <c r="D688" s="206"/>
      <c r="E688" s="206" t="str">
        <f>IF(AA688 = "", "",
    IF(ISNUMBER(SEARCH("Kiện", C688)),
       " GÓI " &amp; COUNTIF($C$13:C688, "*Kiện*") &amp; "/" &amp; COUNTIF($C$13:$C$1000, "*Kiện*") &amp; " " &amp; AA688,
       AA688)
)</f>
        <v/>
      </c>
      <c r="F688" s="206"/>
      <c r="G688" s="206"/>
      <c r="H688" s="206"/>
      <c r="I688" s="206"/>
      <c r="J688" s="206" t="str">
        <f t="shared" si="151"/>
        <v/>
      </c>
      <c r="K688" s="206" t="str">
        <f t="shared" si="153"/>
        <v/>
      </c>
      <c r="L688" s="206" t="str">
        <f t="shared" si="154"/>
        <v/>
      </c>
      <c r="M688" s="206" t="str">
        <f t="shared" si="155"/>
        <v/>
      </c>
      <c r="N688" s="206" t="str">
        <f t="shared" si="156"/>
        <v/>
      </c>
      <c r="O688" s="206" t="str">
        <f t="shared" si="157"/>
        <v/>
      </c>
      <c r="P688" s="84" t="str">
        <f t="shared" si="158"/>
        <v/>
      </c>
      <c r="Q688" s="205"/>
      <c r="R688" s="70" t="str">
        <f>IF(S688="IN",'BOM_Phan II'!$Y$3,"")</f>
        <v/>
      </c>
      <c r="S688" s="69" t="str">
        <f t="shared" si="150"/>
        <v/>
      </c>
      <c r="T688">
        <f t="shared" si="159"/>
        <v>3</v>
      </c>
      <c r="U688" t="str">
        <f t="shared" si="161"/>
        <v>KIỆN 14</v>
      </c>
      <c r="V688" t="str">
        <f t="shared" si="160"/>
        <v/>
      </c>
      <c r="W688" s="266"/>
      <c r="X688" s="266"/>
      <c r="Y688" s="266" t="str">
        <f t="shared" si="152"/>
        <v/>
      </c>
      <c r="Z688" s="266"/>
    </row>
    <row r="689" spans="1:26" ht="27" hidden="1" customHeight="1">
      <c r="A689" s="70" t="str">
        <f t="shared" si="148"/>
        <v/>
      </c>
      <c r="B689" s="70" t="str">
        <f t="shared" si="149"/>
        <v/>
      </c>
      <c r="C689" s="204" t="str" cm="1">
        <f t="array" ref="C689">IF(D689="","",
    IF(AND(ISNUMBER(D689), D689=INT(D689)),
        $V$6 &amp; " " &amp; (IFERROR(MAX($Y$12:$Y688), 0) + 1),
        IF(ISNUMBER(SEARCH(".", D689)), "", INDEX($C$12:$C689, MATCH(2, 1/($C$12:$C689 &lt;&gt; ""))))
    )
)</f>
        <v/>
      </c>
      <c r="D689" s="206"/>
      <c r="E689" s="206" t="str">
        <f>IF(AA689 = "", "",
    IF(ISNUMBER(SEARCH("Kiện", C689)),
       " GÓI " &amp; COUNTIF($C$13:C689, "*Kiện*") &amp; "/" &amp; COUNTIF($C$13:$C$1000, "*Kiện*") &amp; " " &amp; AA689,
       AA689)
)</f>
        <v/>
      </c>
      <c r="F689" s="206"/>
      <c r="G689" s="206"/>
      <c r="H689" s="206"/>
      <c r="I689" s="206"/>
      <c r="J689" s="206" t="str">
        <f t="shared" si="151"/>
        <v/>
      </c>
      <c r="K689" s="206" t="str">
        <f t="shared" si="153"/>
        <v/>
      </c>
      <c r="L689" s="206" t="str">
        <f t="shared" si="154"/>
        <v/>
      </c>
      <c r="M689" s="206" t="str">
        <f t="shared" si="155"/>
        <v/>
      </c>
      <c r="N689" s="206" t="str">
        <f t="shared" si="156"/>
        <v/>
      </c>
      <c r="O689" s="206" t="str">
        <f t="shared" si="157"/>
        <v/>
      </c>
      <c r="P689" s="84" t="str">
        <f t="shared" si="158"/>
        <v/>
      </c>
      <c r="Q689" s="205"/>
      <c r="R689" s="70" t="str">
        <f>IF(S689="IN",'BOM_Phan II'!$Y$3,"")</f>
        <v/>
      </c>
      <c r="S689" s="69" t="str">
        <f t="shared" si="150"/>
        <v/>
      </c>
      <c r="T689">
        <f t="shared" si="159"/>
        <v>3</v>
      </c>
      <c r="U689" t="str">
        <f t="shared" si="161"/>
        <v>KIỆN 14</v>
      </c>
      <c r="V689" t="str">
        <f t="shared" si="160"/>
        <v/>
      </c>
      <c r="W689" s="266"/>
      <c r="X689" s="266"/>
      <c r="Y689" s="266" t="str">
        <f t="shared" si="152"/>
        <v/>
      </c>
      <c r="Z689" s="266"/>
    </row>
    <row r="690" spans="1:26" ht="27" hidden="1" customHeight="1">
      <c r="A690" s="70" t="str">
        <f t="shared" si="148"/>
        <v/>
      </c>
      <c r="B690" s="70" t="str">
        <f t="shared" si="149"/>
        <v/>
      </c>
      <c r="C690" s="204" t="str" cm="1">
        <f t="array" ref="C690">IF(D690="","",
    IF(AND(ISNUMBER(D690), D690=INT(D690)),
        $V$6 &amp; " " &amp; (IFERROR(MAX($Y$12:$Y689), 0) + 1),
        IF(ISNUMBER(SEARCH(".", D690)), "", INDEX($C$12:$C690, MATCH(2, 1/($C$12:$C690 &lt;&gt; ""))))
    )
)</f>
        <v/>
      </c>
      <c r="D690" s="206"/>
      <c r="E690" s="206" t="str">
        <f>IF(AA690 = "", "",
    IF(ISNUMBER(SEARCH("Kiện", C690)),
       " GÓI " &amp; COUNTIF($C$13:C690, "*Kiện*") &amp; "/" &amp; COUNTIF($C$13:$C$1000, "*Kiện*") &amp; " " &amp; AA690,
       AA690)
)</f>
        <v/>
      </c>
      <c r="F690" s="206"/>
      <c r="G690" s="206"/>
      <c r="H690" s="206"/>
      <c r="I690" s="206"/>
      <c r="J690" s="206" t="str">
        <f t="shared" si="151"/>
        <v/>
      </c>
      <c r="K690" s="206" t="str">
        <f t="shared" si="153"/>
        <v/>
      </c>
      <c r="L690" s="206" t="str">
        <f t="shared" si="154"/>
        <v/>
      </c>
      <c r="M690" s="206" t="str">
        <f t="shared" si="155"/>
        <v/>
      </c>
      <c r="N690" s="206" t="str">
        <f t="shared" si="156"/>
        <v/>
      </c>
      <c r="O690" s="206" t="str">
        <f t="shared" si="157"/>
        <v/>
      </c>
      <c r="P690" s="84" t="str">
        <f t="shared" si="158"/>
        <v/>
      </c>
      <c r="Q690" s="205"/>
      <c r="R690" s="70" t="str">
        <f>IF(S690="IN",'BOM_Phan II'!$Y$3,"")</f>
        <v/>
      </c>
      <c r="S690" s="69" t="str">
        <f t="shared" si="150"/>
        <v/>
      </c>
      <c r="T690">
        <f t="shared" si="159"/>
        <v>3</v>
      </c>
      <c r="U690" t="str">
        <f t="shared" si="161"/>
        <v>KIỆN 14</v>
      </c>
      <c r="V690" t="str">
        <f t="shared" si="160"/>
        <v/>
      </c>
      <c r="W690" s="266"/>
      <c r="X690" s="266"/>
      <c r="Y690" s="266" t="str">
        <f t="shared" si="152"/>
        <v/>
      </c>
      <c r="Z690" s="266"/>
    </row>
    <row r="691" spans="1:26" ht="27" hidden="1" customHeight="1">
      <c r="A691" s="70" t="str">
        <f t="shared" si="148"/>
        <v/>
      </c>
      <c r="B691" s="70" t="str">
        <f t="shared" si="149"/>
        <v/>
      </c>
      <c r="C691" s="204" t="str" cm="1">
        <f t="array" ref="C691">IF(D691="","",
    IF(AND(ISNUMBER(D691), D691=INT(D691)),
        $V$6 &amp; " " &amp; (IFERROR(MAX($Y$12:$Y690), 0) + 1),
        IF(ISNUMBER(SEARCH(".", D691)), "", INDEX($C$12:$C691, MATCH(2, 1/($C$12:$C691 &lt;&gt; ""))))
    )
)</f>
        <v/>
      </c>
      <c r="D691" s="206"/>
      <c r="E691" s="206" t="str">
        <f>IF(AA691 = "", "",
    IF(ISNUMBER(SEARCH("Kiện", C691)),
       " GÓI " &amp; COUNTIF($C$13:C691, "*Kiện*") &amp; "/" &amp; COUNTIF($C$13:$C$1000, "*Kiện*") &amp; " " &amp; AA691,
       AA691)
)</f>
        <v/>
      </c>
      <c r="F691" s="206"/>
      <c r="G691" s="206"/>
      <c r="H691" s="206"/>
      <c r="I691" s="206"/>
      <c r="J691" s="206" t="str">
        <f t="shared" si="151"/>
        <v/>
      </c>
      <c r="K691" s="206" t="str">
        <f t="shared" si="153"/>
        <v/>
      </c>
      <c r="L691" s="206" t="str">
        <f t="shared" si="154"/>
        <v/>
      </c>
      <c r="M691" s="206" t="str">
        <f t="shared" si="155"/>
        <v/>
      </c>
      <c r="N691" s="206" t="str">
        <f t="shared" si="156"/>
        <v/>
      </c>
      <c r="O691" s="206" t="str">
        <f t="shared" si="157"/>
        <v/>
      </c>
      <c r="P691" s="84" t="str">
        <f t="shared" si="158"/>
        <v/>
      </c>
      <c r="Q691" s="205"/>
      <c r="R691" s="70" t="str">
        <f>IF(S691="IN",'BOM_Phan II'!$Y$3,"")</f>
        <v/>
      </c>
      <c r="S691" s="69" t="str">
        <f t="shared" si="150"/>
        <v/>
      </c>
      <c r="T691">
        <f t="shared" si="159"/>
        <v>3</v>
      </c>
      <c r="U691" t="str">
        <f t="shared" si="161"/>
        <v>KIỆN 14</v>
      </c>
      <c r="V691" t="str">
        <f t="shared" si="160"/>
        <v/>
      </c>
      <c r="W691" s="266"/>
      <c r="X691" s="266"/>
      <c r="Y691" s="266" t="str">
        <f t="shared" si="152"/>
        <v/>
      </c>
      <c r="Z691" s="266"/>
    </row>
    <row r="692" spans="1:26" ht="27" hidden="1" customHeight="1">
      <c r="A692" s="70" t="str">
        <f t="shared" si="148"/>
        <v/>
      </c>
      <c r="B692" s="70" t="str">
        <f t="shared" si="149"/>
        <v/>
      </c>
      <c r="C692" s="204" t="str" cm="1">
        <f t="array" ref="C692">IF(D692="","",
    IF(AND(ISNUMBER(D692), D692=INT(D692)),
        $V$6 &amp; " " &amp; (IFERROR(MAX($Y$12:$Y691), 0) + 1),
        IF(ISNUMBER(SEARCH(".", D692)), "", INDEX($C$12:$C692, MATCH(2, 1/($C$12:$C692 &lt;&gt; ""))))
    )
)</f>
        <v/>
      </c>
      <c r="D692" s="206"/>
      <c r="E692" s="206" t="str">
        <f>IF(AA692 = "", "",
    IF(ISNUMBER(SEARCH("Kiện", C692)),
       " GÓI " &amp; COUNTIF($C$13:C692, "*Kiện*") &amp; "/" &amp; COUNTIF($C$13:$C$1000, "*Kiện*") &amp; " " &amp; AA692,
       AA692)
)</f>
        <v/>
      </c>
      <c r="F692" s="206"/>
      <c r="G692" s="206"/>
      <c r="H692" s="206"/>
      <c r="I692" s="206"/>
      <c r="J692" s="206" t="str">
        <f t="shared" si="151"/>
        <v/>
      </c>
      <c r="K692" s="206" t="str">
        <f t="shared" si="153"/>
        <v/>
      </c>
      <c r="L692" s="206" t="str">
        <f t="shared" si="154"/>
        <v/>
      </c>
      <c r="M692" s="206" t="str">
        <f t="shared" si="155"/>
        <v/>
      </c>
      <c r="N692" s="206" t="str">
        <f t="shared" si="156"/>
        <v/>
      </c>
      <c r="O692" s="206" t="str">
        <f t="shared" si="157"/>
        <v/>
      </c>
      <c r="P692" s="84" t="str">
        <f t="shared" si="158"/>
        <v/>
      </c>
      <c r="Q692" s="205"/>
      <c r="R692" s="70" t="str">
        <f>IF(S692="IN",'BOM_Phan II'!$Y$3,"")</f>
        <v/>
      </c>
      <c r="S692" s="69" t="str">
        <f t="shared" si="150"/>
        <v/>
      </c>
      <c r="T692">
        <f t="shared" si="159"/>
        <v>3</v>
      </c>
      <c r="U692" t="str">
        <f t="shared" si="161"/>
        <v>KIỆN 14</v>
      </c>
      <c r="V692" t="str">
        <f t="shared" si="160"/>
        <v/>
      </c>
      <c r="W692" s="266"/>
      <c r="X692" s="266"/>
      <c r="Y692" s="266" t="str">
        <f t="shared" si="152"/>
        <v/>
      </c>
      <c r="Z692" s="266"/>
    </row>
    <row r="693" spans="1:26" ht="27" hidden="1" customHeight="1">
      <c r="A693" s="70" t="str">
        <f t="shared" si="148"/>
        <v/>
      </c>
      <c r="B693" s="70" t="str">
        <f t="shared" si="149"/>
        <v/>
      </c>
      <c r="C693" s="204" t="str" cm="1">
        <f t="array" ref="C693">IF(D693="","",
    IF(AND(ISNUMBER(D693), D693=INT(D693)),
        $V$6 &amp; " " &amp; (IFERROR(MAX($Y$12:$Y692), 0) + 1),
        IF(ISNUMBER(SEARCH(".", D693)), "", INDEX($C$12:$C693, MATCH(2, 1/($C$12:$C693 &lt;&gt; ""))))
    )
)</f>
        <v/>
      </c>
      <c r="D693" s="206"/>
      <c r="E693" s="206" t="str">
        <f>IF(AA693 = "", "",
    IF(ISNUMBER(SEARCH("Kiện", C693)),
       " GÓI " &amp; COUNTIF($C$13:C693, "*Kiện*") &amp; "/" &amp; COUNTIF($C$13:$C$1000, "*Kiện*") &amp; " " &amp; AA693,
       AA693)
)</f>
        <v/>
      </c>
      <c r="F693" s="206"/>
      <c r="G693" s="206"/>
      <c r="H693" s="206"/>
      <c r="I693" s="206"/>
      <c r="J693" s="206" t="str">
        <f t="shared" si="151"/>
        <v/>
      </c>
      <c r="K693" s="206" t="str">
        <f t="shared" si="153"/>
        <v/>
      </c>
      <c r="L693" s="206" t="str">
        <f t="shared" si="154"/>
        <v/>
      </c>
      <c r="M693" s="206" t="str">
        <f t="shared" si="155"/>
        <v/>
      </c>
      <c r="N693" s="206" t="str">
        <f t="shared" si="156"/>
        <v/>
      </c>
      <c r="O693" s="206" t="str">
        <f t="shared" si="157"/>
        <v/>
      </c>
      <c r="P693" s="84" t="str">
        <f t="shared" si="158"/>
        <v/>
      </c>
      <c r="Q693" s="205"/>
      <c r="R693" s="70" t="str">
        <f>IF(S693="IN",'BOM_Phan II'!$Y$3,"")</f>
        <v/>
      </c>
      <c r="S693" s="69" t="str">
        <f t="shared" si="150"/>
        <v/>
      </c>
      <c r="T693">
        <f t="shared" si="159"/>
        <v>3</v>
      </c>
      <c r="U693" t="str">
        <f t="shared" si="161"/>
        <v>KIỆN 14</v>
      </c>
      <c r="V693" t="str">
        <f t="shared" si="160"/>
        <v/>
      </c>
      <c r="W693" s="266"/>
      <c r="X693" s="266"/>
      <c r="Y693" s="266" t="str">
        <f t="shared" si="152"/>
        <v/>
      </c>
      <c r="Z693" s="266"/>
    </row>
    <row r="694" spans="1:26" ht="27" hidden="1" customHeight="1">
      <c r="A694" s="70" t="str">
        <f t="shared" si="148"/>
        <v/>
      </c>
      <c r="B694" s="70" t="str">
        <f t="shared" si="149"/>
        <v/>
      </c>
      <c r="C694" s="204" t="str" cm="1">
        <f t="array" ref="C694">IF(D694="","",
    IF(AND(ISNUMBER(D694), D694=INT(D694)),
        $V$6 &amp; " " &amp; (IFERROR(MAX($Y$12:$Y693), 0) + 1),
        IF(ISNUMBER(SEARCH(".", D694)), "", INDEX($C$12:$C694, MATCH(2, 1/($C$12:$C694 &lt;&gt; ""))))
    )
)</f>
        <v/>
      </c>
      <c r="D694" s="206"/>
      <c r="E694" s="206" t="str">
        <f>IF(AA694 = "", "",
    IF(ISNUMBER(SEARCH("Kiện", C694)),
       " GÓI " &amp; COUNTIF($C$13:C694, "*Kiện*") &amp; "/" &amp; COUNTIF($C$13:$C$1000, "*Kiện*") &amp; " " &amp; AA694,
       AA694)
)</f>
        <v/>
      </c>
      <c r="F694" s="206"/>
      <c r="G694" s="206"/>
      <c r="H694" s="206"/>
      <c r="I694" s="206"/>
      <c r="J694" s="206" t="str">
        <f t="shared" si="151"/>
        <v/>
      </c>
      <c r="K694" s="206" t="str">
        <f t="shared" si="153"/>
        <v/>
      </c>
      <c r="L694" s="206" t="str">
        <f t="shared" si="154"/>
        <v/>
      </c>
      <c r="M694" s="206" t="str">
        <f t="shared" si="155"/>
        <v/>
      </c>
      <c r="N694" s="206" t="str">
        <f t="shared" si="156"/>
        <v/>
      </c>
      <c r="O694" s="206" t="str">
        <f t="shared" si="157"/>
        <v/>
      </c>
      <c r="P694" s="84" t="str">
        <f t="shared" si="158"/>
        <v/>
      </c>
      <c r="Q694" s="205"/>
      <c r="R694" s="70" t="str">
        <f>IF(S694="IN",'BOM_Phan II'!$Y$3,"")</f>
        <v/>
      </c>
      <c r="S694" s="69" t="str">
        <f t="shared" si="150"/>
        <v/>
      </c>
      <c r="T694">
        <f t="shared" si="159"/>
        <v>3</v>
      </c>
      <c r="U694" t="str">
        <f t="shared" si="161"/>
        <v>KIỆN 14</v>
      </c>
      <c r="V694" t="str">
        <f t="shared" si="160"/>
        <v/>
      </c>
      <c r="W694" s="266"/>
      <c r="X694" s="266"/>
      <c r="Y694" s="266" t="str">
        <f t="shared" si="152"/>
        <v/>
      </c>
      <c r="Z694" s="266"/>
    </row>
    <row r="695" spans="1:26" ht="27" hidden="1" customHeight="1">
      <c r="A695" s="70" t="str">
        <f t="shared" si="148"/>
        <v/>
      </c>
      <c r="B695" s="70" t="str">
        <f t="shared" si="149"/>
        <v/>
      </c>
      <c r="C695" s="204" t="str" cm="1">
        <f t="array" ref="C695">IF(D695="","",
    IF(AND(ISNUMBER(D695), D695=INT(D695)),
        $V$6 &amp; " " &amp; (IFERROR(MAX($Y$12:$Y694), 0) + 1),
        IF(ISNUMBER(SEARCH(".", D695)), "", INDEX($C$12:$C695, MATCH(2, 1/($C$12:$C695 &lt;&gt; ""))))
    )
)</f>
        <v/>
      </c>
      <c r="D695" s="206"/>
      <c r="E695" s="206" t="str">
        <f>IF(AA695 = "", "",
    IF(ISNUMBER(SEARCH("Kiện", C695)),
       " GÓI " &amp; COUNTIF($C$13:C695, "*Kiện*") &amp; "/" &amp; COUNTIF($C$13:$C$1000, "*Kiện*") &amp; " " &amp; AA695,
       AA695)
)</f>
        <v/>
      </c>
      <c r="F695" s="206"/>
      <c r="G695" s="206"/>
      <c r="H695" s="206"/>
      <c r="I695" s="206"/>
      <c r="J695" s="206" t="str">
        <f t="shared" si="151"/>
        <v/>
      </c>
      <c r="K695" s="206" t="str">
        <f t="shared" si="153"/>
        <v/>
      </c>
      <c r="L695" s="206" t="str">
        <f t="shared" si="154"/>
        <v/>
      </c>
      <c r="M695" s="206" t="str">
        <f t="shared" si="155"/>
        <v/>
      </c>
      <c r="N695" s="206" t="str">
        <f t="shared" si="156"/>
        <v/>
      </c>
      <c r="O695" s="206" t="str">
        <f t="shared" si="157"/>
        <v/>
      </c>
      <c r="P695" s="84" t="str">
        <f t="shared" si="158"/>
        <v/>
      </c>
      <c r="Q695" s="205"/>
      <c r="R695" s="70" t="str">
        <f>IF(S695="IN",'BOM_Phan II'!$Y$3,"")</f>
        <v/>
      </c>
      <c r="S695" s="69" t="str">
        <f t="shared" si="150"/>
        <v/>
      </c>
      <c r="T695">
        <f t="shared" si="159"/>
        <v>3</v>
      </c>
      <c r="U695" t="str">
        <f t="shared" si="161"/>
        <v>KIỆN 14</v>
      </c>
      <c r="V695" t="str">
        <f t="shared" si="160"/>
        <v/>
      </c>
      <c r="W695" s="266"/>
      <c r="X695" s="266"/>
      <c r="Y695" s="266" t="str">
        <f t="shared" si="152"/>
        <v/>
      </c>
      <c r="Z695" s="266"/>
    </row>
    <row r="696" spans="1:26" ht="27" hidden="1" customHeight="1">
      <c r="A696" s="70" t="str">
        <f t="shared" si="148"/>
        <v/>
      </c>
      <c r="B696" s="70" t="str">
        <f t="shared" si="149"/>
        <v/>
      </c>
      <c r="C696" s="204" t="str" cm="1">
        <f t="array" ref="C696">IF(D696="","",
    IF(AND(ISNUMBER(D696), D696=INT(D696)),
        $V$6 &amp; " " &amp; (IFERROR(MAX($Y$12:$Y695), 0) + 1),
        IF(ISNUMBER(SEARCH(".", D696)), "", INDEX($C$12:$C696, MATCH(2, 1/($C$12:$C696 &lt;&gt; ""))))
    )
)</f>
        <v/>
      </c>
      <c r="D696" s="206"/>
      <c r="E696" s="206" t="str">
        <f>IF(AA696 = "", "",
    IF(ISNUMBER(SEARCH("Kiện", C696)),
       " GÓI " &amp; COUNTIF($C$13:C696, "*Kiện*") &amp; "/" &amp; COUNTIF($C$13:$C$1000, "*Kiện*") &amp; " " &amp; AA696,
       AA696)
)</f>
        <v/>
      </c>
      <c r="F696" s="206"/>
      <c r="G696" s="206"/>
      <c r="H696" s="206"/>
      <c r="I696" s="206"/>
      <c r="J696" s="206" t="str">
        <f t="shared" si="151"/>
        <v/>
      </c>
      <c r="K696" s="206" t="str">
        <f t="shared" si="153"/>
        <v/>
      </c>
      <c r="L696" s="206" t="str">
        <f t="shared" si="154"/>
        <v/>
      </c>
      <c r="M696" s="206" t="str">
        <f t="shared" si="155"/>
        <v/>
      </c>
      <c r="N696" s="206" t="str">
        <f t="shared" si="156"/>
        <v/>
      </c>
      <c r="O696" s="206" t="str">
        <f t="shared" si="157"/>
        <v/>
      </c>
      <c r="P696" s="84" t="str">
        <f t="shared" si="158"/>
        <v/>
      </c>
      <c r="Q696" s="205"/>
      <c r="R696" s="70" t="str">
        <f>IF(S696="IN",'BOM_Phan II'!$Y$3,"")</f>
        <v/>
      </c>
      <c r="S696" s="69" t="str">
        <f t="shared" si="150"/>
        <v/>
      </c>
      <c r="T696">
        <f t="shared" si="159"/>
        <v>3</v>
      </c>
      <c r="U696" t="str">
        <f t="shared" si="161"/>
        <v>KIỆN 14</v>
      </c>
      <c r="V696" t="str">
        <f t="shared" si="160"/>
        <v/>
      </c>
      <c r="W696" s="266"/>
      <c r="X696" s="266"/>
      <c r="Y696" s="266" t="str">
        <f t="shared" si="152"/>
        <v/>
      </c>
      <c r="Z696" s="266"/>
    </row>
    <row r="697" spans="1:26" ht="27" hidden="1" customHeight="1">
      <c r="A697" s="70" t="str">
        <f t="shared" si="148"/>
        <v/>
      </c>
      <c r="B697" s="70" t="str">
        <f t="shared" si="149"/>
        <v/>
      </c>
      <c r="C697" s="204" t="str" cm="1">
        <f t="array" ref="C697">IF(D697="","",
    IF(AND(ISNUMBER(D697), D697=INT(D697)),
        $V$6 &amp; " " &amp; (IFERROR(MAX($Y$12:$Y696), 0) + 1),
        IF(ISNUMBER(SEARCH(".", D697)), "", INDEX($C$12:$C697, MATCH(2, 1/($C$12:$C697 &lt;&gt; ""))))
    )
)</f>
        <v/>
      </c>
      <c r="D697" s="206"/>
      <c r="E697" s="206" t="str">
        <f>IF(AA697 = "", "",
    IF(ISNUMBER(SEARCH("Kiện", C697)),
       " GÓI " &amp; COUNTIF($C$13:C697, "*Kiện*") &amp; "/" &amp; COUNTIF($C$13:$C$1000, "*Kiện*") &amp; " " &amp; AA697,
       AA697)
)</f>
        <v/>
      </c>
      <c r="F697" s="206"/>
      <c r="G697" s="206"/>
      <c r="H697" s="206"/>
      <c r="I697" s="206"/>
      <c r="J697" s="206" t="str">
        <f t="shared" si="151"/>
        <v/>
      </c>
      <c r="K697" s="206" t="str">
        <f t="shared" si="153"/>
        <v/>
      </c>
      <c r="L697" s="206" t="str">
        <f t="shared" si="154"/>
        <v/>
      </c>
      <c r="M697" s="206" t="str">
        <f t="shared" si="155"/>
        <v/>
      </c>
      <c r="N697" s="206" t="str">
        <f t="shared" si="156"/>
        <v/>
      </c>
      <c r="O697" s="206" t="str">
        <f t="shared" si="157"/>
        <v/>
      </c>
      <c r="P697" s="84" t="str">
        <f t="shared" si="158"/>
        <v/>
      </c>
      <c r="Q697" s="205"/>
      <c r="R697" s="70" t="str">
        <f>IF(S697="IN",'BOM_Phan II'!$Y$3,"")</f>
        <v/>
      </c>
      <c r="S697" s="69" t="str">
        <f t="shared" si="150"/>
        <v/>
      </c>
      <c r="T697">
        <f t="shared" si="159"/>
        <v>3</v>
      </c>
      <c r="U697" t="str">
        <f t="shared" si="161"/>
        <v>KIỆN 14</v>
      </c>
      <c r="V697" t="str">
        <f t="shared" si="160"/>
        <v/>
      </c>
      <c r="W697" s="266"/>
      <c r="X697" s="266"/>
      <c r="Y697" s="266" t="str">
        <f t="shared" si="152"/>
        <v/>
      </c>
      <c r="Z697" s="266"/>
    </row>
    <row r="698" spans="1:26" ht="27" hidden="1" customHeight="1">
      <c r="A698" s="70" t="str">
        <f t="shared" si="148"/>
        <v/>
      </c>
      <c r="B698" s="70" t="str">
        <f t="shared" si="149"/>
        <v/>
      </c>
      <c r="C698" s="204" t="str" cm="1">
        <f t="array" ref="C698">IF(D698="","",
    IF(AND(ISNUMBER(D698), D698=INT(D698)),
        $V$6 &amp; " " &amp; (IFERROR(MAX($Y$12:$Y697), 0) + 1),
        IF(ISNUMBER(SEARCH(".", D698)), "", INDEX($C$12:$C698, MATCH(2, 1/($C$12:$C698 &lt;&gt; ""))))
    )
)</f>
        <v/>
      </c>
      <c r="D698" s="206"/>
      <c r="E698" s="206" t="str">
        <f>IF(AA698 = "", "",
    IF(ISNUMBER(SEARCH("Kiện", C698)),
       " GÓI " &amp; COUNTIF($C$13:C698, "*Kiện*") &amp; "/" &amp; COUNTIF($C$13:$C$1000, "*Kiện*") &amp; " " &amp; AA698,
       AA698)
)</f>
        <v/>
      </c>
      <c r="F698" s="206"/>
      <c r="G698" s="206"/>
      <c r="H698" s="206"/>
      <c r="I698" s="206"/>
      <c r="J698" s="206" t="str">
        <f t="shared" si="151"/>
        <v/>
      </c>
      <c r="K698" s="206" t="str">
        <f t="shared" si="153"/>
        <v/>
      </c>
      <c r="L698" s="206" t="str">
        <f t="shared" si="154"/>
        <v/>
      </c>
      <c r="M698" s="206" t="str">
        <f t="shared" si="155"/>
        <v/>
      </c>
      <c r="N698" s="206" t="str">
        <f t="shared" si="156"/>
        <v/>
      </c>
      <c r="O698" s="206" t="str">
        <f t="shared" si="157"/>
        <v/>
      </c>
      <c r="P698" s="84" t="str">
        <f t="shared" si="158"/>
        <v/>
      </c>
      <c r="Q698" s="205"/>
      <c r="R698" s="70" t="str">
        <f>IF(S698="IN",'BOM_Phan II'!$Y$3,"")</f>
        <v/>
      </c>
      <c r="S698" s="69" t="str">
        <f t="shared" si="150"/>
        <v/>
      </c>
      <c r="T698">
        <f t="shared" si="159"/>
        <v>3</v>
      </c>
      <c r="U698" t="str">
        <f t="shared" si="161"/>
        <v>KIỆN 14</v>
      </c>
      <c r="V698" t="str">
        <f t="shared" si="160"/>
        <v/>
      </c>
      <c r="W698" s="266"/>
      <c r="X698" s="266"/>
      <c r="Y698" s="266" t="str">
        <f t="shared" si="152"/>
        <v/>
      </c>
      <c r="Z698" s="266"/>
    </row>
    <row r="699" spans="1:26" ht="27" hidden="1" customHeight="1">
      <c r="A699" s="70" t="str">
        <f t="shared" si="148"/>
        <v/>
      </c>
      <c r="B699" s="70" t="str">
        <f t="shared" si="149"/>
        <v/>
      </c>
      <c r="C699" s="204" t="str" cm="1">
        <f t="array" ref="C699">IF(D699="","",
    IF(AND(ISNUMBER(D699), D699=INT(D699)),
        $V$6 &amp; " " &amp; (IFERROR(MAX($Y$12:$Y698), 0) + 1),
        IF(ISNUMBER(SEARCH(".", D699)), "", INDEX($C$12:$C699, MATCH(2, 1/($C$12:$C699 &lt;&gt; ""))))
    )
)</f>
        <v/>
      </c>
      <c r="D699" s="206"/>
      <c r="E699" s="206" t="str">
        <f>IF(AA699 = "", "",
    IF(ISNUMBER(SEARCH("Kiện", C699)),
       " GÓI " &amp; COUNTIF($C$13:C699, "*Kiện*") &amp; "/" &amp; COUNTIF($C$13:$C$1000, "*Kiện*") &amp; " " &amp; AA699,
       AA699)
)</f>
        <v/>
      </c>
      <c r="F699" s="206"/>
      <c r="G699" s="206"/>
      <c r="H699" s="206"/>
      <c r="I699" s="206"/>
      <c r="J699" s="206" t="str">
        <f t="shared" si="151"/>
        <v/>
      </c>
      <c r="K699" s="206" t="str">
        <f t="shared" si="153"/>
        <v/>
      </c>
      <c r="L699" s="206" t="str">
        <f t="shared" si="154"/>
        <v/>
      </c>
      <c r="M699" s="206" t="str">
        <f t="shared" si="155"/>
        <v/>
      </c>
      <c r="N699" s="206" t="str">
        <f t="shared" si="156"/>
        <v/>
      </c>
      <c r="O699" s="206" t="str">
        <f t="shared" si="157"/>
        <v/>
      </c>
      <c r="P699" s="84" t="str">
        <f t="shared" si="158"/>
        <v/>
      </c>
      <c r="Q699" s="205"/>
      <c r="R699" s="70" t="str">
        <f>IF(S699="IN",'BOM_Phan II'!$Y$3,"")</f>
        <v/>
      </c>
      <c r="S699" s="69" t="str">
        <f t="shared" si="150"/>
        <v/>
      </c>
      <c r="T699">
        <f t="shared" si="159"/>
        <v>3</v>
      </c>
      <c r="U699" t="str">
        <f t="shared" si="161"/>
        <v>KIỆN 14</v>
      </c>
      <c r="V699" t="str">
        <f t="shared" si="160"/>
        <v/>
      </c>
      <c r="W699" s="266"/>
      <c r="X699" s="266"/>
      <c r="Y699" s="266" t="str">
        <f t="shared" si="152"/>
        <v/>
      </c>
      <c r="Z699" s="266"/>
    </row>
    <row r="700" spans="1:26" ht="27" hidden="1" customHeight="1">
      <c r="A700" s="70" t="str">
        <f t="shared" si="148"/>
        <v/>
      </c>
      <c r="B700" s="70" t="str">
        <f t="shared" si="149"/>
        <v/>
      </c>
      <c r="C700" s="204" t="str" cm="1">
        <f t="array" ref="C700">IF(D700="","",
    IF(AND(ISNUMBER(D700), D700=INT(D700)),
        $V$6 &amp; " " &amp; (IFERROR(MAX($Y$12:$Y699), 0) + 1),
        IF(ISNUMBER(SEARCH(".", D700)), "", INDEX($C$12:$C700, MATCH(2, 1/($C$12:$C700 &lt;&gt; ""))))
    )
)</f>
        <v/>
      </c>
      <c r="D700" s="206"/>
      <c r="E700" s="206" t="str">
        <f>IF(AA700 = "", "",
    IF(ISNUMBER(SEARCH("Kiện", C700)),
       " GÓI " &amp; COUNTIF($C$13:C700, "*Kiện*") &amp; "/" &amp; COUNTIF($C$13:$C$1000, "*Kiện*") &amp; " " &amp; AA700,
       AA700)
)</f>
        <v/>
      </c>
      <c r="F700" s="206"/>
      <c r="G700" s="206"/>
      <c r="H700" s="206"/>
      <c r="I700" s="206"/>
      <c r="J700" s="206" t="str">
        <f t="shared" si="151"/>
        <v/>
      </c>
      <c r="K700" s="206" t="str">
        <f t="shared" si="153"/>
        <v/>
      </c>
      <c r="L700" s="206" t="str">
        <f t="shared" si="154"/>
        <v/>
      </c>
      <c r="M700" s="206" t="str">
        <f t="shared" si="155"/>
        <v/>
      </c>
      <c r="N700" s="206" t="str">
        <f t="shared" si="156"/>
        <v/>
      </c>
      <c r="O700" s="206" t="str">
        <f t="shared" si="157"/>
        <v/>
      </c>
      <c r="P700" s="84" t="str">
        <f t="shared" si="158"/>
        <v/>
      </c>
      <c r="Q700" s="205"/>
      <c r="R700" s="70" t="str">
        <f>IF(S700="IN",'BOM_Phan II'!$Y$3,"")</f>
        <v/>
      </c>
      <c r="S700" s="69" t="str">
        <f t="shared" si="150"/>
        <v/>
      </c>
      <c r="T700">
        <f t="shared" si="159"/>
        <v>3</v>
      </c>
      <c r="U700" t="str">
        <f t="shared" si="161"/>
        <v>KIỆN 14</v>
      </c>
      <c r="V700" t="str">
        <f t="shared" si="160"/>
        <v/>
      </c>
      <c r="W700" s="266"/>
      <c r="X700" s="266"/>
      <c r="Y700" s="266" t="str">
        <f t="shared" si="152"/>
        <v/>
      </c>
      <c r="Z700" s="266"/>
    </row>
    <row r="701" spans="1:26" ht="27" hidden="1" customHeight="1">
      <c r="A701" s="70" t="str">
        <f t="shared" si="148"/>
        <v/>
      </c>
      <c r="B701" s="70" t="str">
        <f t="shared" si="149"/>
        <v/>
      </c>
      <c r="C701" s="204" t="str" cm="1">
        <f t="array" ref="C701">IF(D701="","",
    IF(AND(ISNUMBER(D701), D701=INT(D701)),
        $V$6 &amp; " " &amp; (IFERROR(MAX($Y$12:$Y700), 0) + 1),
        IF(ISNUMBER(SEARCH(".", D701)), "", INDEX($C$12:$C701, MATCH(2, 1/($C$12:$C701 &lt;&gt; ""))))
    )
)</f>
        <v/>
      </c>
      <c r="D701" s="206"/>
      <c r="E701" s="206" t="str">
        <f>IF(AA701 = "", "",
    IF(ISNUMBER(SEARCH("Kiện", C701)),
       " GÓI " &amp; COUNTIF($C$13:C701, "*Kiện*") &amp; "/" &amp; COUNTIF($C$13:$C$1000, "*Kiện*") &amp; " " &amp; AA701,
       AA701)
)</f>
        <v/>
      </c>
      <c r="F701" s="206"/>
      <c r="G701" s="206"/>
      <c r="H701" s="206"/>
      <c r="I701" s="206"/>
      <c r="J701" s="206" t="str">
        <f t="shared" si="151"/>
        <v/>
      </c>
      <c r="K701" s="206" t="str">
        <f t="shared" si="153"/>
        <v/>
      </c>
      <c r="L701" s="206" t="str">
        <f t="shared" si="154"/>
        <v/>
      </c>
      <c r="M701" s="206" t="str">
        <f t="shared" si="155"/>
        <v/>
      </c>
      <c r="N701" s="206" t="str">
        <f t="shared" si="156"/>
        <v/>
      </c>
      <c r="O701" s="206" t="str">
        <f t="shared" si="157"/>
        <v/>
      </c>
      <c r="P701" s="84" t="str">
        <f t="shared" si="158"/>
        <v/>
      </c>
      <c r="Q701" s="205"/>
      <c r="R701" s="70" t="str">
        <f>IF(S701="IN",'BOM_Phan II'!$Y$3,"")</f>
        <v/>
      </c>
      <c r="S701" s="69" t="str">
        <f t="shared" si="150"/>
        <v/>
      </c>
      <c r="T701">
        <f t="shared" si="159"/>
        <v>3</v>
      </c>
      <c r="U701" t="str">
        <f t="shared" si="161"/>
        <v>KIỆN 14</v>
      </c>
      <c r="V701" t="str">
        <f t="shared" si="160"/>
        <v/>
      </c>
      <c r="W701" s="266"/>
      <c r="X701" s="266"/>
      <c r="Y701" s="266" t="str">
        <f t="shared" si="152"/>
        <v/>
      </c>
      <c r="Z701" s="266"/>
    </row>
    <row r="702" spans="1:26" ht="27" hidden="1" customHeight="1">
      <c r="A702" s="70" t="str">
        <f t="shared" si="148"/>
        <v/>
      </c>
      <c r="B702" s="70" t="str">
        <f t="shared" si="149"/>
        <v/>
      </c>
      <c r="C702" s="204" t="str" cm="1">
        <f t="array" ref="C702">IF(D702="","",
    IF(AND(ISNUMBER(D702), D702=INT(D702)),
        $V$6 &amp; " " &amp; (IFERROR(MAX($Y$12:$Y701), 0) + 1),
        IF(ISNUMBER(SEARCH(".", D702)), "", INDEX($C$12:$C702, MATCH(2, 1/($C$12:$C702 &lt;&gt; ""))))
    )
)</f>
        <v/>
      </c>
      <c r="D702" s="206"/>
      <c r="E702" s="206" t="str">
        <f>IF(AA702 = "", "",
    IF(ISNUMBER(SEARCH("Kiện", C702)),
       " GÓI " &amp; COUNTIF($C$13:C702, "*Kiện*") &amp; "/" &amp; COUNTIF($C$13:$C$1000, "*Kiện*") &amp; " " &amp; AA702,
       AA702)
)</f>
        <v/>
      </c>
      <c r="F702" s="206"/>
      <c r="G702" s="206"/>
      <c r="H702" s="206"/>
      <c r="I702" s="206"/>
      <c r="J702" s="206" t="str">
        <f t="shared" si="151"/>
        <v/>
      </c>
      <c r="K702" s="206" t="str">
        <f t="shared" si="153"/>
        <v/>
      </c>
      <c r="L702" s="206" t="str">
        <f t="shared" si="154"/>
        <v/>
      </c>
      <c r="M702" s="206" t="str">
        <f t="shared" si="155"/>
        <v/>
      </c>
      <c r="N702" s="206" t="str">
        <f t="shared" si="156"/>
        <v/>
      </c>
      <c r="O702" s="206" t="str">
        <f t="shared" si="157"/>
        <v/>
      </c>
      <c r="P702" s="84" t="str">
        <f t="shared" si="158"/>
        <v/>
      </c>
      <c r="Q702" s="205"/>
      <c r="R702" s="70" t="str">
        <f>IF(S702="IN",'BOM_Phan II'!$Y$3,"")</f>
        <v/>
      </c>
      <c r="S702" s="69" t="str">
        <f t="shared" si="150"/>
        <v/>
      </c>
      <c r="T702">
        <f t="shared" si="159"/>
        <v>3</v>
      </c>
      <c r="U702" t="str">
        <f t="shared" si="161"/>
        <v>KIỆN 14</v>
      </c>
      <c r="V702" t="str">
        <f t="shared" si="160"/>
        <v/>
      </c>
      <c r="W702" s="266"/>
      <c r="X702" s="266"/>
      <c r="Y702" s="266" t="str">
        <f t="shared" si="152"/>
        <v/>
      </c>
      <c r="Z702" s="266"/>
    </row>
    <row r="703" spans="1:26" ht="27" hidden="1" customHeight="1">
      <c r="A703" s="70" t="str">
        <f t="shared" si="148"/>
        <v/>
      </c>
      <c r="B703" s="70" t="str">
        <f t="shared" si="149"/>
        <v/>
      </c>
      <c r="C703" s="204" t="str" cm="1">
        <f t="array" ref="C703">IF(D703="","",
    IF(AND(ISNUMBER(D703), D703=INT(D703)),
        $V$6 &amp; " " &amp; (IFERROR(MAX($Y$12:$Y702), 0) + 1),
        IF(ISNUMBER(SEARCH(".", D703)), "", INDEX($C$12:$C703, MATCH(2, 1/($C$12:$C703 &lt;&gt; ""))))
    )
)</f>
        <v/>
      </c>
      <c r="D703" s="206"/>
      <c r="E703" s="206" t="str">
        <f>IF(AA703 = "", "",
    IF(ISNUMBER(SEARCH("Kiện", C703)),
       " GÓI " &amp; COUNTIF($C$13:C703, "*Kiện*") &amp; "/" &amp; COUNTIF($C$13:$C$1000, "*Kiện*") &amp; " " &amp; AA703,
       AA703)
)</f>
        <v/>
      </c>
      <c r="F703" s="206"/>
      <c r="G703" s="206"/>
      <c r="H703" s="206"/>
      <c r="I703" s="206"/>
      <c r="J703" s="206" t="str">
        <f t="shared" si="151"/>
        <v/>
      </c>
      <c r="K703" s="206" t="str">
        <f t="shared" si="153"/>
        <v/>
      </c>
      <c r="L703" s="206" t="str">
        <f t="shared" si="154"/>
        <v/>
      </c>
      <c r="M703" s="206" t="str">
        <f t="shared" si="155"/>
        <v/>
      </c>
      <c r="N703" s="206" t="str">
        <f t="shared" si="156"/>
        <v/>
      </c>
      <c r="O703" s="206" t="str">
        <f t="shared" si="157"/>
        <v/>
      </c>
      <c r="P703" s="84" t="str">
        <f t="shared" si="158"/>
        <v/>
      </c>
      <c r="Q703" s="205"/>
      <c r="R703" s="70" t="str">
        <f>IF(S703="IN",'BOM_Phan II'!$Y$3,"")</f>
        <v/>
      </c>
      <c r="S703" s="69" t="str">
        <f t="shared" si="150"/>
        <v/>
      </c>
      <c r="T703">
        <f t="shared" si="159"/>
        <v>3</v>
      </c>
      <c r="U703" t="str">
        <f t="shared" si="161"/>
        <v>KIỆN 14</v>
      </c>
      <c r="V703" t="str">
        <f t="shared" si="160"/>
        <v/>
      </c>
      <c r="W703" s="266"/>
      <c r="X703" s="266"/>
      <c r="Y703" s="266" t="str">
        <f t="shared" si="152"/>
        <v/>
      </c>
      <c r="Z703" s="266"/>
    </row>
    <row r="704" spans="1:26" ht="27" hidden="1" customHeight="1">
      <c r="A704" s="70" t="str">
        <f t="shared" si="148"/>
        <v/>
      </c>
      <c r="B704" s="70" t="str">
        <f t="shared" si="149"/>
        <v/>
      </c>
      <c r="C704" s="204" t="str" cm="1">
        <f t="array" ref="C704">IF(D704="","",
    IF(AND(ISNUMBER(D704), D704=INT(D704)),
        $V$6 &amp; " " &amp; (IFERROR(MAX($Y$12:$Y703), 0) + 1),
        IF(ISNUMBER(SEARCH(".", D704)), "", INDEX($C$12:$C704, MATCH(2, 1/($C$12:$C704 &lt;&gt; ""))))
    )
)</f>
        <v/>
      </c>
      <c r="D704" s="206"/>
      <c r="E704" s="206" t="str">
        <f>IF(AA704 = "", "",
    IF(ISNUMBER(SEARCH("Kiện", C704)),
       " GÓI " &amp; COUNTIF($C$13:C704, "*Kiện*") &amp; "/" &amp; COUNTIF($C$13:$C$1000, "*Kiện*") &amp; " " &amp; AA704,
       AA704)
)</f>
        <v/>
      </c>
      <c r="F704" s="206"/>
      <c r="G704" s="206"/>
      <c r="H704" s="206"/>
      <c r="I704" s="206"/>
      <c r="J704" s="206" t="str">
        <f t="shared" si="151"/>
        <v/>
      </c>
      <c r="K704" s="206" t="str">
        <f t="shared" si="153"/>
        <v/>
      </c>
      <c r="L704" s="206" t="str">
        <f t="shared" si="154"/>
        <v/>
      </c>
      <c r="M704" s="206" t="str">
        <f t="shared" si="155"/>
        <v/>
      </c>
      <c r="N704" s="206" t="str">
        <f t="shared" si="156"/>
        <v/>
      </c>
      <c r="O704" s="206" t="str">
        <f t="shared" si="157"/>
        <v/>
      </c>
      <c r="P704" s="84" t="str">
        <f t="shared" si="158"/>
        <v/>
      </c>
      <c r="Q704" s="205"/>
      <c r="R704" s="70" t="str">
        <f>IF(S704="IN",'BOM_Phan II'!$Y$3,"")</f>
        <v/>
      </c>
      <c r="S704" s="69" t="str">
        <f t="shared" si="150"/>
        <v/>
      </c>
      <c r="T704">
        <f t="shared" si="159"/>
        <v>3</v>
      </c>
      <c r="U704" t="str">
        <f t="shared" si="161"/>
        <v>KIỆN 14</v>
      </c>
      <c r="V704" t="str">
        <f t="shared" si="160"/>
        <v/>
      </c>
      <c r="W704" s="266"/>
      <c r="X704" s="266"/>
      <c r="Y704" s="266" t="str">
        <f t="shared" si="152"/>
        <v/>
      </c>
      <c r="Z704" s="266"/>
    </row>
    <row r="705" spans="1:26" ht="27" hidden="1" customHeight="1">
      <c r="A705" s="70" t="str">
        <f t="shared" si="148"/>
        <v/>
      </c>
      <c r="B705" s="70" t="str">
        <f t="shared" si="149"/>
        <v/>
      </c>
      <c r="C705" s="204" t="str" cm="1">
        <f t="array" ref="C705">IF(D705="","",
    IF(AND(ISNUMBER(D705), D705=INT(D705)),
        $V$6 &amp; " " &amp; (IFERROR(MAX($Y$12:$Y704), 0) + 1),
        IF(ISNUMBER(SEARCH(".", D705)), "", INDEX($C$12:$C705, MATCH(2, 1/($C$12:$C705 &lt;&gt; ""))))
    )
)</f>
        <v/>
      </c>
      <c r="D705" s="206"/>
      <c r="E705" s="206" t="str">
        <f>IF(AA705 = "", "",
    IF(ISNUMBER(SEARCH("Kiện", C705)),
       " GÓI " &amp; COUNTIF($C$13:C705, "*Kiện*") &amp; "/" &amp; COUNTIF($C$13:$C$1000, "*Kiện*") &amp; " " &amp; AA705,
       AA705)
)</f>
        <v/>
      </c>
      <c r="F705" s="206"/>
      <c r="G705" s="206"/>
      <c r="H705" s="206"/>
      <c r="I705" s="206"/>
      <c r="J705" s="206" t="str">
        <f t="shared" si="151"/>
        <v/>
      </c>
      <c r="K705" s="206" t="str">
        <f t="shared" si="153"/>
        <v/>
      </c>
      <c r="L705" s="206" t="str">
        <f t="shared" si="154"/>
        <v/>
      </c>
      <c r="M705" s="206" t="str">
        <f t="shared" si="155"/>
        <v/>
      </c>
      <c r="N705" s="206" t="str">
        <f t="shared" si="156"/>
        <v/>
      </c>
      <c r="O705" s="206" t="str">
        <f t="shared" si="157"/>
        <v/>
      </c>
      <c r="P705" s="84" t="str">
        <f t="shared" si="158"/>
        <v/>
      </c>
      <c r="Q705" s="205"/>
      <c r="R705" s="70" t="str">
        <f>IF(S705="IN",'BOM_Phan II'!$Y$3,"")</f>
        <v/>
      </c>
      <c r="S705" s="69" t="str">
        <f t="shared" si="150"/>
        <v/>
      </c>
      <c r="T705">
        <f t="shared" si="159"/>
        <v>3</v>
      </c>
      <c r="U705" t="str">
        <f t="shared" si="161"/>
        <v>KIỆN 14</v>
      </c>
      <c r="V705" t="str">
        <f t="shared" si="160"/>
        <v/>
      </c>
      <c r="W705" s="266"/>
      <c r="X705" s="266"/>
      <c r="Y705" s="266" t="str">
        <f t="shared" si="152"/>
        <v/>
      </c>
      <c r="Z705" s="266"/>
    </row>
    <row r="706" spans="1:26" ht="27" hidden="1" customHeight="1">
      <c r="A706" s="70" t="str">
        <f t="shared" si="148"/>
        <v/>
      </c>
      <c r="B706" s="70" t="str">
        <f t="shared" si="149"/>
        <v/>
      </c>
      <c r="C706" s="204" t="str" cm="1">
        <f t="array" ref="C706">IF(D706="","",
    IF(AND(ISNUMBER(D706), D706=INT(D706)),
        $V$6 &amp; " " &amp; (IFERROR(MAX($Y$12:$Y705), 0) + 1),
        IF(ISNUMBER(SEARCH(".", D706)), "", INDEX($C$12:$C706, MATCH(2, 1/($C$12:$C706 &lt;&gt; ""))))
    )
)</f>
        <v/>
      </c>
      <c r="D706" s="206"/>
      <c r="E706" s="206" t="str">
        <f>IF(AA706 = "", "",
    IF(ISNUMBER(SEARCH("Kiện", C706)),
       " GÓI " &amp; COUNTIF($C$13:C706, "*Kiện*") &amp; "/" &amp; COUNTIF($C$13:$C$1000, "*Kiện*") &amp; " " &amp; AA706,
       AA706)
)</f>
        <v/>
      </c>
      <c r="F706" s="206"/>
      <c r="G706" s="206"/>
      <c r="H706" s="206"/>
      <c r="I706" s="206"/>
      <c r="J706" s="206" t="str">
        <f t="shared" si="151"/>
        <v/>
      </c>
      <c r="K706" s="206" t="str">
        <f t="shared" si="153"/>
        <v/>
      </c>
      <c r="L706" s="206" t="str">
        <f t="shared" si="154"/>
        <v/>
      </c>
      <c r="M706" s="206" t="str">
        <f t="shared" si="155"/>
        <v/>
      </c>
      <c r="N706" s="206" t="str">
        <f t="shared" si="156"/>
        <v/>
      </c>
      <c r="O706" s="206" t="str">
        <f t="shared" si="157"/>
        <v/>
      </c>
      <c r="P706" s="84" t="str">
        <f t="shared" si="158"/>
        <v/>
      </c>
      <c r="Q706" s="205"/>
      <c r="R706" s="70" t="str">
        <f>IF(S706="IN",'BOM_Phan II'!$Y$3,"")</f>
        <v/>
      </c>
      <c r="S706" s="69" t="str">
        <f t="shared" si="150"/>
        <v/>
      </c>
      <c r="T706">
        <f t="shared" si="159"/>
        <v>3</v>
      </c>
      <c r="U706" t="str">
        <f>IF(C706="",U641,C706)</f>
        <v>KIỆN 14</v>
      </c>
      <c r="V706" t="str">
        <f t="shared" si="160"/>
        <v/>
      </c>
      <c r="W706" s="266"/>
      <c r="X706" s="266"/>
      <c r="Y706" s="266" t="str">
        <f t="shared" si="152"/>
        <v/>
      </c>
      <c r="Z706" s="266"/>
    </row>
    <row r="707" spans="1:26" ht="27" hidden="1" customHeight="1">
      <c r="A707" s="70" t="str">
        <f t="shared" si="148"/>
        <v/>
      </c>
      <c r="B707" s="70" t="str">
        <f t="shared" si="149"/>
        <v/>
      </c>
      <c r="C707" s="204" t="str" cm="1">
        <f t="array" ref="C707">IF(D707="","",
    IF(AND(ISNUMBER(D707), D707=INT(D707)),
        $V$6 &amp; " " &amp; (IFERROR(MAX($Y$12:$Y706), 0) + 1),
        IF(ISNUMBER(SEARCH(".", D707)), "", INDEX($C$12:$C707, MATCH(2, 1/($C$12:$C707 &lt;&gt; ""))))
    )
)</f>
        <v/>
      </c>
      <c r="D707" s="206"/>
      <c r="E707" s="206" t="str">
        <f>IF(AA707 = "", "",
    IF(ISNUMBER(SEARCH("Kiện", C707)),
       " GÓI " &amp; COUNTIF($C$13:C707, "*Kiện*") &amp; "/" &amp; COUNTIF($C$13:$C$1000, "*Kiện*") &amp; " " &amp; AA707,
       AA707)
)</f>
        <v/>
      </c>
      <c r="F707" s="206"/>
      <c r="G707" s="206"/>
      <c r="H707" s="206"/>
      <c r="I707" s="206"/>
      <c r="J707" s="206" t="str">
        <f t="shared" si="151"/>
        <v/>
      </c>
      <c r="K707" s="206" t="str">
        <f t="shared" si="153"/>
        <v/>
      </c>
      <c r="L707" s="206" t="str">
        <f t="shared" si="154"/>
        <v/>
      </c>
      <c r="M707" s="206" t="str">
        <f t="shared" si="155"/>
        <v/>
      </c>
      <c r="N707" s="206" t="str">
        <f t="shared" si="156"/>
        <v/>
      </c>
      <c r="O707" s="206" t="str">
        <f t="shared" si="157"/>
        <v/>
      </c>
      <c r="P707" s="84" t="str">
        <f t="shared" si="158"/>
        <v/>
      </c>
      <c r="Q707" s="205"/>
      <c r="R707" s="70" t="str">
        <f>IF(S707="IN",'BOM_Phan II'!$Y$3,"")</f>
        <v/>
      </c>
      <c r="S707" s="69" t="str">
        <f t="shared" si="150"/>
        <v/>
      </c>
      <c r="T707">
        <f t="shared" si="159"/>
        <v>3</v>
      </c>
      <c r="U707" t="str">
        <f t="shared" ref="U707:U738" si="162">IF(C707="",U706,C707)</f>
        <v>KIỆN 14</v>
      </c>
      <c r="V707" t="str">
        <f t="shared" si="160"/>
        <v/>
      </c>
      <c r="W707" s="266"/>
      <c r="X707" s="266"/>
      <c r="Y707" s="266" t="str">
        <f t="shared" si="152"/>
        <v/>
      </c>
      <c r="Z707" s="266"/>
    </row>
    <row r="708" spans="1:26" ht="27" hidden="1" customHeight="1">
      <c r="A708" s="70" t="str">
        <f t="shared" si="148"/>
        <v/>
      </c>
      <c r="B708" s="70" t="str">
        <f t="shared" si="149"/>
        <v/>
      </c>
      <c r="C708" s="204" t="str" cm="1">
        <f t="array" ref="C708">IF(D708="","",
    IF(AND(ISNUMBER(D708), D708=INT(D708)),
        $V$6 &amp; " " &amp; (IFERROR(MAX($Y$12:$Y707), 0) + 1),
        IF(ISNUMBER(SEARCH(".", D708)), "", INDEX($C$12:$C708, MATCH(2, 1/($C$12:$C708 &lt;&gt; ""))))
    )
)</f>
        <v/>
      </c>
      <c r="D708" s="206"/>
      <c r="E708" s="206" t="str">
        <f>IF(AA708 = "", "",
    IF(ISNUMBER(SEARCH("Kiện", C708)),
       " GÓI " &amp; COUNTIF($C$13:C708, "*Kiện*") &amp; "/" &amp; COUNTIF($C$13:$C$1000, "*Kiện*") &amp; " " &amp; AA708,
       AA708)
)</f>
        <v/>
      </c>
      <c r="F708" s="206"/>
      <c r="G708" s="206"/>
      <c r="H708" s="206"/>
      <c r="I708" s="206"/>
      <c r="J708" s="206" t="str">
        <f t="shared" si="151"/>
        <v/>
      </c>
      <c r="K708" s="206" t="str">
        <f t="shared" si="153"/>
        <v/>
      </c>
      <c r="L708" s="206" t="str">
        <f t="shared" si="154"/>
        <v/>
      </c>
      <c r="M708" s="206" t="str">
        <f t="shared" si="155"/>
        <v/>
      </c>
      <c r="N708" s="206" t="str">
        <f t="shared" si="156"/>
        <v/>
      </c>
      <c r="O708" s="206" t="str">
        <f t="shared" si="157"/>
        <v/>
      </c>
      <c r="P708" s="84" t="str">
        <f t="shared" si="158"/>
        <v/>
      </c>
      <c r="Q708" s="205"/>
      <c r="R708" s="70" t="str">
        <f>IF(S708="IN",'BOM_Phan II'!$Y$3,"")</f>
        <v/>
      </c>
      <c r="S708" s="69" t="str">
        <f t="shared" si="150"/>
        <v/>
      </c>
      <c r="T708">
        <f t="shared" si="159"/>
        <v>3</v>
      </c>
      <c r="U708" t="str">
        <f t="shared" si="162"/>
        <v>KIỆN 14</v>
      </c>
      <c r="V708" t="str">
        <f t="shared" si="160"/>
        <v/>
      </c>
      <c r="W708" s="266"/>
      <c r="X708" s="266"/>
      <c r="Y708" s="266" t="str">
        <f t="shared" si="152"/>
        <v/>
      </c>
      <c r="Z708" s="266"/>
    </row>
    <row r="709" spans="1:26" ht="27" hidden="1" customHeight="1">
      <c r="A709" s="70" t="str">
        <f t="shared" si="148"/>
        <v/>
      </c>
      <c r="B709" s="70" t="str">
        <f t="shared" si="149"/>
        <v/>
      </c>
      <c r="C709" s="204" t="str" cm="1">
        <f t="array" ref="C709">IF(D709="","",
    IF(AND(ISNUMBER(D709), D709=INT(D709)),
        $V$6 &amp; " " &amp; (IFERROR(MAX($Y$12:$Y708), 0) + 1),
        IF(ISNUMBER(SEARCH(".", D709)), "", INDEX($C$12:$C709, MATCH(2, 1/($C$12:$C709 &lt;&gt; ""))))
    )
)</f>
        <v/>
      </c>
      <c r="D709" s="206"/>
      <c r="E709" s="206" t="str">
        <f>IF(AA709 = "", "",
    IF(ISNUMBER(SEARCH("Kiện", C709)),
       " GÓI " &amp; COUNTIF($C$13:C709, "*Kiện*") &amp; "/" &amp; COUNTIF($C$13:$C$1000, "*Kiện*") &amp; " " &amp; AA709,
       AA709)
)</f>
        <v/>
      </c>
      <c r="F709" s="206"/>
      <c r="G709" s="206"/>
      <c r="H709" s="206"/>
      <c r="I709" s="206"/>
      <c r="J709" s="206" t="str">
        <f t="shared" si="151"/>
        <v/>
      </c>
      <c r="K709" s="206" t="str">
        <f t="shared" si="153"/>
        <v/>
      </c>
      <c r="L709" s="206" t="str">
        <f t="shared" si="154"/>
        <v/>
      </c>
      <c r="M709" s="206" t="str">
        <f t="shared" si="155"/>
        <v/>
      </c>
      <c r="N709" s="206" t="str">
        <f t="shared" si="156"/>
        <v/>
      </c>
      <c r="O709" s="206" t="str">
        <f t="shared" si="157"/>
        <v/>
      </c>
      <c r="P709" s="84" t="str">
        <f t="shared" si="158"/>
        <v/>
      </c>
      <c r="Q709" s="205"/>
      <c r="R709" s="70" t="str">
        <f>IF(S709="IN",'BOM_Phan II'!$Y$3,"")</f>
        <v/>
      </c>
      <c r="S709" s="69" t="str">
        <f t="shared" si="150"/>
        <v/>
      </c>
      <c r="T709">
        <f t="shared" si="159"/>
        <v>3</v>
      </c>
      <c r="U709" t="str">
        <f t="shared" si="162"/>
        <v>KIỆN 14</v>
      </c>
      <c r="V709" t="str">
        <f t="shared" si="160"/>
        <v/>
      </c>
      <c r="W709" s="266"/>
      <c r="X709" s="266"/>
      <c r="Y709" s="266" t="str">
        <f t="shared" si="152"/>
        <v/>
      </c>
      <c r="Z709" s="266"/>
    </row>
    <row r="710" spans="1:26" ht="27" hidden="1" customHeight="1">
      <c r="A710" s="70" t="str">
        <f t="shared" si="148"/>
        <v/>
      </c>
      <c r="B710" s="70" t="str">
        <f t="shared" si="149"/>
        <v/>
      </c>
      <c r="C710" s="204" t="str" cm="1">
        <f t="array" ref="C710">IF(D710="","",
    IF(AND(ISNUMBER(D710), D710=INT(D710)),
        $V$6 &amp; " " &amp; (IFERROR(MAX($Y$12:$Y709), 0) + 1),
        IF(ISNUMBER(SEARCH(".", D710)), "", INDEX($C$12:$C710, MATCH(2, 1/($C$12:$C710 &lt;&gt; ""))))
    )
)</f>
        <v/>
      </c>
      <c r="D710" s="206"/>
      <c r="E710" s="206" t="str">
        <f>IF(AA710 = "", "",
    IF(ISNUMBER(SEARCH("Kiện", C710)),
       " GÓI " &amp; COUNTIF($C$13:C710, "*Kiện*") &amp; "/" &amp; COUNTIF($C$13:$C$1000, "*Kiện*") &amp; " " &amp; AA710,
       AA710)
)</f>
        <v/>
      </c>
      <c r="F710" s="206"/>
      <c r="G710" s="206"/>
      <c r="H710" s="206"/>
      <c r="I710" s="206"/>
      <c r="J710" s="206" t="str">
        <f t="shared" si="151"/>
        <v/>
      </c>
      <c r="K710" s="206" t="str">
        <f t="shared" si="153"/>
        <v/>
      </c>
      <c r="L710" s="206" t="str">
        <f t="shared" si="154"/>
        <v/>
      </c>
      <c r="M710" s="206" t="str">
        <f t="shared" si="155"/>
        <v/>
      </c>
      <c r="N710" s="206" t="str">
        <f t="shared" si="156"/>
        <v/>
      </c>
      <c r="O710" s="206" t="str">
        <f t="shared" si="157"/>
        <v/>
      </c>
      <c r="P710" s="84" t="str">
        <f t="shared" si="158"/>
        <v/>
      </c>
      <c r="Q710" s="205"/>
      <c r="R710" s="70" t="str">
        <f>IF(S710="IN",'BOM_Phan II'!$Y$3,"")</f>
        <v/>
      </c>
      <c r="S710" s="69" t="str">
        <f t="shared" si="150"/>
        <v/>
      </c>
      <c r="T710">
        <f t="shared" si="159"/>
        <v>3</v>
      </c>
      <c r="U710" t="str">
        <f t="shared" si="162"/>
        <v>KIỆN 14</v>
      </c>
      <c r="V710" t="str">
        <f t="shared" si="160"/>
        <v/>
      </c>
      <c r="W710" s="266"/>
      <c r="X710" s="266"/>
      <c r="Y710" s="266" t="str">
        <f t="shared" si="152"/>
        <v/>
      </c>
      <c r="Z710" s="266"/>
    </row>
    <row r="711" spans="1:26" ht="27" hidden="1" customHeight="1">
      <c r="A711" s="70" t="str">
        <f t="shared" si="148"/>
        <v/>
      </c>
      <c r="B711" s="70" t="str">
        <f t="shared" si="149"/>
        <v/>
      </c>
      <c r="C711" s="204" t="str" cm="1">
        <f t="array" ref="C711">IF(D711="","",
    IF(AND(ISNUMBER(D711), D711=INT(D711)),
        $V$6 &amp; " " &amp; (IFERROR(MAX($Y$12:$Y710), 0) + 1),
        IF(ISNUMBER(SEARCH(".", D711)), "", INDEX($C$12:$C711, MATCH(2, 1/($C$12:$C711 &lt;&gt; ""))))
    )
)</f>
        <v/>
      </c>
      <c r="D711" s="206"/>
      <c r="E711" s="206" t="str">
        <f>IF(AA711 = "", "",
    IF(ISNUMBER(SEARCH("Kiện", C711)),
       " GÓI " &amp; COUNTIF($C$13:C711, "*Kiện*") &amp; "/" &amp; COUNTIF($C$13:$C$1000, "*Kiện*") &amp; " " &amp; AA711,
       AA711)
)</f>
        <v/>
      </c>
      <c r="F711" s="206"/>
      <c r="G711" s="206"/>
      <c r="H711" s="206"/>
      <c r="I711" s="206"/>
      <c r="J711" s="206" t="str">
        <f t="shared" si="151"/>
        <v/>
      </c>
      <c r="K711" s="206" t="str">
        <f t="shared" si="153"/>
        <v/>
      </c>
      <c r="L711" s="206" t="str">
        <f t="shared" si="154"/>
        <v/>
      </c>
      <c r="M711" s="206" t="str">
        <f t="shared" si="155"/>
        <v/>
      </c>
      <c r="N711" s="206" t="str">
        <f t="shared" si="156"/>
        <v/>
      </c>
      <c r="O711" s="206" t="str">
        <f t="shared" si="157"/>
        <v/>
      </c>
      <c r="P711" s="84" t="str">
        <f t="shared" si="158"/>
        <v/>
      </c>
      <c r="Q711" s="205"/>
      <c r="R711" s="70" t="str">
        <f>IF(S711="IN",'BOM_Phan II'!$Y$3,"")</f>
        <v/>
      </c>
      <c r="S711" s="69" t="str">
        <f t="shared" si="150"/>
        <v/>
      </c>
      <c r="T711">
        <f t="shared" si="159"/>
        <v>3</v>
      </c>
      <c r="U711" t="str">
        <f t="shared" si="162"/>
        <v>KIỆN 14</v>
      </c>
      <c r="V711" t="str">
        <f t="shared" si="160"/>
        <v/>
      </c>
      <c r="W711" s="266"/>
      <c r="X711" s="266"/>
      <c r="Y711" s="266" t="str">
        <f t="shared" si="152"/>
        <v/>
      </c>
      <c r="Z711" s="266"/>
    </row>
    <row r="712" spans="1:26" ht="27" hidden="1" customHeight="1">
      <c r="A712" s="70" t="str">
        <f t="shared" si="148"/>
        <v/>
      </c>
      <c r="B712" s="70" t="str">
        <f t="shared" si="149"/>
        <v/>
      </c>
      <c r="C712" s="204" t="str" cm="1">
        <f t="array" ref="C712">IF(D712="","",
    IF(AND(ISNUMBER(D712), D712=INT(D712)),
        $V$6 &amp; " " &amp; (IFERROR(MAX($Y$12:$Y711), 0) + 1),
        IF(ISNUMBER(SEARCH(".", D712)), "", INDEX($C$12:$C712, MATCH(2, 1/($C$12:$C712 &lt;&gt; ""))))
    )
)</f>
        <v/>
      </c>
      <c r="D712" s="206"/>
      <c r="E712" s="206" t="str">
        <f>IF(AA712 = "", "",
    IF(ISNUMBER(SEARCH("Kiện", C712)),
       " GÓI " &amp; COUNTIF($C$13:C712, "*Kiện*") &amp; "/" &amp; COUNTIF($C$13:$C$1000, "*Kiện*") &amp; " " &amp; AA712,
       AA712)
)</f>
        <v/>
      </c>
      <c r="F712" s="206"/>
      <c r="G712" s="206"/>
      <c r="H712" s="206"/>
      <c r="I712" s="206"/>
      <c r="J712" s="206" t="str">
        <f t="shared" si="151"/>
        <v/>
      </c>
      <c r="K712" s="206" t="str">
        <f t="shared" si="153"/>
        <v/>
      </c>
      <c r="L712" s="206" t="str">
        <f t="shared" si="154"/>
        <v/>
      </c>
      <c r="M712" s="206" t="str">
        <f t="shared" si="155"/>
        <v/>
      </c>
      <c r="N712" s="206" t="str">
        <f t="shared" si="156"/>
        <v/>
      </c>
      <c r="O712" s="206" t="str">
        <f t="shared" si="157"/>
        <v/>
      </c>
      <c r="P712" s="84" t="str">
        <f t="shared" si="158"/>
        <v/>
      </c>
      <c r="Q712" s="205"/>
      <c r="R712" s="70" t="str">
        <f>IF(S712="IN",'BOM_Phan II'!$Y$3,"")</f>
        <v/>
      </c>
      <c r="S712" s="69" t="str">
        <f t="shared" si="150"/>
        <v/>
      </c>
      <c r="T712">
        <f t="shared" si="159"/>
        <v>3</v>
      </c>
      <c r="U712" t="str">
        <f t="shared" si="162"/>
        <v>KIỆN 14</v>
      </c>
      <c r="V712" t="str">
        <f t="shared" si="160"/>
        <v/>
      </c>
      <c r="W712" s="266"/>
      <c r="X712" s="266"/>
      <c r="Y712" s="266" t="str">
        <f t="shared" si="152"/>
        <v/>
      </c>
      <c r="Z712" s="266"/>
    </row>
    <row r="713" spans="1:26" ht="27" hidden="1" customHeight="1">
      <c r="A713" s="70" t="str">
        <f t="shared" si="148"/>
        <v/>
      </c>
      <c r="B713" s="70" t="str">
        <f t="shared" si="149"/>
        <v/>
      </c>
      <c r="C713" s="204" t="str" cm="1">
        <f t="array" ref="C713">IF(D713="","",
    IF(AND(ISNUMBER(D713), D713=INT(D713)),
        $V$6 &amp; " " &amp; (IFERROR(MAX($Y$12:$Y712), 0) + 1),
        IF(ISNUMBER(SEARCH(".", D713)), "", INDEX($C$12:$C713, MATCH(2, 1/($C$12:$C713 &lt;&gt; ""))))
    )
)</f>
        <v/>
      </c>
      <c r="D713" s="206"/>
      <c r="E713" s="206" t="str">
        <f>IF(AA713 = "", "",
    IF(ISNUMBER(SEARCH("Kiện", C713)),
       " GÓI " &amp; COUNTIF($C$13:C713, "*Kiện*") &amp; "/" &amp; COUNTIF($C$13:$C$1000, "*Kiện*") &amp; " " &amp; AA713,
       AA713)
)</f>
        <v/>
      </c>
      <c r="F713" s="206"/>
      <c r="G713" s="206"/>
      <c r="H713" s="206"/>
      <c r="I713" s="206"/>
      <c r="J713" s="206" t="str">
        <f t="shared" si="151"/>
        <v/>
      </c>
      <c r="K713" s="206" t="str">
        <f t="shared" si="153"/>
        <v/>
      </c>
      <c r="L713" s="206" t="str">
        <f t="shared" si="154"/>
        <v/>
      </c>
      <c r="M713" s="206" t="str">
        <f t="shared" si="155"/>
        <v/>
      </c>
      <c r="N713" s="206" t="str">
        <f t="shared" si="156"/>
        <v/>
      </c>
      <c r="O713" s="206" t="str">
        <f t="shared" si="157"/>
        <v/>
      </c>
      <c r="P713" s="84" t="str">
        <f t="shared" si="158"/>
        <v/>
      </c>
      <c r="Q713" s="205"/>
      <c r="R713" s="70" t="str">
        <f>IF(S713="IN",'BOM_Phan II'!$Y$3,"")</f>
        <v/>
      </c>
      <c r="S713" s="69" t="str">
        <f t="shared" si="150"/>
        <v/>
      </c>
      <c r="T713">
        <f t="shared" si="159"/>
        <v>3</v>
      </c>
      <c r="U713" t="str">
        <f t="shared" si="162"/>
        <v>KIỆN 14</v>
      </c>
      <c r="V713" t="str">
        <f t="shared" si="160"/>
        <v/>
      </c>
      <c r="W713" s="266"/>
      <c r="X713" s="266"/>
      <c r="Y713" s="266" t="str">
        <f t="shared" si="152"/>
        <v/>
      </c>
      <c r="Z713" s="266"/>
    </row>
    <row r="714" spans="1:26" ht="27" hidden="1" customHeight="1">
      <c r="A714" s="70" t="str">
        <f t="shared" si="148"/>
        <v/>
      </c>
      <c r="B714" s="70" t="str">
        <f t="shared" si="149"/>
        <v/>
      </c>
      <c r="C714" s="204" t="str" cm="1">
        <f t="array" ref="C714">IF(D714="","",
    IF(AND(ISNUMBER(D714), D714=INT(D714)),
        $V$6 &amp; " " &amp; (IFERROR(MAX($Y$12:$Y713), 0) + 1),
        IF(ISNUMBER(SEARCH(".", D714)), "", INDEX($C$12:$C714, MATCH(2, 1/($C$12:$C714 &lt;&gt; ""))))
    )
)</f>
        <v/>
      </c>
      <c r="D714" s="206"/>
      <c r="E714" s="206" t="str">
        <f>IF(AA714 = "", "",
    IF(ISNUMBER(SEARCH("Kiện", C714)),
       " GÓI " &amp; COUNTIF($C$13:C714, "*Kiện*") &amp; "/" &amp; COUNTIF($C$13:$C$1000, "*Kiện*") &amp; " " &amp; AA714,
       AA714)
)</f>
        <v/>
      </c>
      <c r="F714" s="206"/>
      <c r="G714" s="206"/>
      <c r="H714" s="206"/>
      <c r="I714" s="206"/>
      <c r="J714" s="206" t="str">
        <f t="shared" si="151"/>
        <v/>
      </c>
      <c r="K714" s="206" t="str">
        <f t="shared" si="153"/>
        <v/>
      </c>
      <c r="L714" s="206" t="str">
        <f t="shared" si="154"/>
        <v/>
      </c>
      <c r="M714" s="206" t="str">
        <f t="shared" si="155"/>
        <v/>
      </c>
      <c r="N714" s="206" t="str">
        <f t="shared" si="156"/>
        <v/>
      </c>
      <c r="O714" s="206" t="str">
        <f t="shared" si="157"/>
        <v/>
      </c>
      <c r="P714" s="84" t="str">
        <f t="shared" si="158"/>
        <v/>
      </c>
      <c r="Q714" s="205"/>
      <c r="R714" s="70" t="str">
        <f>IF(S714="IN",'BOM_Phan II'!$Y$3,"")</f>
        <v/>
      </c>
      <c r="S714" s="69" t="str">
        <f t="shared" si="150"/>
        <v/>
      </c>
      <c r="T714">
        <f t="shared" si="159"/>
        <v>3</v>
      </c>
      <c r="U714" t="str">
        <f t="shared" si="162"/>
        <v>KIỆN 14</v>
      </c>
      <c r="V714" t="str">
        <f t="shared" si="160"/>
        <v/>
      </c>
      <c r="W714" s="266"/>
      <c r="X714" s="266"/>
      <c r="Y714" s="266" t="str">
        <f t="shared" si="152"/>
        <v/>
      </c>
      <c r="Z714" s="266"/>
    </row>
    <row r="715" spans="1:26" ht="27" hidden="1" customHeight="1">
      <c r="A715" s="70" t="str">
        <f t="shared" si="148"/>
        <v/>
      </c>
      <c r="B715" s="70" t="str">
        <f t="shared" si="149"/>
        <v/>
      </c>
      <c r="C715" s="204" t="str" cm="1">
        <f t="array" ref="C715">IF(D715="","",
    IF(AND(ISNUMBER(D715), D715=INT(D715)),
        $V$6 &amp; " " &amp; (IFERROR(MAX($Y$12:$Y714), 0) + 1),
        IF(ISNUMBER(SEARCH(".", D715)), "", INDEX($C$12:$C715, MATCH(2, 1/($C$12:$C715 &lt;&gt; ""))))
    )
)</f>
        <v/>
      </c>
      <c r="D715" s="206"/>
      <c r="E715" s="206" t="str">
        <f>IF(AA715 = "", "",
    IF(ISNUMBER(SEARCH("Kiện", C715)),
       " GÓI " &amp; COUNTIF($C$13:C715, "*Kiện*") &amp; "/" &amp; COUNTIF($C$13:$C$1000, "*Kiện*") &amp; " " &amp; AA715,
       AA715)
)</f>
        <v/>
      </c>
      <c r="F715" s="206"/>
      <c r="G715" s="206"/>
      <c r="H715" s="206"/>
      <c r="I715" s="206"/>
      <c r="J715" s="206" t="str">
        <f t="shared" si="151"/>
        <v/>
      </c>
      <c r="K715" s="206" t="str">
        <f t="shared" si="153"/>
        <v/>
      </c>
      <c r="L715" s="206" t="str">
        <f t="shared" si="154"/>
        <v/>
      </c>
      <c r="M715" s="206" t="str">
        <f t="shared" si="155"/>
        <v/>
      </c>
      <c r="N715" s="206" t="str">
        <f t="shared" si="156"/>
        <v/>
      </c>
      <c r="O715" s="206" t="str">
        <f t="shared" si="157"/>
        <v/>
      </c>
      <c r="P715" s="84" t="str">
        <f t="shared" si="158"/>
        <v/>
      </c>
      <c r="Q715" s="205"/>
      <c r="R715" s="70" t="str">
        <f>IF(S715="IN",'BOM_Phan II'!$Y$3,"")</f>
        <v/>
      </c>
      <c r="S715" s="69" t="str">
        <f t="shared" si="150"/>
        <v/>
      </c>
      <c r="T715">
        <f t="shared" si="159"/>
        <v>3</v>
      </c>
      <c r="U715" t="str">
        <f t="shared" si="162"/>
        <v>KIỆN 14</v>
      </c>
      <c r="V715" t="str">
        <f t="shared" si="160"/>
        <v/>
      </c>
      <c r="W715" s="266"/>
      <c r="X715" s="266"/>
      <c r="Y715" s="266" t="str">
        <f t="shared" si="152"/>
        <v/>
      </c>
      <c r="Z715" s="266"/>
    </row>
    <row r="716" spans="1:26" ht="27" hidden="1" customHeight="1">
      <c r="A716" s="70" t="str">
        <f t="shared" ref="A716:A779" si="163">IF(S716="IN",$E$6,"")</f>
        <v/>
      </c>
      <c r="B716" s="70" t="str">
        <f t="shared" ref="B716:B779" si="164">IF(S716="IN","Muc "&amp;$E$7,"")</f>
        <v/>
      </c>
      <c r="C716" s="204" t="str" cm="1">
        <f t="array" ref="C716">IF(D716="","",
    IF(AND(ISNUMBER(D716), D716=INT(D716)),
        $V$6 &amp; " " &amp; (IFERROR(MAX($Y$12:$Y715), 0) + 1),
        IF(ISNUMBER(SEARCH(".", D716)), "", INDEX($C$12:$C716, MATCH(2, 1/($C$12:$C716 &lt;&gt; ""))))
    )
)</f>
        <v/>
      </c>
      <c r="D716" s="206"/>
      <c r="E716" s="206" t="str">
        <f>IF(AA716 = "", "",
    IF(ISNUMBER(SEARCH("Kiện", C716)),
       " GÓI " &amp; COUNTIF($C$13:C716, "*Kiện*") &amp; "/" &amp; COUNTIF($C$13:$C$1000, "*Kiện*") &amp; " " &amp; AA716,
       AA716)
)</f>
        <v/>
      </c>
      <c r="F716" s="206"/>
      <c r="G716" s="206"/>
      <c r="H716" s="206"/>
      <c r="I716" s="206"/>
      <c r="J716" s="206" t="str">
        <f t="shared" si="151"/>
        <v/>
      </c>
      <c r="K716" s="206" t="str">
        <f t="shared" si="153"/>
        <v/>
      </c>
      <c r="L716" s="206" t="str">
        <f t="shared" si="154"/>
        <v/>
      </c>
      <c r="M716" s="206" t="str">
        <f t="shared" si="155"/>
        <v/>
      </c>
      <c r="N716" s="206" t="str">
        <f t="shared" si="156"/>
        <v/>
      </c>
      <c r="O716" s="206" t="str">
        <f t="shared" si="157"/>
        <v/>
      </c>
      <c r="P716" s="84" t="str">
        <f t="shared" si="158"/>
        <v/>
      </c>
      <c r="Q716" s="205"/>
      <c r="R716" s="70" t="str">
        <f>IF(S716="IN",'BOM_Phan II'!$Y$3,"")</f>
        <v/>
      </c>
      <c r="S716" s="69" t="str">
        <f t="shared" ref="S716:S779" si="165">IF(OR(E716&lt;&gt;"",D716&lt;&gt;""),"IN","")</f>
        <v/>
      </c>
      <c r="T716">
        <f t="shared" si="159"/>
        <v>3</v>
      </c>
      <c r="U716" t="str">
        <f t="shared" si="162"/>
        <v>KIỆN 14</v>
      </c>
      <c r="V716" t="str">
        <f t="shared" si="160"/>
        <v/>
      </c>
      <c r="W716" s="266"/>
      <c r="X716" s="266"/>
      <c r="Y716" s="266" t="str">
        <f t="shared" si="152"/>
        <v/>
      </c>
      <c r="Z716" s="266"/>
    </row>
    <row r="717" spans="1:26" ht="27" hidden="1" customHeight="1">
      <c r="A717" s="70" t="str">
        <f t="shared" si="163"/>
        <v/>
      </c>
      <c r="B717" s="70" t="str">
        <f t="shared" si="164"/>
        <v/>
      </c>
      <c r="C717" s="204" t="str" cm="1">
        <f t="array" ref="C717">IF(D717="","",
    IF(AND(ISNUMBER(D717), D717=INT(D717)),
        $V$6 &amp; " " &amp; (IFERROR(MAX($Y$12:$Y716), 0) + 1),
        IF(ISNUMBER(SEARCH(".", D717)), "", INDEX($C$12:$C717, MATCH(2, 1/($C$12:$C717 &lt;&gt; ""))))
    )
)</f>
        <v/>
      </c>
      <c r="D717" s="206"/>
      <c r="E717" s="206" t="str">
        <f>IF(AA717 = "", "",
    IF(ISNUMBER(SEARCH("Kiện", C717)),
       " GÓI " &amp; COUNTIF($C$13:C717, "*Kiện*") &amp; "/" &amp; COUNTIF($C$13:$C$1000, "*Kiện*") &amp; " " &amp; AA717,
       AA717)
)</f>
        <v/>
      </c>
      <c r="F717" s="206"/>
      <c r="G717" s="206"/>
      <c r="H717" s="206"/>
      <c r="I717" s="206"/>
      <c r="J717" s="206" t="str">
        <f t="shared" ref="J717:J780" si="166">IF(C717&lt;&gt;"",C717&amp;"_"&amp;$E$6,"")</f>
        <v/>
      </c>
      <c r="K717" s="206" t="str">
        <f t="shared" si="153"/>
        <v/>
      </c>
      <c r="L717" s="206" t="str">
        <f t="shared" si="154"/>
        <v/>
      </c>
      <c r="M717" s="206" t="str">
        <f t="shared" si="155"/>
        <v/>
      </c>
      <c r="N717" s="206" t="str">
        <f t="shared" si="156"/>
        <v/>
      </c>
      <c r="O717" s="206" t="str">
        <f t="shared" si="157"/>
        <v/>
      </c>
      <c r="P717" s="84" t="str">
        <f t="shared" si="158"/>
        <v/>
      </c>
      <c r="Q717" s="205"/>
      <c r="R717" s="70" t="str">
        <f>IF(S717="IN",'BOM_Phan II'!$Y$3,"")</f>
        <v/>
      </c>
      <c r="S717" s="69" t="str">
        <f t="shared" si="165"/>
        <v/>
      </c>
      <c r="T717">
        <f t="shared" si="159"/>
        <v>3</v>
      </c>
      <c r="U717" t="str">
        <f t="shared" si="162"/>
        <v>KIỆN 14</v>
      </c>
      <c r="V717" t="str">
        <f t="shared" si="160"/>
        <v/>
      </c>
      <c r="W717" s="266"/>
      <c r="X717" s="266"/>
      <c r="Y717" s="266" t="str">
        <f t="shared" ref="Y717:Y780" si="167">IFERROR(VALUE(RIGHT(C717,LEN(C717)-5)),"")</f>
        <v/>
      </c>
      <c r="Z717" s="266"/>
    </row>
    <row r="718" spans="1:26" ht="27" hidden="1" customHeight="1">
      <c r="A718" s="70" t="str">
        <f t="shared" si="163"/>
        <v/>
      </c>
      <c r="B718" s="70" t="str">
        <f t="shared" si="164"/>
        <v/>
      </c>
      <c r="C718" s="204" t="str" cm="1">
        <f t="array" ref="C718">IF(D718="","",
    IF(AND(ISNUMBER(D718), D718=INT(D718)),
        $V$6 &amp; " " &amp; (IFERROR(MAX($Y$12:$Y717), 0) + 1),
        IF(ISNUMBER(SEARCH(".", D718)), "", INDEX($C$12:$C718, MATCH(2, 1/($C$12:$C718 &lt;&gt; ""))))
    )
)</f>
        <v/>
      </c>
      <c r="D718" s="206"/>
      <c r="E718" s="206" t="str">
        <f>IF(AA718 = "", "",
    IF(ISNUMBER(SEARCH("Kiện", C718)),
       " GÓI " &amp; COUNTIF($C$13:C718, "*Kiện*") &amp; "/" &amp; COUNTIF($C$13:$C$1000, "*Kiện*") &amp; " " &amp; AA718,
       AA718)
)</f>
        <v/>
      </c>
      <c r="F718" s="206"/>
      <c r="G718" s="206"/>
      <c r="H718" s="206"/>
      <c r="I718" s="206"/>
      <c r="J718" s="206" t="str">
        <f t="shared" si="166"/>
        <v/>
      </c>
      <c r="K718" s="206" t="str">
        <f t="shared" ref="K718:K781" si="168">IFERROR(IF($C718&lt;&gt;"",IF($T$13=1,F718+20,IF($T$13=2,F718+20,IF($T$13=3,F718+50,IF($T$13=4,F718+40,IF($T$13=5,F718+50,IF($T$13=51,F718+50,IF($T$13=6,F718+50,IF($T$13=7,F718+50,"")))))))),""),"")</f>
        <v/>
      </c>
      <c r="L718" s="206" t="str">
        <f t="shared" ref="L718:L781" si="169">IFERROR(IF($C718&lt;&gt;"",IF($T$13=1,G718+20,IF($T$13=2,G718+20,IF($T$13=3,G718+50,IF($T$13=4,G718+40,IF($T$13=5,G718+50,IF($T$13=51,G718+50,IF($T$13=6,G718+50,IF($T$13=7,G718+50,"")))))))),""),"")</f>
        <v/>
      </c>
      <c r="M718" s="206" t="str">
        <f t="shared" ref="M718:M781" si="170">IFERROR(IF($C718&lt;&gt;"",IF($T$13=1,H718+20,IF($T$13=2,H718+20,IF($T$13=3,H718+70,IF($T$13=4,H718+40,IF($T$13=5,H718+50,IF($T$13=51,H718+150,IF($T$13=6,H718+50,IF($T$13=7,H718+50,"")))))))),""),"")</f>
        <v/>
      </c>
      <c r="N718" s="206" t="str">
        <f t="shared" ref="N718:N781" si="171">IF(C718&lt;&gt;"",I718,"")</f>
        <v/>
      </c>
      <c r="O718" s="206" t="str">
        <f t="shared" ref="O718:O781" si="172">IF(C718&lt;&gt;"",$O$13,"")</f>
        <v/>
      </c>
      <c r="P718" s="84" t="str">
        <f t="shared" ref="P718:P781" si="173">IFERROR(IF(C718&lt;&gt;"",SUMIFS($V$13:$V$969,$U$13:$U$969,C718)*$S$6,V718*$S$6),"")</f>
        <v/>
      </c>
      <c r="Q718" s="205"/>
      <c r="R718" s="70" t="str">
        <f>IF(S718="IN",'BOM_Phan II'!$Y$3,"")</f>
        <v/>
      </c>
      <c r="S718" s="69" t="str">
        <f t="shared" si="165"/>
        <v/>
      </c>
      <c r="T718">
        <f t="shared" ref="T718:T781" si="174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3</v>
      </c>
      <c r="U718" t="str">
        <f t="shared" si="162"/>
        <v>KIỆN 14</v>
      </c>
      <c r="V718" t="str">
        <f t="shared" ref="V718:V781" si="175">IFERROR(IF(AND(C718="", OR($W718="1", $W718="2")), IF(I718="", "", F718*G718*H718*I718/10^9), ""), "")</f>
        <v/>
      </c>
      <c r="W718" s="266"/>
      <c r="X718" s="266"/>
      <c r="Y718" s="266" t="str">
        <f t="shared" si="167"/>
        <v/>
      </c>
      <c r="Z718" s="266"/>
    </row>
    <row r="719" spans="1:26" ht="27" hidden="1" customHeight="1">
      <c r="A719" s="70" t="str">
        <f t="shared" si="163"/>
        <v/>
      </c>
      <c r="B719" s="70" t="str">
        <f t="shared" si="164"/>
        <v/>
      </c>
      <c r="C719" s="204" t="str" cm="1">
        <f t="array" ref="C719">IF(D719="","",
    IF(AND(ISNUMBER(D719), D719=INT(D719)),
        $V$6 &amp; " " &amp; (IFERROR(MAX($Y$12:$Y718), 0) + 1),
        IF(ISNUMBER(SEARCH(".", D719)), "", INDEX($C$12:$C719, MATCH(2, 1/($C$12:$C719 &lt;&gt; ""))))
    )
)</f>
        <v/>
      </c>
      <c r="D719" s="206"/>
      <c r="E719" s="206" t="str">
        <f>IF(AA719 = "", "",
    IF(ISNUMBER(SEARCH("Kiện", C719)),
       " GÓI " &amp; COUNTIF($C$13:C719, "*Kiện*") &amp; "/" &amp; COUNTIF($C$13:$C$1000, "*Kiện*") &amp; " " &amp; AA719,
       AA719)
)</f>
        <v/>
      </c>
      <c r="F719" s="206"/>
      <c r="G719" s="206"/>
      <c r="H719" s="206"/>
      <c r="I719" s="206"/>
      <c r="J719" s="206" t="str">
        <f t="shared" si="166"/>
        <v/>
      </c>
      <c r="K719" s="206" t="str">
        <f t="shared" si="168"/>
        <v/>
      </c>
      <c r="L719" s="206" t="str">
        <f t="shared" si="169"/>
        <v/>
      </c>
      <c r="M719" s="206" t="str">
        <f t="shared" si="170"/>
        <v/>
      </c>
      <c r="N719" s="206" t="str">
        <f t="shared" si="171"/>
        <v/>
      </c>
      <c r="O719" s="206" t="str">
        <f t="shared" si="172"/>
        <v/>
      </c>
      <c r="P719" s="84" t="str">
        <f t="shared" si="173"/>
        <v/>
      </c>
      <c r="Q719" s="205"/>
      <c r="R719" s="70" t="str">
        <f>IF(S719="IN",'BOM_Phan II'!$Y$3,"")</f>
        <v/>
      </c>
      <c r="S719" s="69" t="str">
        <f t="shared" si="165"/>
        <v/>
      </c>
      <c r="T719">
        <f t="shared" si="174"/>
        <v>3</v>
      </c>
      <c r="U719" t="str">
        <f t="shared" si="162"/>
        <v>KIỆN 14</v>
      </c>
      <c r="V719" t="str">
        <f t="shared" si="175"/>
        <v/>
      </c>
      <c r="W719" s="266"/>
      <c r="X719" s="266"/>
      <c r="Y719" s="266" t="str">
        <f t="shared" si="167"/>
        <v/>
      </c>
      <c r="Z719" s="266"/>
    </row>
    <row r="720" spans="1:26" ht="27" hidden="1" customHeight="1">
      <c r="A720" s="70" t="str">
        <f t="shared" si="163"/>
        <v/>
      </c>
      <c r="B720" s="70" t="str">
        <f t="shared" si="164"/>
        <v/>
      </c>
      <c r="C720" s="204" t="str" cm="1">
        <f t="array" ref="C720">IF(D720="","",
    IF(AND(ISNUMBER(D720), D720=INT(D720)),
        $V$6 &amp; " " &amp; (IFERROR(MAX($Y$12:$Y719), 0) + 1),
        IF(ISNUMBER(SEARCH(".", D720)), "", INDEX($C$12:$C720, MATCH(2, 1/($C$12:$C720 &lt;&gt; ""))))
    )
)</f>
        <v/>
      </c>
      <c r="D720" s="206"/>
      <c r="E720" s="206" t="str">
        <f>IF(AA720 = "", "",
    IF(ISNUMBER(SEARCH("Kiện", C720)),
       " GÓI " &amp; COUNTIF($C$13:C720, "*Kiện*") &amp; "/" &amp; COUNTIF($C$13:$C$1000, "*Kiện*") &amp; " " &amp; AA720,
       AA720)
)</f>
        <v/>
      </c>
      <c r="F720" s="206"/>
      <c r="G720" s="206"/>
      <c r="H720" s="206"/>
      <c r="I720" s="206"/>
      <c r="J720" s="206" t="str">
        <f t="shared" si="166"/>
        <v/>
      </c>
      <c r="K720" s="206" t="str">
        <f t="shared" si="168"/>
        <v/>
      </c>
      <c r="L720" s="206" t="str">
        <f t="shared" si="169"/>
        <v/>
      </c>
      <c r="M720" s="206" t="str">
        <f t="shared" si="170"/>
        <v/>
      </c>
      <c r="N720" s="206" t="str">
        <f t="shared" si="171"/>
        <v/>
      </c>
      <c r="O720" s="206" t="str">
        <f t="shared" si="172"/>
        <v/>
      </c>
      <c r="P720" s="84" t="str">
        <f t="shared" si="173"/>
        <v/>
      </c>
      <c r="Q720" s="205"/>
      <c r="R720" s="70" t="str">
        <f>IF(S720="IN",'BOM_Phan II'!$Y$3,"")</f>
        <v/>
      </c>
      <c r="S720" s="69" t="str">
        <f t="shared" si="165"/>
        <v/>
      </c>
      <c r="T720">
        <f t="shared" si="174"/>
        <v>3</v>
      </c>
      <c r="U720" t="str">
        <f t="shared" si="162"/>
        <v>KIỆN 14</v>
      </c>
      <c r="V720" t="str">
        <f t="shared" si="175"/>
        <v/>
      </c>
      <c r="W720" s="266"/>
      <c r="X720" s="266"/>
      <c r="Y720" s="266" t="str">
        <f t="shared" si="167"/>
        <v/>
      </c>
      <c r="Z720" s="266"/>
    </row>
    <row r="721" spans="1:26" ht="27" hidden="1" customHeight="1">
      <c r="A721" s="70" t="str">
        <f t="shared" si="163"/>
        <v/>
      </c>
      <c r="B721" s="70" t="str">
        <f t="shared" si="164"/>
        <v/>
      </c>
      <c r="C721" s="204" t="str" cm="1">
        <f t="array" ref="C721">IF(D721="","",
    IF(AND(ISNUMBER(D721), D721=INT(D721)),
        $V$6 &amp; " " &amp; (IFERROR(MAX($Y$12:$Y720), 0) + 1),
        IF(ISNUMBER(SEARCH(".", D721)), "", INDEX($C$12:$C721, MATCH(2, 1/($C$12:$C721 &lt;&gt; ""))))
    )
)</f>
        <v/>
      </c>
      <c r="D721" s="206"/>
      <c r="E721" s="206" t="str">
        <f>IF(AA721 = "", "",
    IF(ISNUMBER(SEARCH("Kiện", C721)),
       " GÓI " &amp; COUNTIF($C$13:C721, "*Kiện*") &amp; "/" &amp; COUNTIF($C$13:$C$1000, "*Kiện*") &amp; " " &amp; AA721,
       AA721)
)</f>
        <v/>
      </c>
      <c r="F721" s="206"/>
      <c r="G721" s="206"/>
      <c r="H721" s="206"/>
      <c r="I721" s="206"/>
      <c r="J721" s="206" t="str">
        <f t="shared" si="166"/>
        <v/>
      </c>
      <c r="K721" s="206" t="str">
        <f t="shared" si="168"/>
        <v/>
      </c>
      <c r="L721" s="206" t="str">
        <f t="shared" si="169"/>
        <v/>
      </c>
      <c r="M721" s="206" t="str">
        <f t="shared" si="170"/>
        <v/>
      </c>
      <c r="N721" s="206" t="str">
        <f t="shared" si="171"/>
        <v/>
      </c>
      <c r="O721" s="206" t="str">
        <f t="shared" si="172"/>
        <v/>
      </c>
      <c r="P721" s="84" t="str">
        <f t="shared" si="173"/>
        <v/>
      </c>
      <c r="Q721" s="205"/>
      <c r="R721" s="70" t="str">
        <f>IF(S721="IN",'BOM_Phan II'!$Y$3,"")</f>
        <v/>
      </c>
      <c r="S721" s="69" t="str">
        <f t="shared" si="165"/>
        <v/>
      </c>
      <c r="T721">
        <f t="shared" si="174"/>
        <v>3</v>
      </c>
      <c r="U721" t="str">
        <f t="shared" si="162"/>
        <v>KIỆN 14</v>
      </c>
      <c r="V721" t="str">
        <f t="shared" si="175"/>
        <v/>
      </c>
      <c r="W721" s="266"/>
      <c r="X721" s="266"/>
      <c r="Y721" s="266" t="str">
        <f t="shared" si="167"/>
        <v/>
      </c>
      <c r="Z721" s="266"/>
    </row>
    <row r="722" spans="1:26" ht="27" hidden="1" customHeight="1">
      <c r="A722" s="70" t="str">
        <f t="shared" si="163"/>
        <v/>
      </c>
      <c r="B722" s="70" t="str">
        <f t="shared" si="164"/>
        <v/>
      </c>
      <c r="C722" s="204" t="str" cm="1">
        <f t="array" ref="C722">IF(D722="","",
    IF(AND(ISNUMBER(D722), D722=INT(D722)),
        $V$6 &amp; " " &amp; (IFERROR(MAX($Y$12:$Y721), 0) + 1),
        IF(ISNUMBER(SEARCH(".", D722)), "", INDEX($C$12:$C722, MATCH(2, 1/($C$12:$C722 &lt;&gt; ""))))
    )
)</f>
        <v/>
      </c>
      <c r="D722" s="206"/>
      <c r="E722" s="206" t="str">
        <f>IF(AA722 = "", "",
    IF(ISNUMBER(SEARCH("Kiện", C722)),
       " GÓI " &amp; COUNTIF($C$13:C722, "*Kiện*") &amp; "/" &amp; COUNTIF($C$13:$C$1000, "*Kiện*") &amp; " " &amp; AA722,
       AA722)
)</f>
        <v/>
      </c>
      <c r="F722" s="206"/>
      <c r="G722" s="206"/>
      <c r="H722" s="206"/>
      <c r="I722" s="206"/>
      <c r="J722" s="206" t="str">
        <f t="shared" si="166"/>
        <v/>
      </c>
      <c r="K722" s="206" t="str">
        <f t="shared" si="168"/>
        <v/>
      </c>
      <c r="L722" s="206" t="str">
        <f t="shared" si="169"/>
        <v/>
      </c>
      <c r="M722" s="206" t="str">
        <f t="shared" si="170"/>
        <v/>
      </c>
      <c r="N722" s="206" t="str">
        <f t="shared" si="171"/>
        <v/>
      </c>
      <c r="O722" s="206" t="str">
        <f t="shared" si="172"/>
        <v/>
      </c>
      <c r="P722" s="84" t="str">
        <f t="shared" si="173"/>
        <v/>
      </c>
      <c r="Q722" s="205"/>
      <c r="R722" s="70" t="str">
        <f>IF(S722="IN",'BOM_Phan II'!$Y$3,"")</f>
        <v/>
      </c>
      <c r="S722" s="69" t="str">
        <f t="shared" si="165"/>
        <v/>
      </c>
      <c r="T722">
        <f t="shared" si="174"/>
        <v>3</v>
      </c>
      <c r="U722" t="str">
        <f t="shared" si="162"/>
        <v>KIỆN 14</v>
      </c>
      <c r="V722" t="str">
        <f t="shared" si="175"/>
        <v/>
      </c>
      <c r="W722" s="266"/>
      <c r="X722" s="266"/>
      <c r="Y722" s="266" t="str">
        <f t="shared" si="167"/>
        <v/>
      </c>
      <c r="Z722" s="266"/>
    </row>
    <row r="723" spans="1:26" ht="27" hidden="1" customHeight="1">
      <c r="A723" s="70" t="str">
        <f t="shared" si="163"/>
        <v/>
      </c>
      <c r="B723" s="70" t="str">
        <f t="shared" si="164"/>
        <v/>
      </c>
      <c r="C723" s="204" t="str" cm="1">
        <f t="array" ref="C723">IF(D723="","",
    IF(AND(ISNUMBER(D723), D723=INT(D723)),
        $V$6 &amp; " " &amp; (IFERROR(MAX($Y$12:$Y722), 0) + 1),
        IF(ISNUMBER(SEARCH(".", D723)), "", INDEX($C$12:$C723, MATCH(2, 1/($C$12:$C723 &lt;&gt; ""))))
    )
)</f>
        <v/>
      </c>
      <c r="D723" s="206"/>
      <c r="E723" s="206" t="str">
        <f>IF(AA723 = "", "",
    IF(ISNUMBER(SEARCH("Kiện", C723)),
       " GÓI " &amp; COUNTIF($C$13:C723, "*Kiện*") &amp; "/" &amp; COUNTIF($C$13:$C$1000, "*Kiện*") &amp; " " &amp; AA723,
       AA723)
)</f>
        <v/>
      </c>
      <c r="F723" s="206"/>
      <c r="G723" s="206"/>
      <c r="H723" s="206"/>
      <c r="I723" s="206"/>
      <c r="J723" s="206" t="str">
        <f t="shared" si="166"/>
        <v/>
      </c>
      <c r="K723" s="206" t="str">
        <f t="shared" si="168"/>
        <v/>
      </c>
      <c r="L723" s="206" t="str">
        <f t="shared" si="169"/>
        <v/>
      </c>
      <c r="M723" s="206" t="str">
        <f t="shared" si="170"/>
        <v/>
      </c>
      <c r="N723" s="206" t="str">
        <f t="shared" si="171"/>
        <v/>
      </c>
      <c r="O723" s="206" t="str">
        <f t="shared" si="172"/>
        <v/>
      </c>
      <c r="P723" s="84" t="str">
        <f t="shared" si="173"/>
        <v/>
      </c>
      <c r="Q723" s="205"/>
      <c r="R723" s="70" t="str">
        <f>IF(S723="IN",'BOM_Phan II'!$Y$3,"")</f>
        <v/>
      </c>
      <c r="S723" s="69" t="str">
        <f t="shared" si="165"/>
        <v/>
      </c>
      <c r="T723">
        <f t="shared" si="174"/>
        <v>3</v>
      </c>
      <c r="U723" t="str">
        <f t="shared" si="162"/>
        <v>KIỆN 14</v>
      </c>
      <c r="V723" t="str">
        <f t="shared" si="175"/>
        <v/>
      </c>
      <c r="W723" s="266"/>
      <c r="X723" s="266"/>
      <c r="Y723" s="266" t="str">
        <f t="shared" si="167"/>
        <v/>
      </c>
      <c r="Z723" s="266"/>
    </row>
    <row r="724" spans="1:26" ht="27" hidden="1" customHeight="1">
      <c r="A724" s="70" t="str">
        <f t="shared" si="163"/>
        <v/>
      </c>
      <c r="B724" s="70" t="str">
        <f t="shared" si="164"/>
        <v/>
      </c>
      <c r="C724" s="204" t="str" cm="1">
        <f t="array" ref="C724">IF(D724="","",
    IF(AND(ISNUMBER(D724), D724=INT(D724)),
        $V$6 &amp; " " &amp; (IFERROR(MAX($Y$12:$Y723), 0) + 1),
        IF(ISNUMBER(SEARCH(".", D724)), "", INDEX($C$12:$C724, MATCH(2, 1/($C$12:$C724 &lt;&gt; ""))))
    )
)</f>
        <v/>
      </c>
      <c r="D724" s="206"/>
      <c r="E724" s="206" t="str">
        <f>IF(AA724 = "", "",
    IF(ISNUMBER(SEARCH("Kiện", C724)),
       " GÓI " &amp; COUNTIF($C$13:C724, "*Kiện*") &amp; "/" &amp; COUNTIF($C$13:$C$1000, "*Kiện*") &amp; " " &amp; AA724,
       AA724)
)</f>
        <v/>
      </c>
      <c r="F724" s="206"/>
      <c r="G724" s="206"/>
      <c r="H724" s="206"/>
      <c r="I724" s="206"/>
      <c r="J724" s="206" t="str">
        <f t="shared" si="166"/>
        <v/>
      </c>
      <c r="K724" s="206" t="str">
        <f t="shared" si="168"/>
        <v/>
      </c>
      <c r="L724" s="206" t="str">
        <f t="shared" si="169"/>
        <v/>
      </c>
      <c r="M724" s="206" t="str">
        <f t="shared" si="170"/>
        <v/>
      </c>
      <c r="N724" s="206" t="str">
        <f t="shared" si="171"/>
        <v/>
      </c>
      <c r="O724" s="206" t="str">
        <f t="shared" si="172"/>
        <v/>
      </c>
      <c r="P724" s="84" t="str">
        <f t="shared" si="173"/>
        <v/>
      </c>
      <c r="Q724" s="205"/>
      <c r="R724" s="70" t="str">
        <f>IF(S724="IN",'BOM_Phan II'!$Y$3,"")</f>
        <v/>
      </c>
      <c r="S724" s="69" t="str">
        <f t="shared" si="165"/>
        <v/>
      </c>
      <c r="T724">
        <f t="shared" si="174"/>
        <v>3</v>
      </c>
      <c r="U724" t="str">
        <f t="shared" si="162"/>
        <v>KIỆN 14</v>
      </c>
      <c r="V724" t="str">
        <f t="shared" si="175"/>
        <v/>
      </c>
      <c r="W724" s="266"/>
      <c r="X724" s="266"/>
      <c r="Y724" s="266" t="str">
        <f t="shared" si="167"/>
        <v/>
      </c>
      <c r="Z724" s="266"/>
    </row>
    <row r="725" spans="1:26" ht="27" hidden="1" customHeight="1">
      <c r="A725" s="70" t="str">
        <f t="shared" si="163"/>
        <v/>
      </c>
      <c r="B725" s="70" t="str">
        <f t="shared" si="164"/>
        <v/>
      </c>
      <c r="C725" s="204" t="str" cm="1">
        <f t="array" ref="C725">IF(D725="","",
    IF(AND(ISNUMBER(D725), D725=INT(D725)),
        $V$6 &amp; " " &amp; (IFERROR(MAX($Y$12:$Y724), 0) + 1),
        IF(ISNUMBER(SEARCH(".", D725)), "", INDEX($C$12:$C725, MATCH(2, 1/($C$12:$C725 &lt;&gt; ""))))
    )
)</f>
        <v/>
      </c>
      <c r="D725" s="206"/>
      <c r="E725" s="206" t="str">
        <f>IF(AA725 = "", "",
    IF(ISNUMBER(SEARCH("Kiện", C725)),
       " GÓI " &amp; COUNTIF($C$13:C725, "*Kiện*") &amp; "/" &amp; COUNTIF($C$13:$C$1000, "*Kiện*") &amp; " " &amp; AA725,
       AA725)
)</f>
        <v/>
      </c>
      <c r="F725" s="206"/>
      <c r="G725" s="206"/>
      <c r="H725" s="206"/>
      <c r="I725" s="206"/>
      <c r="J725" s="206" t="str">
        <f t="shared" si="166"/>
        <v/>
      </c>
      <c r="K725" s="206" t="str">
        <f t="shared" si="168"/>
        <v/>
      </c>
      <c r="L725" s="206" t="str">
        <f t="shared" si="169"/>
        <v/>
      </c>
      <c r="M725" s="206" t="str">
        <f t="shared" si="170"/>
        <v/>
      </c>
      <c r="N725" s="206" t="str">
        <f t="shared" si="171"/>
        <v/>
      </c>
      <c r="O725" s="206" t="str">
        <f t="shared" si="172"/>
        <v/>
      </c>
      <c r="P725" s="84" t="str">
        <f t="shared" si="173"/>
        <v/>
      </c>
      <c r="Q725" s="205"/>
      <c r="R725" s="70" t="str">
        <f>IF(S725="IN",'BOM_Phan II'!$Y$3,"")</f>
        <v/>
      </c>
      <c r="S725" s="69" t="str">
        <f t="shared" si="165"/>
        <v/>
      </c>
      <c r="T725">
        <f t="shared" si="174"/>
        <v>3</v>
      </c>
      <c r="U725" t="str">
        <f t="shared" si="162"/>
        <v>KIỆN 14</v>
      </c>
      <c r="V725" t="str">
        <f t="shared" si="175"/>
        <v/>
      </c>
      <c r="W725" s="266"/>
      <c r="X725" s="266"/>
      <c r="Y725" s="266" t="str">
        <f t="shared" si="167"/>
        <v/>
      </c>
      <c r="Z725" s="266"/>
    </row>
    <row r="726" spans="1:26" ht="27" hidden="1" customHeight="1">
      <c r="A726" s="70" t="str">
        <f t="shared" si="163"/>
        <v/>
      </c>
      <c r="B726" s="70" t="str">
        <f t="shared" si="164"/>
        <v/>
      </c>
      <c r="C726" s="204" t="str" cm="1">
        <f t="array" ref="C726">IF(D726="","",
    IF(AND(ISNUMBER(D726), D726=INT(D726)),
        $V$6 &amp; " " &amp; (IFERROR(MAX($Y$12:$Y725), 0) + 1),
        IF(ISNUMBER(SEARCH(".", D726)), "", INDEX($C$12:$C726, MATCH(2, 1/($C$12:$C726 &lt;&gt; ""))))
    )
)</f>
        <v/>
      </c>
      <c r="D726" s="206"/>
      <c r="E726" s="206" t="str">
        <f>IF(AA726 = "", "",
    IF(ISNUMBER(SEARCH("Kiện", C726)),
       " GÓI " &amp; COUNTIF($C$13:C726, "*Kiện*") &amp; "/" &amp; COUNTIF($C$13:$C$1000, "*Kiện*") &amp; " " &amp; AA726,
       AA726)
)</f>
        <v/>
      </c>
      <c r="F726" s="206"/>
      <c r="G726" s="206"/>
      <c r="H726" s="206"/>
      <c r="I726" s="206"/>
      <c r="J726" s="206" t="str">
        <f t="shared" si="166"/>
        <v/>
      </c>
      <c r="K726" s="206" t="str">
        <f t="shared" si="168"/>
        <v/>
      </c>
      <c r="L726" s="206" t="str">
        <f t="shared" si="169"/>
        <v/>
      </c>
      <c r="M726" s="206" t="str">
        <f t="shared" si="170"/>
        <v/>
      </c>
      <c r="N726" s="206" t="str">
        <f t="shared" si="171"/>
        <v/>
      </c>
      <c r="O726" s="206" t="str">
        <f t="shared" si="172"/>
        <v/>
      </c>
      <c r="P726" s="84" t="str">
        <f t="shared" si="173"/>
        <v/>
      </c>
      <c r="Q726" s="205"/>
      <c r="R726" s="70" t="str">
        <f>IF(S726="IN",'BOM_Phan II'!$Y$3,"")</f>
        <v/>
      </c>
      <c r="S726" s="69" t="str">
        <f t="shared" si="165"/>
        <v/>
      </c>
      <c r="T726">
        <f t="shared" si="174"/>
        <v>3</v>
      </c>
      <c r="U726" t="str">
        <f t="shared" si="162"/>
        <v>KIỆN 14</v>
      </c>
      <c r="V726" t="str">
        <f t="shared" si="175"/>
        <v/>
      </c>
      <c r="W726" s="266"/>
      <c r="X726" s="266"/>
      <c r="Y726" s="266" t="str">
        <f t="shared" si="167"/>
        <v/>
      </c>
      <c r="Z726" s="266"/>
    </row>
    <row r="727" spans="1:26" ht="27" hidden="1" customHeight="1">
      <c r="A727" s="70" t="str">
        <f t="shared" si="163"/>
        <v/>
      </c>
      <c r="B727" s="70" t="str">
        <f t="shared" si="164"/>
        <v/>
      </c>
      <c r="C727" s="204" t="str" cm="1">
        <f t="array" ref="C727">IF(D727="","",
    IF(AND(ISNUMBER(D727), D727=INT(D727)),
        $V$6 &amp; " " &amp; (IFERROR(MAX($Y$12:$Y726), 0) + 1),
        IF(ISNUMBER(SEARCH(".", D727)), "", INDEX($C$12:$C727, MATCH(2, 1/($C$12:$C727 &lt;&gt; ""))))
    )
)</f>
        <v/>
      </c>
      <c r="D727" s="206"/>
      <c r="E727" s="206" t="str">
        <f>IF(AA727 = "", "",
    IF(ISNUMBER(SEARCH("Kiện", C727)),
       " GÓI " &amp; COUNTIF($C$13:C727, "*Kiện*") &amp; "/" &amp; COUNTIF($C$13:$C$1000, "*Kiện*") &amp; " " &amp; AA727,
       AA727)
)</f>
        <v/>
      </c>
      <c r="F727" s="206"/>
      <c r="G727" s="206"/>
      <c r="H727" s="206"/>
      <c r="I727" s="206"/>
      <c r="J727" s="206" t="str">
        <f t="shared" si="166"/>
        <v/>
      </c>
      <c r="K727" s="206" t="str">
        <f t="shared" si="168"/>
        <v/>
      </c>
      <c r="L727" s="206" t="str">
        <f t="shared" si="169"/>
        <v/>
      </c>
      <c r="M727" s="206" t="str">
        <f t="shared" si="170"/>
        <v/>
      </c>
      <c r="N727" s="206" t="str">
        <f t="shared" si="171"/>
        <v/>
      </c>
      <c r="O727" s="206" t="str">
        <f t="shared" si="172"/>
        <v/>
      </c>
      <c r="P727" s="84" t="str">
        <f t="shared" si="173"/>
        <v/>
      </c>
      <c r="Q727" s="205"/>
      <c r="R727" s="70" t="str">
        <f>IF(S727="IN",'BOM_Phan II'!$Y$3,"")</f>
        <v/>
      </c>
      <c r="S727" s="69" t="str">
        <f t="shared" si="165"/>
        <v/>
      </c>
      <c r="T727">
        <f t="shared" si="174"/>
        <v>3</v>
      </c>
      <c r="U727" t="str">
        <f t="shared" si="162"/>
        <v>KIỆN 14</v>
      </c>
      <c r="V727" t="str">
        <f t="shared" si="175"/>
        <v/>
      </c>
      <c r="W727" s="266"/>
      <c r="X727" s="266"/>
      <c r="Y727" s="266" t="str">
        <f t="shared" si="167"/>
        <v/>
      </c>
      <c r="Z727" s="266"/>
    </row>
    <row r="728" spans="1:26" ht="27" hidden="1" customHeight="1">
      <c r="A728" s="70" t="str">
        <f t="shared" si="163"/>
        <v/>
      </c>
      <c r="B728" s="70" t="str">
        <f t="shared" si="164"/>
        <v/>
      </c>
      <c r="C728" s="204" t="str" cm="1">
        <f t="array" ref="C728">IF(D728="","",
    IF(AND(ISNUMBER(D728), D728=INT(D728)),
        $V$6 &amp; " " &amp; (IFERROR(MAX($Y$12:$Y727), 0) + 1),
        IF(ISNUMBER(SEARCH(".", D728)), "", INDEX($C$12:$C728, MATCH(2, 1/($C$12:$C728 &lt;&gt; ""))))
    )
)</f>
        <v/>
      </c>
      <c r="D728" s="206"/>
      <c r="E728" s="206" t="str">
        <f>IF(AA728 = "", "",
    IF(ISNUMBER(SEARCH("Kiện", C728)),
       " GÓI " &amp; COUNTIF($C$13:C728, "*Kiện*") &amp; "/" &amp; COUNTIF($C$13:$C$1000, "*Kiện*") &amp; " " &amp; AA728,
       AA728)
)</f>
        <v/>
      </c>
      <c r="F728" s="206"/>
      <c r="G728" s="206"/>
      <c r="H728" s="206"/>
      <c r="I728" s="206"/>
      <c r="J728" s="206" t="str">
        <f t="shared" si="166"/>
        <v/>
      </c>
      <c r="K728" s="206" t="str">
        <f t="shared" si="168"/>
        <v/>
      </c>
      <c r="L728" s="206" t="str">
        <f t="shared" si="169"/>
        <v/>
      </c>
      <c r="M728" s="206" t="str">
        <f t="shared" si="170"/>
        <v/>
      </c>
      <c r="N728" s="206" t="str">
        <f t="shared" si="171"/>
        <v/>
      </c>
      <c r="O728" s="206" t="str">
        <f t="shared" si="172"/>
        <v/>
      </c>
      <c r="P728" s="84" t="str">
        <f t="shared" si="173"/>
        <v/>
      </c>
      <c r="Q728" s="205"/>
      <c r="R728" s="70" t="str">
        <f>IF(S728="IN",'BOM_Phan II'!$Y$3,"")</f>
        <v/>
      </c>
      <c r="S728" s="69" t="str">
        <f t="shared" si="165"/>
        <v/>
      </c>
      <c r="T728">
        <f t="shared" si="174"/>
        <v>3</v>
      </c>
      <c r="U728" t="str">
        <f t="shared" si="162"/>
        <v>KIỆN 14</v>
      </c>
      <c r="V728" t="str">
        <f t="shared" si="175"/>
        <v/>
      </c>
      <c r="W728" s="266"/>
      <c r="X728" s="266"/>
      <c r="Y728" s="266" t="str">
        <f t="shared" si="167"/>
        <v/>
      </c>
      <c r="Z728" s="266"/>
    </row>
    <row r="729" spans="1:26" ht="27" hidden="1" customHeight="1">
      <c r="A729" s="70" t="str">
        <f t="shared" si="163"/>
        <v/>
      </c>
      <c r="B729" s="70" t="str">
        <f t="shared" si="164"/>
        <v/>
      </c>
      <c r="C729" s="204" t="str" cm="1">
        <f t="array" ref="C729">IF(D729="","",
    IF(AND(ISNUMBER(D729), D729=INT(D729)),
        $V$6 &amp; " " &amp; (IFERROR(MAX($Y$12:$Y728), 0) + 1),
        IF(ISNUMBER(SEARCH(".", D729)), "", INDEX($C$12:$C729, MATCH(2, 1/($C$12:$C729 &lt;&gt; ""))))
    )
)</f>
        <v/>
      </c>
      <c r="D729" s="206"/>
      <c r="E729" s="206" t="str">
        <f>IF(AA729 = "", "",
    IF(ISNUMBER(SEARCH("Kiện", C729)),
       " GÓI " &amp; COUNTIF($C$13:C729, "*Kiện*") &amp; "/" &amp; COUNTIF($C$13:$C$1000, "*Kiện*") &amp; " " &amp; AA729,
       AA729)
)</f>
        <v/>
      </c>
      <c r="F729" s="206"/>
      <c r="G729" s="206"/>
      <c r="H729" s="206"/>
      <c r="I729" s="206"/>
      <c r="J729" s="206" t="str">
        <f t="shared" si="166"/>
        <v/>
      </c>
      <c r="K729" s="206" t="str">
        <f t="shared" si="168"/>
        <v/>
      </c>
      <c r="L729" s="206" t="str">
        <f t="shared" si="169"/>
        <v/>
      </c>
      <c r="M729" s="206" t="str">
        <f t="shared" si="170"/>
        <v/>
      </c>
      <c r="N729" s="206" t="str">
        <f t="shared" si="171"/>
        <v/>
      </c>
      <c r="O729" s="206" t="str">
        <f t="shared" si="172"/>
        <v/>
      </c>
      <c r="P729" s="84" t="str">
        <f t="shared" si="173"/>
        <v/>
      </c>
      <c r="Q729" s="205"/>
      <c r="R729" s="70" t="str">
        <f>IF(S729="IN",'BOM_Phan II'!$Y$3,"")</f>
        <v/>
      </c>
      <c r="S729" s="69" t="str">
        <f t="shared" si="165"/>
        <v/>
      </c>
      <c r="T729">
        <f t="shared" si="174"/>
        <v>3</v>
      </c>
      <c r="U729" t="str">
        <f t="shared" si="162"/>
        <v>KIỆN 14</v>
      </c>
      <c r="V729" t="str">
        <f t="shared" si="175"/>
        <v/>
      </c>
      <c r="W729" s="266"/>
      <c r="X729" s="266"/>
      <c r="Y729" s="266" t="str">
        <f t="shared" si="167"/>
        <v/>
      </c>
      <c r="Z729" s="266"/>
    </row>
    <row r="730" spans="1:26" ht="27" hidden="1" customHeight="1">
      <c r="A730" s="70" t="str">
        <f t="shared" si="163"/>
        <v/>
      </c>
      <c r="B730" s="70" t="str">
        <f t="shared" si="164"/>
        <v/>
      </c>
      <c r="C730" s="204" t="str" cm="1">
        <f t="array" ref="C730">IF(D730="","",
    IF(AND(ISNUMBER(D730), D730=INT(D730)),
        $V$6 &amp; " " &amp; (IFERROR(MAX($Y$12:$Y729), 0) + 1),
        IF(ISNUMBER(SEARCH(".", D730)), "", INDEX($C$12:$C730, MATCH(2, 1/($C$12:$C730 &lt;&gt; ""))))
    )
)</f>
        <v/>
      </c>
      <c r="D730" s="206"/>
      <c r="E730" s="206" t="str">
        <f>IF(AA730 = "", "",
    IF(ISNUMBER(SEARCH("Kiện", C730)),
       " GÓI " &amp; COUNTIF($C$13:C730, "*Kiện*") &amp; "/" &amp; COUNTIF($C$13:$C$1000, "*Kiện*") &amp; " " &amp; AA730,
       AA730)
)</f>
        <v/>
      </c>
      <c r="F730" s="206"/>
      <c r="G730" s="206"/>
      <c r="H730" s="206"/>
      <c r="I730" s="206"/>
      <c r="J730" s="206" t="str">
        <f t="shared" si="166"/>
        <v/>
      </c>
      <c r="K730" s="206" t="str">
        <f t="shared" si="168"/>
        <v/>
      </c>
      <c r="L730" s="206" t="str">
        <f t="shared" si="169"/>
        <v/>
      </c>
      <c r="M730" s="206" t="str">
        <f t="shared" si="170"/>
        <v/>
      </c>
      <c r="N730" s="206" t="str">
        <f t="shared" si="171"/>
        <v/>
      </c>
      <c r="O730" s="206" t="str">
        <f t="shared" si="172"/>
        <v/>
      </c>
      <c r="P730" s="84" t="str">
        <f t="shared" si="173"/>
        <v/>
      </c>
      <c r="Q730" s="205"/>
      <c r="R730" s="70" t="str">
        <f>IF(S730="IN",'BOM_Phan II'!$Y$3,"")</f>
        <v/>
      </c>
      <c r="S730" s="69" t="str">
        <f t="shared" si="165"/>
        <v/>
      </c>
      <c r="T730">
        <f t="shared" si="174"/>
        <v>3</v>
      </c>
      <c r="U730" t="str">
        <f t="shared" si="162"/>
        <v>KIỆN 14</v>
      </c>
      <c r="V730" t="str">
        <f t="shared" si="175"/>
        <v/>
      </c>
      <c r="W730" s="266"/>
      <c r="X730" s="266"/>
      <c r="Y730" s="266" t="str">
        <f t="shared" si="167"/>
        <v/>
      </c>
      <c r="Z730" s="266"/>
    </row>
    <row r="731" spans="1:26" ht="27" hidden="1" customHeight="1">
      <c r="A731" s="70" t="str">
        <f t="shared" si="163"/>
        <v/>
      </c>
      <c r="B731" s="70" t="str">
        <f t="shared" si="164"/>
        <v/>
      </c>
      <c r="C731" s="204" t="str" cm="1">
        <f t="array" ref="C731">IF(D731="","",
    IF(AND(ISNUMBER(D731), D731=INT(D731)),
        $V$6 &amp; " " &amp; (IFERROR(MAX($Y$12:$Y730), 0) + 1),
        IF(ISNUMBER(SEARCH(".", D731)), "", INDEX($C$12:$C731, MATCH(2, 1/($C$12:$C731 &lt;&gt; ""))))
    )
)</f>
        <v/>
      </c>
      <c r="D731" s="206"/>
      <c r="E731" s="206" t="str">
        <f>IF(AA731 = "", "",
    IF(ISNUMBER(SEARCH("Kiện", C731)),
       " GÓI " &amp; COUNTIF($C$13:C731, "*Kiện*") &amp; "/" &amp; COUNTIF($C$13:$C$1000, "*Kiện*") &amp; " " &amp; AA731,
       AA731)
)</f>
        <v/>
      </c>
      <c r="F731" s="206"/>
      <c r="G731" s="206"/>
      <c r="H731" s="206"/>
      <c r="I731" s="206"/>
      <c r="J731" s="206" t="str">
        <f t="shared" si="166"/>
        <v/>
      </c>
      <c r="K731" s="206" t="str">
        <f t="shared" si="168"/>
        <v/>
      </c>
      <c r="L731" s="206" t="str">
        <f t="shared" si="169"/>
        <v/>
      </c>
      <c r="M731" s="206" t="str">
        <f t="shared" si="170"/>
        <v/>
      </c>
      <c r="N731" s="206" t="str">
        <f t="shared" si="171"/>
        <v/>
      </c>
      <c r="O731" s="206" t="str">
        <f t="shared" si="172"/>
        <v/>
      </c>
      <c r="P731" s="84" t="str">
        <f t="shared" si="173"/>
        <v/>
      </c>
      <c r="Q731" s="205"/>
      <c r="R731" s="70" t="str">
        <f>IF(S731="IN",'BOM_Phan II'!$Y$3,"")</f>
        <v/>
      </c>
      <c r="S731" s="69" t="str">
        <f t="shared" si="165"/>
        <v/>
      </c>
      <c r="T731">
        <f t="shared" si="174"/>
        <v>3</v>
      </c>
      <c r="U731" t="str">
        <f t="shared" si="162"/>
        <v>KIỆN 14</v>
      </c>
      <c r="V731" t="str">
        <f t="shared" si="175"/>
        <v/>
      </c>
      <c r="W731" s="266"/>
      <c r="X731" s="266"/>
      <c r="Y731" s="266" t="str">
        <f t="shared" si="167"/>
        <v/>
      </c>
      <c r="Z731" s="266"/>
    </row>
    <row r="732" spans="1:26" ht="27" hidden="1" customHeight="1">
      <c r="A732" s="70" t="str">
        <f t="shared" si="163"/>
        <v/>
      </c>
      <c r="B732" s="70" t="str">
        <f t="shared" si="164"/>
        <v/>
      </c>
      <c r="C732" s="204" t="str" cm="1">
        <f t="array" ref="C732">IF(D732="","",
    IF(AND(ISNUMBER(D732), D732=INT(D732)),
        $V$6 &amp; " " &amp; (IFERROR(MAX($Y$12:$Y731), 0) + 1),
        IF(ISNUMBER(SEARCH(".", D732)), "", INDEX($C$12:$C732, MATCH(2, 1/($C$12:$C732 &lt;&gt; ""))))
    )
)</f>
        <v/>
      </c>
      <c r="D732" s="206"/>
      <c r="E732" s="206" t="str">
        <f>IF(AA732 = "", "",
    IF(ISNUMBER(SEARCH("Kiện", C732)),
       " GÓI " &amp; COUNTIF($C$13:C732, "*Kiện*") &amp; "/" &amp; COUNTIF($C$13:$C$1000, "*Kiện*") &amp; " " &amp; AA732,
       AA732)
)</f>
        <v/>
      </c>
      <c r="F732" s="206"/>
      <c r="G732" s="206"/>
      <c r="H732" s="206"/>
      <c r="I732" s="206"/>
      <c r="J732" s="206" t="str">
        <f t="shared" si="166"/>
        <v/>
      </c>
      <c r="K732" s="206" t="str">
        <f t="shared" si="168"/>
        <v/>
      </c>
      <c r="L732" s="206" t="str">
        <f t="shared" si="169"/>
        <v/>
      </c>
      <c r="M732" s="206" t="str">
        <f t="shared" si="170"/>
        <v/>
      </c>
      <c r="N732" s="206" t="str">
        <f t="shared" si="171"/>
        <v/>
      </c>
      <c r="O732" s="206" t="str">
        <f t="shared" si="172"/>
        <v/>
      </c>
      <c r="P732" s="84" t="str">
        <f t="shared" si="173"/>
        <v/>
      </c>
      <c r="Q732" s="205"/>
      <c r="R732" s="70" t="str">
        <f>IF(S732="IN",'BOM_Phan II'!$Y$3,"")</f>
        <v/>
      </c>
      <c r="S732" s="69" t="str">
        <f t="shared" si="165"/>
        <v/>
      </c>
      <c r="T732">
        <f t="shared" si="174"/>
        <v>3</v>
      </c>
      <c r="U732" t="str">
        <f t="shared" si="162"/>
        <v>KIỆN 14</v>
      </c>
      <c r="V732" t="str">
        <f t="shared" si="175"/>
        <v/>
      </c>
      <c r="W732" s="266"/>
      <c r="X732" s="266"/>
      <c r="Y732" s="266" t="str">
        <f t="shared" si="167"/>
        <v/>
      </c>
      <c r="Z732" s="266"/>
    </row>
    <row r="733" spans="1:26" ht="27" hidden="1" customHeight="1">
      <c r="A733" s="70" t="str">
        <f t="shared" si="163"/>
        <v/>
      </c>
      <c r="B733" s="70" t="str">
        <f t="shared" si="164"/>
        <v/>
      </c>
      <c r="C733" s="204" t="str" cm="1">
        <f t="array" ref="C733">IF(D733="","",
    IF(AND(ISNUMBER(D733), D733=INT(D733)),
        $V$6 &amp; " " &amp; (IFERROR(MAX($Y$12:$Y732), 0) + 1),
        IF(ISNUMBER(SEARCH(".", D733)), "", INDEX($C$12:$C733, MATCH(2, 1/($C$12:$C733 &lt;&gt; ""))))
    )
)</f>
        <v/>
      </c>
      <c r="D733" s="206"/>
      <c r="E733" s="206" t="str">
        <f>IF(AA733 = "", "",
    IF(ISNUMBER(SEARCH("Kiện", C733)),
       " GÓI " &amp; COUNTIF($C$13:C733, "*Kiện*") &amp; "/" &amp; COUNTIF($C$13:$C$1000, "*Kiện*") &amp; " " &amp; AA733,
       AA733)
)</f>
        <v/>
      </c>
      <c r="F733" s="206"/>
      <c r="G733" s="206"/>
      <c r="H733" s="206"/>
      <c r="I733" s="206"/>
      <c r="J733" s="206" t="str">
        <f t="shared" si="166"/>
        <v/>
      </c>
      <c r="K733" s="206" t="str">
        <f t="shared" si="168"/>
        <v/>
      </c>
      <c r="L733" s="206" t="str">
        <f t="shared" si="169"/>
        <v/>
      </c>
      <c r="M733" s="206" t="str">
        <f t="shared" si="170"/>
        <v/>
      </c>
      <c r="N733" s="206" t="str">
        <f t="shared" si="171"/>
        <v/>
      </c>
      <c r="O733" s="206" t="str">
        <f t="shared" si="172"/>
        <v/>
      </c>
      <c r="P733" s="84" t="str">
        <f t="shared" si="173"/>
        <v/>
      </c>
      <c r="Q733" s="205"/>
      <c r="R733" s="70" t="str">
        <f>IF(S733="IN",'BOM_Phan II'!$Y$3,"")</f>
        <v/>
      </c>
      <c r="S733" s="69" t="str">
        <f t="shared" si="165"/>
        <v/>
      </c>
      <c r="T733">
        <f t="shared" si="174"/>
        <v>3</v>
      </c>
      <c r="U733" t="str">
        <f t="shared" si="162"/>
        <v>KIỆN 14</v>
      </c>
      <c r="V733" t="str">
        <f t="shared" si="175"/>
        <v/>
      </c>
      <c r="W733" s="266"/>
      <c r="X733" s="266"/>
      <c r="Y733" s="266" t="str">
        <f t="shared" si="167"/>
        <v/>
      </c>
      <c r="Z733" s="266"/>
    </row>
    <row r="734" spans="1:26" ht="27" hidden="1" customHeight="1">
      <c r="A734" s="70" t="str">
        <f t="shared" si="163"/>
        <v/>
      </c>
      <c r="B734" s="70" t="str">
        <f t="shared" si="164"/>
        <v/>
      </c>
      <c r="C734" s="204" t="str" cm="1">
        <f t="array" ref="C734">IF(D734="","",
    IF(AND(ISNUMBER(D734), D734=INT(D734)),
        $V$6 &amp; " " &amp; (IFERROR(MAX($Y$12:$Y733), 0) + 1),
        IF(ISNUMBER(SEARCH(".", D734)), "", INDEX($C$12:$C734, MATCH(2, 1/($C$12:$C734 &lt;&gt; ""))))
    )
)</f>
        <v/>
      </c>
      <c r="D734" s="206"/>
      <c r="E734" s="206" t="str">
        <f>IF(AA734 = "", "",
    IF(ISNUMBER(SEARCH("Kiện", C734)),
       " GÓI " &amp; COUNTIF($C$13:C734, "*Kiện*") &amp; "/" &amp; COUNTIF($C$13:$C$1000, "*Kiện*") &amp; " " &amp; AA734,
       AA734)
)</f>
        <v/>
      </c>
      <c r="F734" s="206"/>
      <c r="G734" s="206"/>
      <c r="H734" s="206"/>
      <c r="I734" s="206"/>
      <c r="J734" s="206" t="str">
        <f t="shared" si="166"/>
        <v/>
      </c>
      <c r="K734" s="206" t="str">
        <f t="shared" si="168"/>
        <v/>
      </c>
      <c r="L734" s="206" t="str">
        <f t="shared" si="169"/>
        <v/>
      </c>
      <c r="M734" s="206" t="str">
        <f t="shared" si="170"/>
        <v/>
      </c>
      <c r="N734" s="206" t="str">
        <f t="shared" si="171"/>
        <v/>
      </c>
      <c r="O734" s="206" t="str">
        <f t="shared" si="172"/>
        <v/>
      </c>
      <c r="P734" s="84" t="str">
        <f t="shared" si="173"/>
        <v/>
      </c>
      <c r="Q734" s="205"/>
      <c r="R734" s="70" t="str">
        <f>IF(S734="IN",'BOM_Phan II'!$Y$3,"")</f>
        <v/>
      </c>
      <c r="S734" s="69" t="str">
        <f t="shared" si="165"/>
        <v/>
      </c>
      <c r="T734">
        <f t="shared" si="174"/>
        <v>3</v>
      </c>
      <c r="U734" t="str">
        <f t="shared" si="162"/>
        <v>KIỆN 14</v>
      </c>
      <c r="V734" t="str">
        <f t="shared" si="175"/>
        <v/>
      </c>
      <c r="W734" s="266"/>
      <c r="X734" s="266"/>
      <c r="Y734" s="266" t="str">
        <f t="shared" si="167"/>
        <v/>
      </c>
      <c r="Z734" s="266"/>
    </row>
    <row r="735" spans="1:26" ht="27" hidden="1" customHeight="1">
      <c r="A735" s="70" t="str">
        <f t="shared" si="163"/>
        <v/>
      </c>
      <c r="B735" s="70" t="str">
        <f t="shared" si="164"/>
        <v/>
      </c>
      <c r="C735" s="204" t="str" cm="1">
        <f t="array" ref="C735">IF(D735="","",
    IF(AND(ISNUMBER(D735), D735=INT(D735)),
        $V$6 &amp; " " &amp; (IFERROR(MAX($Y$12:$Y734), 0) + 1),
        IF(ISNUMBER(SEARCH(".", D735)), "", INDEX($C$12:$C735, MATCH(2, 1/($C$12:$C735 &lt;&gt; ""))))
    )
)</f>
        <v/>
      </c>
      <c r="D735" s="206"/>
      <c r="E735" s="206" t="str">
        <f>IF(AA735 = "", "",
    IF(ISNUMBER(SEARCH("Kiện", C735)),
       " GÓI " &amp; COUNTIF($C$13:C735, "*Kiện*") &amp; "/" &amp; COUNTIF($C$13:$C$1000, "*Kiện*") &amp; " " &amp; AA735,
       AA735)
)</f>
        <v/>
      </c>
      <c r="F735" s="206"/>
      <c r="G735" s="206"/>
      <c r="H735" s="206"/>
      <c r="I735" s="206"/>
      <c r="J735" s="206" t="str">
        <f t="shared" si="166"/>
        <v/>
      </c>
      <c r="K735" s="206" t="str">
        <f t="shared" si="168"/>
        <v/>
      </c>
      <c r="L735" s="206" t="str">
        <f t="shared" si="169"/>
        <v/>
      </c>
      <c r="M735" s="206" t="str">
        <f t="shared" si="170"/>
        <v/>
      </c>
      <c r="N735" s="206" t="str">
        <f t="shared" si="171"/>
        <v/>
      </c>
      <c r="O735" s="206" t="str">
        <f t="shared" si="172"/>
        <v/>
      </c>
      <c r="P735" s="84" t="str">
        <f t="shared" si="173"/>
        <v/>
      </c>
      <c r="Q735" s="205"/>
      <c r="R735" s="70" t="str">
        <f>IF(S735="IN",'BOM_Phan II'!$Y$3,"")</f>
        <v/>
      </c>
      <c r="S735" s="69" t="str">
        <f t="shared" si="165"/>
        <v/>
      </c>
      <c r="T735">
        <f t="shared" si="174"/>
        <v>3</v>
      </c>
      <c r="U735" t="str">
        <f t="shared" si="162"/>
        <v>KIỆN 14</v>
      </c>
      <c r="V735" t="str">
        <f t="shared" si="175"/>
        <v/>
      </c>
      <c r="W735" s="266"/>
      <c r="X735" s="266"/>
      <c r="Y735" s="266" t="str">
        <f t="shared" si="167"/>
        <v/>
      </c>
      <c r="Z735" s="266"/>
    </row>
    <row r="736" spans="1:26" ht="27" hidden="1" customHeight="1">
      <c r="A736" s="70" t="str">
        <f t="shared" si="163"/>
        <v/>
      </c>
      <c r="B736" s="70" t="str">
        <f t="shared" si="164"/>
        <v/>
      </c>
      <c r="C736" s="204" t="str" cm="1">
        <f t="array" ref="C736">IF(D736="","",
    IF(AND(ISNUMBER(D736), D736=INT(D736)),
        $V$6 &amp; " " &amp; (IFERROR(MAX($Y$12:$Y735), 0) + 1),
        IF(ISNUMBER(SEARCH(".", D736)), "", INDEX($C$12:$C736, MATCH(2, 1/($C$12:$C736 &lt;&gt; ""))))
    )
)</f>
        <v/>
      </c>
      <c r="D736" s="206"/>
      <c r="E736" s="206" t="str">
        <f>IF(AA736 = "", "",
    IF(ISNUMBER(SEARCH("Kiện", C736)),
       " GÓI " &amp; COUNTIF($C$13:C736, "*Kiện*") &amp; "/" &amp; COUNTIF($C$13:$C$1000, "*Kiện*") &amp; " " &amp; AA736,
       AA736)
)</f>
        <v/>
      </c>
      <c r="F736" s="206"/>
      <c r="G736" s="206"/>
      <c r="H736" s="206"/>
      <c r="I736" s="206"/>
      <c r="J736" s="206" t="str">
        <f t="shared" si="166"/>
        <v/>
      </c>
      <c r="K736" s="206" t="str">
        <f t="shared" si="168"/>
        <v/>
      </c>
      <c r="L736" s="206" t="str">
        <f t="shared" si="169"/>
        <v/>
      </c>
      <c r="M736" s="206" t="str">
        <f t="shared" si="170"/>
        <v/>
      </c>
      <c r="N736" s="206" t="str">
        <f t="shared" si="171"/>
        <v/>
      </c>
      <c r="O736" s="206" t="str">
        <f t="shared" si="172"/>
        <v/>
      </c>
      <c r="P736" s="84" t="str">
        <f t="shared" si="173"/>
        <v/>
      </c>
      <c r="Q736" s="205"/>
      <c r="R736" s="70" t="str">
        <f>IF(S736="IN",'BOM_Phan II'!$Y$3,"")</f>
        <v/>
      </c>
      <c r="S736" s="69" t="str">
        <f t="shared" si="165"/>
        <v/>
      </c>
      <c r="T736">
        <f t="shared" si="174"/>
        <v>3</v>
      </c>
      <c r="U736" t="str">
        <f t="shared" si="162"/>
        <v>KIỆN 14</v>
      </c>
      <c r="V736" t="str">
        <f t="shared" si="175"/>
        <v/>
      </c>
      <c r="W736" s="266"/>
      <c r="X736" s="266"/>
      <c r="Y736" s="266" t="str">
        <f t="shared" si="167"/>
        <v/>
      </c>
      <c r="Z736" s="266"/>
    </row>
    <row r="737" spans="1:26" ht="27" hidden="1" customHeight="1">
      <c r="A737" s="70" t="str">
        <f t="shared" si="163"/>
        <v/>
      </c>
      <c r="B737" s="70" t="str">
        <f t="shared" si="164"/>
        <v/>
      </c>
      <c r="C737" s="204" t="str" cm="1">
        <f t="array" ref="C737">IF(D737="","",
    IF(AND(ISNUMBER(D737), D737=INT(D737)),
        $V$6 &amp; " " &amp; (IFERROR(MAX($Y$12:$Y736), 0) + 1),
        IF(ISNUMBER(SEARCH(".", D737)), "", INDEX($C$12:$C737, MATCH(2, 1/($C$12:$C737 &lt;&gt; ""))))
    )
)</f>
        <v/>
      </c>
      <c r="D737" s="206"/>
      <c r="E737" s="206" t="str">
        <f>IF(AA737 = "", "",
    IF(ISNUMBER(SEARCH("Kiện", C737)),
       " GÓI " &amp; COUNTIF($C$13:C737, "*Kiện*") &amp; "/" &amp; COUNTIF($C$13:$C$1000, "*Kiện*") &amp; " " &amp; AA737,
       AA737)
)</f>
        <v/>
      </c>
      <c r="F737" s="206"/>
      <c r="G737" s="206"/>
      <c r="H737" s="206"/>
      <c r="I737" s="206"/>
      <c r="J737" s="206" t="str">
        <f t="shared" si="166"/>
        <v/>
      </c>
      <c r="K737" s="206" t="str">
        <f t="shared" si="168"/>
        <v/>
      </c>
      <c r="L737" s="206" t="str">
        <f t="shared" si="169"/>
        <v/>
      </c>
      <c r="M737" s="206" t="str">
        <f t="shared" si="170"/>
        <v/>
      </c>
      <c r="N737" s="206" t="str">
        <f t="shared" si="171"/>
        <v/>
      </c>
      <c r="O737" s="206" t="str">
        <f t="shared" si="172"/>
        <v/>
      </c>
      <c r="P737" s="84" t="str">
        <f t="shared" si="173"/>
        <v/>
      </c>
      <c r="Q737" s="205"/>
      <c r="R737" s="70" t="str">
        <f>IF(S737="IN",'BOM_Phan II'!$Y$3,"")</f>
        <v/>
      </c>
      <c r="S737" s="69" t="str">
        <f t="shared" si="165"/>
        <v/>
      </c>
      <c r="T737">
        <f t="shared" si="174"/>
        <v>3</v>
      </c>
      <c r="U737" t="str">
        <f t="shared" si="162"/>
        <v>KIỆN 14</v>
      </c>
      <c r="V737" t="str">
        <f t="shared" si="175"/>
        <v/>
      </c>
      <c r="W737" s="266"/>
      <c r="X737" s="266"/>
      <c r="Y737" s="266" t="str">
        <f t="shared" si="167"/>
        <v/>
      </c>
      <c r="Z737" s="266"/>
    </row>
    <row r="738" spans="1:26" ht="27" hidden="1" customHeight="1">
      <c r="A738" s="70" t="str">
        <f t="shared" si="163"/>
        <v/>
      </c>
      <c r="B738" s="70" t="str">
        <f t="shared" si="164"/>
        <v/>
      </c>
      <c r="C738" s="204" t="str" cm="1">
        <f t="array" ref="C738">IF(D738="","",
    IF(AND(ISNUMBER(D738), D738=INT(D738)),
        $V$6 &amp; " " &amp; (IFERROR(MAX($Y$12:$Y737), 0) + 1),
        IF(ISNUMBER(SEARCH(".", D738)), "", INDEX($C$12:$C738, MATCH(2, 1/($C$12:$C738 &lt;&gt; ""))))
    )
)</f>
        <v/>
      </c>
      <c r="D738" s="206"/>
      <c r="E738" s="206" t="str">
        <f>IF(AA738 = "", "",
    IF(ISNUMBER(SEARCH("Kiện", C738)),
       " GÓI " &amp; COUNTIF($C$13:C738, "*Kiện*") &amp; "/" &amp; COUNTIF($C$13:$C$1000, "*Kiện*") &amp; " " &amp; AA738,
       AA738)
)</f>
        <v/>
      </c>
      <c r="F738" s="206"/>
      <c r="G738" s="206"/>
      <c r="H738" s="206"/>
      <c r="I738" s="206"/>
      <c r="J738" s="206" t="str">
        <f t="shared" si="166"/>
        <v/>
      </c>
      <c r="K738" s="206" t="str">
        <f t="shared" si="168"/>
        <v/>
      </c>
      <c r="L738" s="206" t="str">
        <f t="shared" si="169"/>
        <v/>
      </c>
      <c r="M738" s="206" t="str">
        <f t="shared" si="170"/>
        <v/>
      </c>
      <c r="N738" s="206" t="str">
        <f t="shared" si="171"/>
        <v/>
      </c>
      <c r="O738" s="206" t="str">
        <f t="shared" si="172"/>
        <v/>
      </c>
      <c r="P738" s="84" t="str">
        <f t="shared" si="173"/>
        <v/>
      </c>
      <c r="Q738" s="205"/>
      <c r="R738" s="70" t="str">
        <f>IF(S738="IN",'BOM_Phan II'!$Y$3,"")</f>
        <v/>
      </c>
      <c r="S738" s="69" t="str">
        <f t="shared" si="165"/>
        <v/>
      </c>
      <c r="T738">
        <f t="shared" si="174"/>
        <v>3</v>
      </c>
      <c r="U738" t="str">
        <f t="shared" si="162"/>
        <v>KIỆN 14</v>
      </c>
      <c r="V738" t="str">
        <f t="shared" si="175"/>
        <v/>
      </c>
      <c r="W738" s="266"/>
      <c r="X738" s="266"/>
      <c r="Y738" s="266" t="str">
        <f t="shared" si="167"/>
        <v/>
      </c>
      <c r="Z738" s="266"/>
    </row>
    <row r="739" spans="1:26" ht="27" hidden="1" customHeight="1">
      <c r="A739" s="70" t="str">
        <f t="shared" si="163"/>
        <v/>
      </c>
      <c r="B739" s="70" t="str">
        <f t="shared" si="164"/>
        <v/>
      </c>
      <c r="C739" s="204" t="str" cm="1">
        <f t="array" ref="C739">IF(D739="","",
    IF(AND(ISNUMBER(D739), D739=INT(D739)),
        $V$6 &amp; " " &amp; (IFERROR(MAX($Y$12:$Y738), 0) + 1),
        IF(ISNUMBER(SEARCH(".", D739)), "", INDEX($C$12:$C739, MATCH(2, 1/($C$12:$C739 &lt;&gt; ""))))
    )
)</f>
        <v/>
      </c>
      <c r="D739" s="206"/>
      <c r="E739" s="206" t="str">
        <f>IF(AA739 = "", "",
    IF(ISNUMBER(SEARCH("Kiện", C739)),
       " GÓI " &amp; COUNTIF($C$13:C739, "*Kiện*") &amp; "/" &amp; COUNTIF($C$13:$C$1000, "*Kiện*") &amp; " " &amp; AA739,
       AA739)
)</f>
        <v/>
      </c>
      <c r="F739" s="206"/>
      <c r="G739" s="206"/>
      <c r="H739" s="206"/>
      <c r="I739" s="206"/>
      <c r="J739" s="206" t="str">
        <f t="shared" si="166"/>
        <v/>
      </c>
      <c r="K739" s="206" t="str">
        <f t="shared" si="168"/>
        <v/>
      </c>
      <c r="L739" s="206" t="str">
        <f t="shared" si="169"/>
        <v/>
      </c>
      <c r="M739" s="206" t="str">
        <f t="shared" si="170"/>
        <v/>
      </c>
      <c r="N739" s="206" t="str">
        <f t="shared" si="171"/>
        <v/>
      </c>
      <c r="O739" s="206" t="str">
        <f t="shared" si="172"/>
        <v/>
      </c>
      <c r="P739" s="84" t="str">
        <f t="shared" si="173"/>
        <v/>
      </c>
      <c r="Q739" s="205"/>
      <c r="R739" s="70" t="str">
        <f>IF(S739="IN",'BOM_Phan II'!$Y$3,"")</f>
        <v/>
      </c>
      <c r="S739" s="69" t="str">
        <f t="shared" si="165"/>
        <v/>
      </c>
      <c r="T739">
        <f t="shared" si="174"/>
        <v>3</v>
      </c>
      <c r="U739" t="str">
        <f t="shared" ref="U739:U770" si="176">IF(C739="",U738,C739)</f>
        <v>KIỆN 14</v>
      </c>
      <c r="V739" t="str">
        <f t="shared" si="175"/>
        <v/>
      </c>
      <c r="W739" s="266"/>
      <c r="X739" s="266"/>
      <c r="Y739" s="266" t="str">
        <f t="shared" si="167"/>
        <v/>
      </c>
      <c r="Z739" s="266"/>
    </row>
    <row r="740" spans="1:26" ht="27" hidden="1" customHeight="1">
      <c r="A740" s="70" t="str">
        <f t="shared" si="163"/>
        <v/>
      </c>
      <c r="B740" s="70" t="str">
        <f t="shared" si="164"/>
        <v/>
      </c>
      <c r="C740" s="204" t="str" cm="1">
        <f t="array" ref="C740">IF(D740="","",
    IF(AND(ISNUMBER(D740), D740=INT(D740)),
        $V$6 &amp; " " &amp; (IFERROR(MAX($Y$12:$Y739), 0) + 1),
        IF(ISNUMBER(SEARCH(".", D740)), "", INDEX($C$12:$C740, MATCH(2, 1/($C$12:$C740 &lt;&gt; ""))))
    )
)</f>
        <v/>
      </c>
      <c r="D740" s="206"/>
      <c r="E740" s="206" t="str">
        <f>IF(AA740 = "", "",
    IF(ISNUMBER(SEARCH("Kiện", C740)),
       " GÓI " &amp; COUNTIF($C$13:C740, "*Kiện*") &amp; "/" &amp; COUNTIF($C$13:$C$1000, "*Kiện*") &amp; " " &amp; AA740,
       AA740)
)</f>
        <v/>
      </c>
      <c r="F740" s="206"/>
      <c r="G740" s="206"/>
      <c r="H740" s="206"/>
      <c r="I740" s="206"/>
      <c r="J740" s="206" t="str">
        <f t="shared" si="166"/>
        <v/>
      </c>
      <c r="K740" s="206" t="str">
        <f t="shared" si="168"/>
        <v/>
      </c>
      <c r="L740" s="206" t="str">
        <f t="shared" si="169"/>
        <v/>
      </c>
      <c r="M740" s="206" t="str">
        <f t="shared" si="170"/>
        <v/>
      </c>
      <c r="N740" s="206" t="str">
        <f t="shared" si="171"/>
        <v/>
      </c>
      <c r="O740" s="206" t="str">
        <f t="shared" si="172"/>
        <v/>
      </c>
      <c r="P740" s="84" t="str">
        <f t="shared" si="173"/>
        <v/>
      </c>
      <c r="Q740" s="205"/>
      <c r="R740" s="70" t="str">
        <f>IF(S740="IN",'BOM_Phan II'!$Y$3,"")</f>
        <v/>
      </c>
      <c r="S740" s="69" t="str">
        <f t="shared" si="165"/>
        <v/>
      </c>
      <c r="T740">
        <f t="shared" si="174"/>
        <v>3</v>
      </c>
      <c r="U740" t="str">
        <f t="shared" si="176"/>
        <v>KIỆN 14</v>
      </c>
      <c r="V740" t="str">
        <f t="shared" si="175"/>
        <v/>
      </c>
      <c r="W740" s="266"/>
      <c r="X740" s="266"/>
      <c r="Y740" s="266" t="str">
        <f t="shared" si="167"/>
        <v/>
      </c>
      <c r="Z740" s="266"/>
    </row>
    <row r="741" spans="1:26" ht="27" hidden="1" customHeight="1">
      <c r="A741" s="70" t="str">
        <f t="shared" si="163"/>
        <v/>
      </c>
      <c r="B741" s="70" t="str">
        <f t="shared" si="164"/>
        <v/>
      </c>
      <c r="C741" s="204" t="str" cm="1">
        <f t="array" ref="C741">IF(D741="","",
    IF(AND(ISNUMBER(D741), D741=INT(D741)),
        $V$6 &amp; " " &amp; (IFERROR(MAX($Y$12:$Y740), 0) + 1),
        IF(ISNUMBER(SEARCH(".", D741)), "", INDEX($C$12:$C741, MATCH(2, 1/($C$12:$C741 &lt;&gt; ""))))
    )
)</f>
        <v/>
      </c>
      <c r="D741" s="206"/>
      <c r="E741" s="206" t="str">
        <f>IF(AA741 = "", "",
    IF(ISNUMBER(SEARCH("Kiện", C741)),
       " GÓI " &amp; COUNTIF($C$13:C741, "*Kiện*") &amp; "/" &amp; COUNTIF($C$13:$C$1000, "*Kiện*") &amp; " " &amp; AA741,
       AA741)
)</f>
        <v/>
      </c>
      <c r="F741" s="206"/>
      <c r="G741" s="206"/>
      <c r="H741" s="206"/>
      <c r="I741" s="206"/>
      <c r="J741" s="206" t="str">
        <f t="shared" si="166"/>
        <v/>
      </c>
      <c r="K741" s="206" t="str">
        <f t="shared" si="168"/>
        <v/>
      </c>
      <c r="L741" s="206" t="str">
        <f t="shared" si="169"/>
        <v/>
      </c>
      <c r="M741" s="206" t="str">
        <f t="shared" si="170"/>
        <v/>
      </c>
      <c r="N741" s="206" t="str">
        <f t="shared" si="171"/>
        <v/>
      </c>
      <c r="O741" s="206" t="str">
        <f t="shared" si="172"/>
        <v/>
      </c>
      <c r="P741" s="84" t="str">
        <f t="shared" si="173"/>
        <v/>
      </c>
      <c r="Q741" s="205"/>
      <c r="R741" s="70" t="str">
        <f>IF(S741="IN",'BOM_Phan II'!$Y$3,"")</f>
        <v/>
      </c>
      <c r="S741" s="69" t="str">
        <f t="shared" si="165"/>
        <v/>
      </c>
      <c r="T741">
        <f t="shared" si="174"/>
        <v>3</v>
      </c>
      <c r="U741" t="str">
        <f t="shared" si="176"/>
        <v>KIỆN 14</v>
      </c>
      <c r="V741" t="str">
        <f t="shared" si="175"/>
        <v/>
      </c>
      <c r="W741" s="266"/>
      <c r="X741" s="266"/>
      <c r="Y741" s="266" t="str">
        <f t="shared" si="167"/>
        <v/>
      </c>
      <c r="Z741" s="266"/>
    </row>
    <row r="742" spans="1:26" ht="27" hidden="1" customHeight="1">
      <c r="A742" s="70" t="str">
        <f t="shared" si="163"/>
        <v/>
      </c>
      <c r="B742" s="70" t="str">
        <f t="shared" si="164"/>
        <v/>
      </c>
      <c r="C742" s="204" t="str" cm="1">
        <f t="array" ref="C742">IF(D742="","",
    IF(AND(ISNUMBER(D742), D742=INT(D742)),
        $V$6 &amp; " " &amp; (IFERROR(MAX($Y$12:$Y741), 0) + 1),
        IF(ISNUMBER(SEARCH(".", D742)), "", INDEX($C$12:$C742, MATCH(2, 1/($C$12:$C742 &lt;&gt; ""))))
    )
)</f>
        <v/>
      </c>
      <c r="D742" s="206"/>
      <c r="E742" s="206" t="str">
        <f>IF(AA742 = "", "",
    IF(ISNUMBER(SEARCH("Kiện", C742)),
       " GÓI " &amp; COUNTIF($C$13:C742, "*Kiện*") &amp; "/" &amp; COUNTIF($C$13:$C$1000, "*Kiện*") &amp; " " &amp; AA742,
       AA742)
)</f>
        <v/>
      </c>
      <c r="F742" s="206"/>
      <c r="G742" s="206"/>
      <c r="H742" s="206"/>
      <c r="I742" s="206"/>
      <c r="J742" s="206" t="str">
        <f t="shared" si="166"/>
        <v/>
      </c>
      <c r="K742" s="206" t="str">
        <f t="shared" si="168"/>
        <v/>
      </c>
      <c r="L742" s="206" t="str">
        <f t="shared" si="169"/>
        <v/>
      </c>
      <c r="M742" s="206" t="str">
        <f t="shared" si="170"/>
        <v/>
      </c>
      <c r="N742" s="206" t="str">
        <f t="shared" si="171"/>
        <v/>
      </c>
      <c r="O742" s="206" t="str">
        <f t="shared" si="172"/>
        <v/>
      </c>
      <c r="P742" s="84" t="str">
        <f t="shared" si="173"/>
        <v/>
      </c>
      <c r="Q742" s="205"/>
      <c r="R742" s="70" t="str">
        <f>IF(S742="IN",'BOM_Phan II'!$Y$3,"")</f>
        <v/>
      </c>
      <c r="S742" s="69" t="str">
        <f t="shared" si="165"/>
        <v/>
      </c>
      <c r="T742">
        <f t="shared" si="174"/>
        <v>3</v>
      </c>
      <c r="U742" t="str">
        <f t="shared" si="176"/>
        <v>KIỆN 14</v>
      </c>
      <c r="V742" t="str">
        <f t="shared" si="175"/>
        <v/>
      </c>
      <c r="W742" s="266"/>
      <c r="X742" s="266"/>
      <c r="Y742" s="266" t="str">
        <f t="shared" si="167"/>
        <v/>
      </c>
      <c r="Z742" s="266"/>
    </row>
    <row r="743" spans="1:26" ht="27" hidden="1" customHeight="1">
      <c r="A743" s="70" t="str">
        <f t="shared" si="163"/>
        <v/>
      </c>
      <c r="B743" s="70" t="str">
        <f t="shared" si="164"/>
        <v/>
      </c>
      <c r="C743" s="204" t="str" cm="1">
        <f t="array" ref="C743">IF(D743="","",
    IF(AND(ISNUMBER(D743), D743=INT(D743)),
        $V$6 &amp; " " &amp; (IFERROR(MAX($Y$12:$Y742), 0) + 1),
        IF(ISNUMBER(SEARCH(".", D743)), "", INDEX($C$12:$C743, MATCH(2, 1/($C$12:$C743 &lt;&gt; ""))))
    )
)</f>
        <v/>
      </c>
      <c r="D743" s="206"/>
      <c r="E743" s="206" t="str">
        <f>IF(AA743 = "", "",
    IF(ISNUMBER(SEARCH("Kiện", C743)),
       " GÓI " &amp; COUNTIF($C$13:C743, "*Kiện*") &amp; "/" &amp; COUNTIF($C$13:$C$1000, "*Kiện*") &amp; " " &amp; AA743,
       AA743)
)</f>
        <v/>
      </c>
      <c r="F743" s="206"/>
      <c r="G743" s="206"/>
      <c r="H743" s="206"/>
      <c r="I743" s="206"/>
      <c r="J743" s="206" t="str">
        <f t="shared" si="166"/>
        <v/>
      </c>
      <c r="K743" s="206" t="str">
        <f t="shared" si="168"/>
        <v/>
      </c>
      <c r="L743" s="206" t="str">
        <f t="shared" si="169"/>
        <v/>
      </c>
      <c r="M743" s="206" t="str">
        <f t="shared" si="170"/>
        <v/>
      </c>
      <c r="N743" s="206" t="str">
        <f t="shared" si="171"/>
        <v/>
      </c>
      <c r="O743" s="206" t="str">
        <f t="shared" si="172"/>
        <v/>
      </c>
      <c r="P743" s="84" t="str">
        <f t="shared" si="173"/>
        <v/>
      </c>
      <c r="Q743" s="205"/>
      <c r="R743" s="70" t="str">
        <f>IF(S743="IN",'BOM_Phan II'!$Y$3,"")</f>
        <v/>
      </c>
      <c r="S743" s="69" t="str">
        <f t="shared" si="165"/>
        <v/>
      </c>
      <c r="T743">
        <f t="shared" si="174"/>
        <v>3</v>
      </c>
      <c r="U743" t="str">
        <f t="shared" si="176"/>
        <v>KIỆN 14</v>
      </c>
      <c r="V743" t="str">
        <f t="shared" si="175"/>
        <v/>
      </c>
      <c r="W743" s="266"/>
      <c r="X743" s="266"/>
      <c r="Y743" s="266" t="str">
        <f t="shared" si="167"/>
        <v/>
      </c>
      <c r="Z743" s="266"/>
    </row>
    <row r="744" spans="1:26" ht="27" hidden="1" customHeight="1">
      <c r="A744" s="70" t="str">
        <f t="shared" si="163"/>
        <v/>
      </c>
      <c r="B744" s="70" t="str">
        <f t="shared" si="164"/>
        <v/>
      </c>
      <c r="C744" s="204" t="str" cm="1">
        <f t="array" ref="C744">IF(D744="","",
    IF(AND(ISNUMBER(D744), D744=INT(D744)),
        $V$6 &amp; " " &amp; (IFERROR(MAX($Y$12:$Y743), 0) + 1),
        IF(ISNUMBER(SEARCH(".", D744)), "", INDEX($C$12:$C744, MATCH(2, 1/($C$12:$C744 &lt;&gt; ""))))
    )
)</f>
        <v/>
      </c>
      <c r="D744" s="206"/>
      <c r="E744" s="206" t="str">
        <f>IF(AA744 = "", "",
    IF(ISNUMBER(SEARCH("Kiện", C744)),
       " GÓI " &amp; COUNTIF($C$13:C744, "*Kiện*") &amp; "/" &amp; COUNTIF($C$13:$C$1000, "*Kiện*") &amp; " " &amp; AA744,
       AA744)
)</f>
        <v/>
      </c>
      <c r="F744" s="206"/>
      <c r="G744" s="206"/>
      <c r="H744" s="206"/>
      <c r="I744" s="206"/>
      <c r="J744" s="206" t="str">
        <f t="shared" si="166"/>
        <v/>
      </c>
      <c r="K744" s="206" t="str">
        <f t="shared" si="168"/>
        <v/>
      </c>
      <c r="L744" s="206" t="str">
        <f t="shared" si="169"/>
        <v/>
      </c>
      <c r="M744" s="206" t="str">
        <f t="shared" si="170"/>
        <v/>
      </c>
      <c r="N744" s="206" t="str">
        <f t="shared" si="171"/>
        <v/>
      </c>
      <c r="O744" s="206" t="str">
        <f t="shared" si="172"/>
        <v/>
      </c>
      <c r="P744" s="84" t="str">
        <f t="shared" si="173"/>
        <v/>
      </c>
      <c r="Q744" s="205"/>
      <c r="R744" s="70" t="str">
        <f>IF(S744="IN",'BOM_Phan II'!$Y$3,"")</f>
        <v/>
      </c>
      <c r="S744" s="69" t="str">
        <f t="shared" si="165"/>
        <v/>
      </c>
      <c r="T744">
        <f t="shared" si="174"/>
        <v>3</v>
      </c>
      <c r="U744" t="str">
        <f t="shared" si="176"/>
        <v>KIỆN 14</v>
      </c>
      <c r="V744" t="str">
        <f t="shared" si="175"/>
        <v/>
      </c>
      <c r="W744" s="266"/>
      <c r="X744" s="266"/>
      <c r="Y744" s="266" t="str">
        <f t="shared" si="167"/>
        <v/>
      </c>
      <c r="Z744" s="266"/>
    </row>
    <row r="745" spans="1:26" ht="27" hidden="1" customHeight="1">
      <c r="A745" s="70" t="str">
        <f t="shared" si="163"/>
        <v/>
      </c>
      <c r="B745" s="70" t="str">
        <f t="shared" si="164"/>
        <v/>
      </c>
      <c r="C745" s="204" t="str" cm="1">
        <f t="array" ref="C745">IF(D745="","",
    IF(AND(ISNUMBER(D745), D745=INT(D745)),
        $V$6 &amp; " " &amp; (IFERROR(MAX($Y$12:$Y744), 0) + 1),
        IF(ISNUMBER(SEARCH(".", D745)), "", INDEX($C$12:$C745, MATCH(2, 1/($C$12:$C745 &lt;&gt; ""))))
    )
)</f>
        <v/>
      </c>
      <c r="D745" s="206"/>
      <c r="E745" s="206" t="str">
        <f>IF(AA745 = "", "",
    IF(ISNUMBER(SEARCH("Kiện", C745)),
       " GÓI " &amp; COUNTIF($C$13:C745, "*Kiện*") &amp; "/" &amp; COUNTIF($C$13:$C$1000, "*Kiện*") &amp; " " &amp; AA745,
       AA745)
)</f>
        <v/>
      </c>
      <c r="F745" s="206"/>
      <c r="G745" s="206"/>
      <c r="H745" s="206"/>
      <c r="I745" s="206"/>
      <c r="J745" s="206" t="str">
        <f t="shared" si="166"/>
        <v/>
      </c>
      <c r="K745" s="206" t="str">
        <f t="shared" si="168"/>
        <v/>
      </c>
      <c r="L745" s="206" t="str">
        <f t="shared" si="169"/>
        <v/>
      </c>
      <c r="M745" s="206" t="str">
        <f t="shared" si="170"/>
        <v/>
      </c>
      <c r="N745" s="206" t="str">
        <f t="shared" si="171"/>
        <v/>
      </c>
      <c r="O745" s="206" t="str">
        <f t="shared" si="172"/>
        <v/>
      </c>
      <c r="P745" s="84" t="str">
        <f t="shared" si="173"/>
        <v/>
      </c>
      <c r="Q745" s="205"/>
      <c r="R745" s="70" t="str">
        <f>IF(S745="IN",'BOM_Phan II'!$Y$3,"")</f>
        <v/>
      </c>
      <c r="S745" s="69" t="str">
        <f t="shared" si="165"/>
        <v/>
      </c>
      <c r="T745">
        <f t="shared" si="174"/>
        <v>3</v>
      </c>
      <c r="U745" t="str">
        <f t="shared" si="176"/>
        <v>KIỆN 14</v>
      </c>
      <c r="V745" t="str">
        <f t="shared" si="175"/>
        <v/>
      </c>
      <c r="W745" s="266"/>
      <c r="X745" s="266"/>
      <c r="Y745" s="266" t="str">
        <f t="shared" si="167"/>
        <v/>
      </c>
      <c r="Z745" s="266"/>
    </row>
    <row r="746" spans="1:26" ht="27" hidden="1" customHeight="1">
      <c r="A746" s="70" t="str">
        <f t="shared" si="163"/>
        <v/>
      </c>
      <c r="B746" s="70" t="str">
        <f t="shared" si="164"/>
        <v/>
      </c>
      <c r="C746" s="204" t="str" cm="1">
        <f t="array" ref="C746">IF(D746="","",
    IF(AND(ISNUMBER(D746), D746=INT(D746)),
        $V$6 &amp; " " &amp; (IFERROR(MAX($Y$12:$Y745), 0) + 1),
        IF(ISNUMBER(SEARCH(".", D746)), "", INDEX($C$12:$C746, MATCH(2, 1/($C$12:$C746 &lt;&gt; ""))))
    )
)</f>
        <v/>
      </c>
      <c r="D746" s="206"/>
      <c r="E746" s="206" t="str">
        <f>IF(AA746 = "", "",
    IF(ISNUMBER(SEARCH("Kiện", C746)),
       " GÓI " &amp; COUNTIF($C$13:C746, "*Kiện*") &amp; "/" &amp; COUNTIF($C$13:$C$1000, "*Kiện*") &amp; " " &amp; AA746,
       AA746)
)</f>
        <v/>
      </c>
      <c r="F746" s="206"/>
      <c r="G746" s="206"/>
      <c r="H746" s="206"/>
      <c r="I746" s="206"/>
      <c r="J746" s="206" t="str">
        <f t="shared" si="166"/>
        <v/>
      </c>
      <c r="K746" s="206" t="str">
        <f t="shared" si="168"/>
        <v/>
      </c>
      <c r="L746" s="206" t="str">
        <f t="shared" si="169"/>
        <v/>
      </c>
      <c r="M746" s="206" t="str">
        <f t="shared" si="170"/>
        <v/>
      </c>
      <c r="N746" s="206" t="str">
        <f t="shared" si="171"/>
        <v/>
      </c>
      <c r="O746" s="206" t="str">
        <f t="shared" si="172"/>
        <v/>
      </c>
      <c r="P746" s="84" t="str">
        <f t="shared" si="173"/>
        <v/>
      </c>
      <c r="Q746" s="205"/>
      <c r="R746" s="70" t="str">
        <f>IF(S746="IN",'BOM_Phan II'!$Y$3,"")</f>
        <v/>
      </c>
      <c r="S746" s="69" t="str">
        <f t="shared" si="165"/>
        <v/>
      </c>
      <c r="T746">
        <f t="shared" si="174"/>
        <v>3</v>
      </c>
      <c r="U746" t="str">
        <f t="shared" si="176"/>
        <v>KIỆN 14</v>
      </c>
      <c r="V746" t="str">
        <f t="shared" si="175"/>
        <v/>
      </c>
      <c r="W746" s="266"/>
      <c r="X746" s="266"/>
      <c r="Y746" s="266" t="str">
        <f t="shared" si="167"/>
        <v/>
      </c>
      <c r="Z746" s="266"/>
    </row>
    <row r="747" spans="1:26" ht="27" hidden="1" customHeight="1">
      <c r="A747" s="70" t="str">
        <f t="shared" si="163"/>
        <v/>
      </c>
      <c r="B747" s="70" t="str">
        <f t="shared" si="164"/>
        <v/>
      </c>
      <c r="C747" s="204" t="str" cm="1">
        <f t="array" ref="C747">IF(D747="","",
    IF(AND(ISNUMBER(D747), D747=INT(D747)),
        $V$6 &amp; " " &amp; (IFERROR(MAX($Y$12:$Y746), 0) + 1),
        IF(ISNUMBER(SEARCH(".", D747)), "", INDEX($C$12:$C747, MATCH(2, 1/($C$12:$C747 &lt;&gt; ""))))
    )
)</f>
        <v/>
      </c>
      <c r="D747" s="206"/>
      <c r="E747" s="206" t="str">
        <f>IF(AA747 = "", "",
    IF(ISNUMBER(SEARCH("Kiện", C747)),
       " GÓI " &amp; COUNTIF($C$13:C747, "*Kiện*") &amp; "/" &amp; COUNTIF($C$13:$C$1000, "*Kiện*") &amp; " " &amp; AA747,
       AA747)
)</f>
        <v/>
      </c>
      <c r="F747" s="206"/>
      <c r="G747" s="206"/>
      <c r="H747" s="206"/>
      <c r="I747" s="206"/>
      <c r="J747" s="206" t="str">
        <f t="shared" si="166"/>
        <v/>
      </c>
      <c r="K747" s="206" t="str">
        <f t="shared" si="168"/>
        <v/>
      </c>
      <c r="L747" s="206" t="str">
        <f t="shared" si="169"/>
        <v/>
      </c>
      <c r="M747" s="206" t="str">
        <f t="shared" si="170"/>
        <v/>
      </c>
      <c r="N747" s="206" t="str">
        <f t="shared" si="171"/>
        <v/>
      </c>
      <c r="O747" s="206" t="str">
        <f t="shared" si="172"/>
        <v/>
      </c>
      <c r="P747" s="84" t="str">
        <f t="shared" si="173"/>
        <v/>
      </c>
      <c r="Q747" s="205"/>
      <c r="R747" s="70" t="str">
        <f>IF(S747="IN",'BOM_Phan II'!$Y$3,"")</f>
        <v/>
      </c>
      <c r="S747" s="69" t="str">
        <f t="shared" si="165"/>
        <v/>
      </c>
      <c r="T747">
        <f t="shared" si="174"/>
        <v>3</v>
      </c>
      <c r="U747" t="str">
        <f t="shared" si="176"/>
        <v>KIỆN 14</v>
      </c>
      <c r="V747" t="str">
        <f t="shared" si="175"/>
        <v/>
      </c>
      <c r="W747" s="266"/>
      <c r="X747" s="266"/>
      <c r="Y747" s="266" t="str">
        <f t="shared" si="167"/>
        <v/>
      </c>
      <c r="Z747" s="266"/>
    </row>
    <row r="748" spans="1:26" ht="27" hidden="1" customHeight="1">
      <c r="A748" s="70" t="str">
        <f t="shared" si="163"/>
        <v/>
      </c>
      <c r="B748" s="70" t="str">
        <f t="shared" si="164"/>
        <v/>
      </c>
      <c r="C748" s="204" t="str" cm="1">
        <f t="array" ref="C748">IF(D748="","",
    IF(AND(ISNUMBER(D748), D748=INT(D748)),
        $V$6 &amp; " " &amp; (IFERROR(MAX($Y$12:$Y747), 0) + 1),
        IF(ISNUMBER(SEARCH(".", D748)), "", INDEX($C$12:$C748, MATCH(2, 1/($C$12:$C748 &lt;&gt; ""))))
    )
)</f>
        <v/>
      </c>
      <c r="D748" s="206"/>
      <c r="E748" s="206" t="str">
        <f>IF(AA748 = "", "",
    IF(ISNUMBER(SEARCH("Kiện", C748)),
       " GÓI " &amp; COUNTIF($C$13:C748, "*Kiện*") &amp; "/" &amp; COUNTIF($C$13:$C$1000, "*Kiện*") &amp; " " &amp; AA748,
       AA748)
)</f>
        <v/>
      </c>
      <c r="F748" s="206"/>
      <c r="G748" s="206"/>
      <c r="H748" s="206"/>
      <c r="I748" s="206"/>
      <c r="J748" s="206" t="str">
        <f t="shared" si="166"/>
        <v/>
      </c>
      <c r="K748" s="206" t="str">
        <f t="shared" si="168"/>
        <v/>
      </c>
      <c r="L748" s="206" t="str">
        <f t="shared" si="169"/>
        <v/>
      </c>
      <c r="M748" s="206" t="str">
        <f t="shared" si="170"/>
        <v/>
      </c>
      <c r="N748" s="206" t="str">
        <f t="shared" si="171"/>
        <v/>
      </c>
      <c r="O748" s="206" t="str">
        <f t="shared" si="172"/>
        <v/>
      </c>
      <c r="P748" s="84" t="str">
        <f t="shared" si="173"/>
        <v/>
      </c>
      <c r="Q748" s="205"/>
      <c r="R748" s="70" t="str">
        <f>IF(S748="IN",'BOM_Phan II'!$Y$3,"")</f>
        <v/>
      </c>
      <c r="S748" s="69" t="str">
        <f t="shared" si="165"/>
        <v/>
      </c>
      <c r="T748">
        <f t="shared" si="174"/>
        <v>3</v>
      </c>
      <c r="U748" t="str">
        <f t="shared" si="176"/>
        <v>KIỆN 14</v>
      </c>
      <c r="V748" t="str">
        <f t="shared" si="175"/>
        <v/>
      </c>
      <c r="W748" s="266"/>
      <c r="X748" s="266"/>
      <c r="Y748" s="266" t="str">
        <f t="shared" si="167"/>
        <v/>
      </c>
      <c r="Z748" s="266"/>
    </row>
    <row r="749" spans="1:26" ht="27" hidden="1" customHeight="1">
      <c r="A749" s="70" t="str">
        <f t="shared" si="163"/>
        <v/>
      </c>
      <c r="B749" s="70" t="str">
        <f t="shared" si="164"/>
        <v/>
      </c>
      <c r="C749" s="204" t="str" cm="1">
        <f t="array" ref="C749">IF(D749="","",
    IF(AND(ISNUMBER(D749), D749=INT(D749)),
        $V$6 &amp; " " &amp; (IFERROR(MAX($Y$12:$Y748), 0) + 1),
        IF(ISNUMBER(SEARCH(".", D749)), "", INDEX($C$12:$C749, MATCH(2, 1/($C$12:$C749 &lt;&gt; ""))))
    )
)</f>
        <v/>
      </c>
      <c r="D749" s="206"/>
      <c r="E749" s="206" t="str">
        <f>IF(AA749 = "", "",
    IF(ISNUMBER(SEARCH("Kiện", C749)),
       " GÓI " &amp; COUNTIF($C$13:C749, "*Kiện*") &amp; "/" &amp; COUNTIF($C$13:$C$1000, "*Kiện*") &amp; " " &amp; AA749,
       AA749)
)</f>
        <v/>
      </c>
      <c r="F749" s="206"/>
      <c r="G749" s="206"/>
      <c r="H749" s="206"/>
      <c r="I749" s="206"/>
      <c r="J749" s="206" t="str">
        <f t="shared" si="166"/>
        <v/>
      </c>
      <c r="K749" s="206" t="str">
        <f t="shared" si="168"/>
        <v/>
      </c>
      <c r="L749" s="206" t="str">
        <f t="shared" si="169"/>
        <v/>
      </c>
      <c r="M749" s="206" t="str">
        <f t="shared" si="170"/>
        <v/>
      </c>
      <c r="N749" s="206" t="str">
        <f t="shared" si="171"/>
        <v/>
      </c>
      <c r="O749" s="206" t="str">
        <f t="shared" si="172"/>
        <v/>
      </c>
      <c r="P749" s="84" t="str">
        <f t="shared" si="173"/>
        <v/>
      </c>
      <c r="Q749" s="205"/>
      <c r="R749" s="70" t="str">
        <f>IF(S749="IN",'BOM_Phan II'!$Y$3,"")</f>
        <v/>
      </c>
      <c r="S749" s="69" t="str">
        <f t="shared" si="165"/>
        <v/>
      </c>
      <c r="T749">
        <f t="shared" si="174"/>
        <v>3</v>
      </c>
      <c r="U749" t="str">
        <f t="shared" si="176"/>
        <v>KIỆN 14</v>
      </c>
      <c r="V749" t="str">
        <f t="shared" si="175"/>
        <v/>
      </c>
      <c r="W749" s="266"/>
      <c r="X749" s="266"/>
      <c r="Y749" s="266" t="str">
        <f t="shared" si="167"/>
        <v/>
      </c>
      <c r="Z749" s="266"/>
    </row>
    <row r="750" spans="1:26" ht="27" hidden="1" customHeight="1">
      <c r="A750" s="70" t="str">
        <f t="shared" si="163"/>
        <v/>
      </c>
      <c r="B750" s="70" t="str">
        <f t="shared" si="164"/>
        <v/>
      </c>
      <c r="C750" s="204" t="str" cm="1">
        <f t="array" ref="C750">IF(D750="","",
    IF(AND(ISNUMBER(D750), D750=INT(D750)),
        $V$6 &amp; " " &amp; (IFERROR(MAX($Y$12:$Y749), 0) + 1),
        IF(ISNUMBER(SEARCH(".", D750)), "", INDEX($C$12:$C750, MATCH(2, 1/($C$12:$C750 &lt;&gt; ""))))
    )
)</f>
        <v/>
      </c>
      <c r="D750" s="206"/>
      <c r="E750" s="206" t="str">
        <f>IF(AA750 = "", "",
    IF(ISNUMBER(SEARCH("Kiện", C750)),
       " GÓI " &amp; COUNTIF($C$13:C750, "*Kiện*") &amp; "/" &amp; COUNTIF($C$13:$C$1000, "*Kiện*") &amp; " " &amp; AA750,
       AA750)
)</f>
        <v/>
      </c>
      <c r="F750" s="206"/>
      <c r="G750" s="206"/>
      <c r="H750" s="206"/>
      <c r="I750" s="206"/>
      <c r="J750" s="206" t="str">
        <f t="shared" si="166"/>
        <v/>
      </c>
      <c r="K750" s="206" t="str">
        <f t="shared" si="168"/>
        <v/>
      </c>
      <c r="L750" s="206" t="str">
        <f t="shared" si="169"/>
        <v/>
      </c>
      <c r="M750" s="206" t="str">
        <f t="shared" si="170"/>
        <v/>
      </c>
      <c r="N750" s="206" t="str">
        <f t="shared" si="171"/>
        <v/>
      </c>
      <c r="O750" s="206" t="str">
        <f t="shared" si="172"/>
        <v/>
      </c>
      <c r="P750" s="84" t="str">
        <f t="shared" si="173"/>
        <v/>
      </c>
      <c r="Q750" s="205"/>
      <c r="R750" s="70" t="str">
        <f>IF(S750="IN",'BOM_Phan II'!$Y$3,"")</f>
        <v/>
      </c>
      <c r="S750" s="69" t="str">
        <f t="shared" si="165"/>
        <v/>
      </c>
      <c r="T750">
        <f t="shared" si="174"/>
        <v>3</v>
      </c>
      <c r="U750" t="str">
        <f t="shared" si="176"/>
        <v>KIỆN 14</v>
      </c>
      <c r="V750" t="str">
        <f t="shared" si="175"/>
        <v/>
      </c>
      <c r="W750" s="266"/>
      <c r="X750" s="266"/>
      <c r="Y750" s="266" t="str">
        <f t="shared" si="167"/>
        <v/>
      </c>
      <c r="Z750" s="266"/>
    </row>
    <row r="751" spans="1:26" ht="27" hidden="1" customHeight="1">
      <c r="A751" s="70" t="str">
        <f t="shared" si="163"/>
        <v/>
      </c>
      <c r="B751" s="70" t="str">
        <f t="shared" si="164"/>
        <v/>
      </c>
      <c r="C751" s="204" t="str" cm="1">
        <f t="array" ref="C751">IF(D751="","",
    IF(AND(ISNUMBER(D751), D751=INT(D751)),
        $V$6 &amp; " " &amp; (IFERROR(MAX($Y$12:$Y750), 0) + 1),
        IF(ISNUMBER(SEARCH(".", D751)), "", INDEX($C$12:$C751, MATCH(2, 1/($C$12:$C751 &lt;&gt; ""))))
    )
)</f>
        <v/>
      </c>
      <c r="D751" s="206"/>
      <c r="E751" s="206" t="str">
        <f>IF(AA751 = "", "",
    IF(ISNUMBER(SEARCH("Kiện", C751)),
       " GÓI " &amp; COUNTIF($C$13:C751, "*Kiện*") &amp; "/" &amp; COUNTIF($C$13:$C$1000, "*Kiện*") &amp; " " &amp; AA751,
       AA751)
)</f>
        <v/>
      </c>
      <c r="F751" s="206"/>
      <c r="G751" s="206"/>
      <c r="H751" s="206"/>
      <c r="I751" s="206"/>
      <c r="J751" s="206" t="str">
        <f t="shared" si="166"/>
        <v/>
      </c>
      <c r="K751" s="206" t="str">
        <f t="shared" si="168"/>
        <v/>
      </c>
      <c r="L751" s="206" t="str">
        <f t="shared" si="169"/>
        <v/>
      </c>
      <c r="M751" s="206" t="str">
        <f t="shared" si="170"/>
        <v/>
      </c>
      <c r="N751" s="206" t="str">
        <f t="shared" si="171"/>
        <v/>
      </c>
      <c r="O751" s="206" t="str">
        <f t="shared" si="172"/>
        <v/>
      </c>
      <c r="P751" s="84" t="str">
        <f t="shared" si="173"/>
        <v/>
      </c>
      <c r="Q751" s="205"/>
      <c r="R751" s="70" t="str">
        <f>IF(S751="IN",'BOM_Phan II'!$Y$3,"")</f>
        <v/>
      </c>
      <c r="S751" s="69" t="str">
        <f t="shared" si="165"/>
        <v/>
      </c>
      <c r="T751">
        <f t="shared" si="174"/>
        <v>3</v>
      </c>
      <c r="U751" t="str">
        <f t="shared" si="176"/>
        <v>KIỆN 14</v>
      </c>
      <c r="V751" t="str">
        <f t="shared" si="175"/>
        <v/>
      </c>
      <c r="W751" s="266"/>
      <c r="X751" s="266"/>
      <c r="Y751" s="266" t="str">
        <f t="shared" si="167"/>
        <v/>
      </c>
      <c r="Z751" s="266"/>
    </row>
    <row r="752" spans="1:26" ht="27" hidden="1" customHeight="1">
      <c r="A752" s="70" t="str">
        <f t="shared" si="163"/>
        <v/>
      </c>
      <c r="B752" s="70" t="str">
        <f t="shared" si="164"/>
        <v/>
      </c>
      <c r="C752" s="204" t="str" cm="1">
        <f t="array" ref="C752">IF(D752="","",
    IF(AND(ISNUMBER(D752), D752=INT(D752)),
        $V$6 &amp; " " &amp; (IFERROR(MAX($Y$12:$Y751), 0) + 1),
        IF(ISNUMBER(SEARCH(".", D752)), "", INDEX($C$12:$C752, MATCH(2, 1/($C$12:$C752 &lt;&gt; ""))))
    )
)</f>
        <v/>
      </c>
      <c r="D752" s="206"/>
      <c r="E752" s="206" t="str">
        <f>IF(AA752 = "", "",
    IF(ISNUMBER(SEARCH("Kiện", C752)),
       " GÓI " &amp; COUNTIF($C$13:C752, "*Kiện*") &amp; "/" &amp; COUNTIF($C$13:$C$1000, "*Kiện*") &amp; " " &amp; AA752,
       AA752)
)</f>
        <v/>
      </c>
      <c r="F752" s="206"/>
      <c r="G752" s="206"/>
      <c r="H752" s="206"/>
      <c r="I752" s="206"/>
      <c r="J752" s="206" t="str">
        <f t="shared" si="166"/>
        <v/>
      </c>
      <c r="K752" s="206" t="str">
        <f t="shared" si="168"/>
        <v/>
      </c>
      <c r="L752" s="206" t="str">
        <f t="shared" si="169"/>
        <v/>
      </c>
      <c r="M752" s="206" t="str">
        <f t="shared" si="170"/>
        <v/>
      </c>
      <c r="N752" s="206" t="str">
        <f t="shared" si="171"/>
        <v/>
      </c>
      <c r="O752" s="206" t="str">
        <f t="shared" si="172"/>
        <v/>
      </c>
      <c r="P752" s="84" t="str">
        <f t="shared" si="173"/>
        <v/>
      </c>
      <c r="Q752" s="205"/>
      <c r="R752" s="70" t="str">
        <f>IF(S752="IN",'BOM_Phan II'!$Y$3,"")</f>
        <v/>
      </c>
      <c r="S752" s="69" t="str">
        <f t="shared" si="165"/>
        <v/>
      </c>
      <c r="T752">
        <f t="shared" si="174"/>
        <v>3</v>
      </c>
      <c r="U752" t="str">
        <f t="shared" si="176"/>
        <v>KIỆN 14</v>
      </c>
      <c r="V752" t="str">
        <f t="shared" si="175"/>
        <v/>
      </c>
      <c r="W752" s="266"/>
      <c r="X752" s="266"/>
      <c r="Y752" s="266" t="str">
        <f t="shared" si="167"/>
        <v/>
      </c>
      <c r="Z752" s="266"/>
    </row>
    <row r="753" spans="1:26" ht="27" hidden="1" customHeight="1">
      <c r="A753" s="70" t="str">
        <f t="shared" si="163"/>
        <v/>
      </c>
      <c r="B753" s="70" t="str">
        <f t="shared" si="164"/>
        <v/>
      </c>
      <c r="C753" s="204" t="str" cm="1">
        <f t="array" ref="C753">IF(D753="","",
    IF(AND(ISNUMBER(D753), D753=INT(D753)),
        $V$6 &amp; " " &amp; (IFERROR(MAX($Y$12:$Y752), 0) + 1),
        IF(ISNUMBER(SEARCH(".", D753)), "", INDEX($C$12:$C753, MATCH(2, 1/($C$12:$C753 &lt;&gt; ""))))
    )
)</f>
        <v/>
      </c>
      <c r="D753" s="206"/>
      <c r="E753" s="206" t="str">
        <f>IF(AA753 = "", "",
    IF(ISNUMBER(SEARCH("Kiện", C753)),
       " GÓI " &amp; COUNTIF($C$13:C753, "*Kiện*") &amp; "/" &amp; COUNTIF($C$13:$C$1000, "*Kiện*") &amp; " " &amp; AA753,
       AA753)
)</f>
        <v/>
      </c>
      <c r="F753" s="206"/>
      <c r="G753" s="206"/>
      <c r="H753" s="206"/>
      <c r="I753" s="206"/>
      <c r="J753" s="206" t="str">
        <f t="shared" si="166"/>
        <v/>
      </c>
      <c r="K753" s="206" t="str">
        <f t="shared" si="168"/>
        <v/>
      </c>
      <c r="L753" s="206" t="str">
        <f t="shared" si="169"/>
        <v/>
      </c>
      <c r="M753" s="206" t="str">
        <f t="shared" si="170"/>
        <v/>
      </c>
      <c r="N753" s="206" t="str">
        <f t="shared" si="171"/>
        <v/>
      </c>
      <c r="O753" s="206" t="str">
        <f t="shared" si="172"/>
        <v/>
      </c>
      <c r="P753" s="84" t="str">
        <f t="shared" si="173"/>
        <v/>
      </c>
      <c r="Q753" s="205"/>
      <c r="R753" s="70" t="str">
        <f>IF(S753="IN",'BOM_Phan II'!$Y$3,"")</f>
        <v/>
      </c>
      <c r="S753" s="69" t="str">
        <f t="shared" si="165"/>
        <v/>
      </c>
      <c r="T753">
        <f t="shared" si="174"/>
        <v>3</v>
      </c>
      <c r="U753" t="str">
        <f t="shared" si="176"/>
        <v>KIỆN 14</v>
      </c>
      <c r="V753" t="str">
        <f t="shared" si="175"/>
        <v/>
      </c>
      <c r="W753" s="266"/>
      <c r="X753" s="266"/>
      <c r="Y753" s="266" t="str">
        <f t="shared" si="167"/>
        <v/>
      </c>
      <c r="Z753" s="266"/>
    </row>
    <row r="754" spans="1:26" ht="27" hidden="1" customHeight="1">
      <c r="A754" s="70" t="str">
        <f t="shared" si="163"/>
        <v/>
      </c>
      <c r="B754" s="70" t="str">
        <f t="shared" si="164"/>
        <v/>
      </c>
      <c r="C754" s="204" t="str" cm="1">
        <f t="array" ref="C754">IF(D754="","",
    IF(AND(ISNUMBER(D754), D754=INT(D754)),
        $V$6 &amp; " " &amp; (IFERROR(MAX($Y$12:$Y753), 0) + 1),
        IF(ISNUMBER(SEARCH(".", D754)), "", INDEX($C$12:$C754, MATCH(2, 1/($C$12:$C754 &lt;&gt; ""))))
    )
)</f>
        <v/>
      </c>
      <c r="D754" s="206"/>
      <c r="E754" s="206" t="str">
        <f>IF(AA754 = "", "",
    IF(ISNUMBER(SEARCH("Kiện", C754)),
       " GÓI " &amp; COUNTIF($C$13:C754, "*Kiện*") &amp; "/" &amp; COUNTIF($C$13:$C$1000, "*Kiện*") &amp; " " &amp; AA754,
       AA754)
)</f>
        <v/>
      </c>
      <c r="F754" s="206"/>
      <c r="G754" s="206"/>
      <c r="H754" s="206"/>
      <c r="I754" s="206"/>
      <c r="J754" s="206" t="str">
        <f t="shared" si="166"/>
        <v/>
      </c>
      <c r="K754" s="206" t="str">
        <f t="shared" si="168"/>
        <v/>
      </c>
      <c r="L754" s="206" t="str">
        <f t="shared" si="169"/>
        <v/>
      </c>
      <c r="M754" s="206" t="str">
        <f t="shared" si="170"/>
        <v/>
      </c>
      <c r="N754" s="206" t="str">
        <f t="shared" si="171"/>
        <v/>
      </c>
      <c r="O754" s="206" t="str">
        <f t="shared" si="172"/>
        <v/>
      </c>
      <c r="P754" s="84" t="str">
        <f t="shared" si="173"/>
        <v/>
      </c>
      <c r="Q754" s="205"/>
      <c r="R754" s="70" t="str">
        <f>IF(S754="IN",'BOM_Phan II'!$Y$3,"")</f>
        <v/>
      </c>
      <c r="S754" s="69" t="str">
        <f t="shared" si="165"/>
        <v/>
      </c>
      <c r="T754">
        <f t="shared" si="174"/>
        <v>3</v>
      </c>
      <c r="U754" t="str">
        <f t="shared" si="176"/>
        <v>KIỆN 14</v>
      </c>
      <c r="V754" t="str">
        <f t="shared" si="175"/>
        <v/>
      </c>
      <c r="W754" s="266"/>
      <c r="X754" s="266"/>
      <c r="Y754" s="266" t="str">
        <f t="shared" si="167"/>
        <v/>
      </c>
      <c r="Z754" s="266"/>
    </row>
    <row r="755" spans="1:26" ht="27" hidden="1" customHeight="1">
      <c r="A755" s="70" t="str">
        <f t="shared" si="163"/>
        <v/>
      </c>
      <c r="B755" s="70" t="str">
        <f t="shared" si="164"/>
        <v/>
      </c>
      <c r="C755" s="204" t="str" cm="1">
        <f t="array" ref="C755">IF(D755="","",
    IF(AND(ISNUMBER(D755), D755=INT(D755)),
        $V$6 &amp; " " &amp; (IFERROR(MAX($Y$12:$Y754), 0) + 1),
        IF(ISNUMBER(SEARCH(".", D755)), "", INDEX($C$12:$C755, MATCH(2, 1/($C$12:$C755 &lt;&gt; ""))))
    )
)</f>
        <v/>
      </c>
      <c r="D755" s="206"/>
      <c r="E755" s="206" t="str">
        <f>IF(AA755 = "", "",
    IF(ISNUMBER(SEARCH("Kiện", C755)),
       " GÓI " &amp; COUNTIF($C$13:C755, "*Kiện*") &amp; "/" &amp; COUNTIF($C$13:$C$1000, "*Kiện*") &amp; " " &amp; AA755,
       AA755)
)</f>
        <v/>
      </c>
      <c r="F755" s="206"/>
      <c r="G755" s="206"/>
      <c r="H755" s="206"/>
      <c r="I755" s="206"/>
      <c r="J755" s="206" t="str">
        <f t="shared" si="166"/>
        <v/>
      </c>
      <c r="K755" s="206" t="str">
        <f t="shared" si="168"/>
        <v/>
      </c>
      <c r="L755" s="206" t="str">
        <f t="shared" si="169"/>
        <v/>
      </c>
      <c r="M755" s="206" t="str">
        <f t="shared" si="170"/>
        <v/>
      </c>
      <c r="N755" s="206" t="str">
        <f t="shared" si="171"/>
        <v/>
      </c>
      <c r="O755" s="206" t="str">
        <f t="shared" si="172"/>
        <v/>
      </c>
      <c r="P755" s="84" t="str">
        <f t="shared" si="173"/>
        <v/>
      </c>
      <c r="Q755" s="205"/>
      <c r="R755" s="70" t="str">
        <f>IF(S755="IN",'BOM_Phan II'!$Y$3,"")</f>
        <v/>
      </c>
      <c r="S755" s="69" t="str">
        <f t="shared" si="165"/>
        <v/>
      </c>
      <c r="T755">
        <f t="shared" si="174"/>
        <v>3</v>
      </c>
      <c r="U755" t="str">
        <f t="shared" si="176"/>
        <v>KIỆN 14</v>
      </c>
      <c r="V755" t="str">
        <f t="shared" si="175"/>
        <v/>
      </c>
      <c r="W755" s="266"/>
      <c r="X755" s="266"/>
      <c r="Y755" s="266" t="str">
        <f t="shared" si="167"/>
        <v/>
      </c>
      <c r="Z755" s="266"/>
    </row>
    <row r="756" spans="1:26" ht="27" hidden="1" customHeight="1">
      <c r="A756" s="70" t="str">
        <f t="shared" si="163"/>
        <v/>
      </c>
      <c r="B756" s="70" t="str">
        <f t="shared" si="164"/>
        <v/>
      </c>
      <c r="C756" s="204" t="str" cm="1">
        <f t="array" ref="C756">IF(D756="","",
    IF(AND(ISNUMBER(D756), D756=INT(D756)),
        $V$6 &amp; " " &amp; (IFERROR(MAX($Y$12:$Y755), 0) + 1),
        IF(ISNUMBER(SEARCH(".", D756)), "", INDEX($C$12:$C756, MATCH(2, 1/($C$12:$C756 &lt;&gt; ""))))
    )
)</f>
        <v/>
      </c>
      <c r="D756" s="206"/>
      <c r="E756" s="206" t="str">
        <f>IF(AA756 = "", "",
    IF(ISNUMBER(SEARCH("Kiện", C756)),
       " GÓI " &amp; COUNTIF($C$13:C756, "*Kiện*") &amp; "/" &amp; COUNTIF($C$13:$C$1000, "*Kiện*") &amp; " " &amp; AA756,
       AA756)
)</f>
        <v/>
      </c>
      <c r="F756" s="206"/>
      <c r="G756" s="206"/>
      <c r="H756" s="206"/>
      <c r="I756" s="206"/>
      <c r="J756" s="206" t="str">
        <f t="shared" si="166"/>
        <v/>
      </c>
      <c r="K756" s="206" t="str">
        <f t="shared" si="168"/>
        <v/>
      </c>
      <c r="L756" s="206" t="str">
        <f t="shared" si="169"/>
        <v/>
      </c>
      <c r="M756" s="206" t="str">
        <f t="shared" si="170"/>
        <v/>
      </c>
      <c r="N756" s="206" t="str">
        <f t="shared" si="171"/>
        <v/>
      </c>
      <c r="O756" s="206" t="str">
        <f t="shared" si="172"/>
        <v/>
      </c>
      <c r="P756" s="84" t="str">
        <f t="shared" si="173"/>
        <v/>
      </c>
      <c r="Q756" s="205"/>
      <c r="R756" s="70" t="str">
        <f>IF(S756="IN",'BOM_Phan II'!$Y$3,"")</f>
        <v/>
      </c>
      <c r="S756" s="69" t="str">
        <f t="shared" si="165"/>
        <v/>
      </c>
      <c r="T756">
        <f t="shared" si="174"/>
        <v>3</v>
      </c>
      <c r="U756" t="str">
        <f t="shared" si="176"/>
        <v>KIỆN 14</v>
      </c>
      <c r="V756" t="str">
        <f t="shared" si="175"/>
        <v/>
      </c>
      <c r="W756" s="266"/>
      <c r="X756" s="266"/>
      <c r="Y756" s="266" t="str">
        <f t="shared" si="167"/>
        <v/>
      </c>
      <c r="Z756" s="266"/>
    </row>
    <row r="757" spans="1:26" ht="27" hidden="1" customHeight="1">
      <c r="A757" s="70" t="str">
        <f t="shared" si="163"/>
        <v/>
      </c>
      <c r="B757" s="70" t="str">
        <f t="shared" si="164"/>
        <v/>
      </c>
      <c r="C757" s="204" t="str" cm="1">
        <f t="array" ref="C757">IF(D757="","",
    IF(AND(ISNUMBER(D757), D757=INT(D757)),
        $V$6 &amp; " " &amp; (IFERROR(MAX($Y$12:$Y756), 0) + 1),
        IF(ISNUMBER(SEARCH(".", D757)), "", INDEX($C$12:$C757, MATCH(2, 1/($C$12:$C757 &lt;&gt; ""))))
    )
)</f>
        <v/>
      </c>
      <c r="D757" s="206"/>
      <c r="E757" s="206" t="str">
        <f>IF(AA757 = "", "",
    IF(ISNUMBER(SEARCH("Kiện", C757)),
       " GÓI " &amp; COUNTIF($C$13:C757, "*Kiện*") &amp; "/" &amp; COUNTIF($C$13:$C$1000, "*Kiện*") &amp; " " &amp; AA757,
       AA757)
)</f>
        <v/>
      </c>
      <c r="F757" s="206"/>
      <c r="G757" s="206"/>
      <c r="H757" s="206"/>
      <c r="I757" s="206"/>
      <c r="J757" s="206" t="str">
        <f t="shared" si="166"/>
        <v/>
      </c>
      <c r="K757" s="206" t="str">
        <f t="shared" si="168"/>
        <v/>
      </c>
      <c r="L757" s="206" t="str">
        <f t="shared" si="169"/>
        <v/>
      </c>
      <c r="M757" s="206" t="str">
        <f t="shared" si="170"/>
        <v/>
      </c>
      <c r="N757" s="206" t="str">
        <f t="shared" si="171"/>
        <v/>
      </c>
      <c r="O757" s="206" t="str">
        <f t="shared" si="172"/>
        <v/>
      </c>
      <c r="P757" s="84" t="str">
        <f t="shared" si="173"/>
        <v/>
      </c>
      <c r="Q757" s="205"/>
      <c r="R757" s="70" t="str">
        <f>IF(S757="IN",'BOM_Phan II'!$Y$3,"")</f>
        <v/>
      </c>
      <c r="S757" s="69" t="str">
        <f t="shared" si="165"/>
        <v/>
      </c>
      <c r="T757">
        <f t="shared" si="174"/>
        <v>3</v>
      </c>
      <c r="U757" t="str">
        <f t="shared" si="176"/>
        <v>KIỆN 14</v>
      </c>
      <c r="V757" t="str">
        <f t="shared" si="175"/>
        <v/>
      </c>
      <c r="W757" s="266"/>
      <c r="X757" s="266"/>
      <c r="Y757" s="266" t="str">
        <f t="shared" si="167"/>
        <v/>
      </c>
      <c r="Z757" s="266"/>
    </row>
    <row r="758" spans="1:26" ht="27" hidden="1" customHeight="1">
      <c r="A758" s="70" t="str">
        <f t="shared" si="163"/>
        <v/>
      </c>
      <c r="B758" s="70" t="str">
        <f t="shared" si="164"/>
        <v/>
      </c>
      <c r="C758" s="204" t="str" cm="1">
        <f t="array" ref="C758">IF(D758="","",
    IF(AND(ISNUMBER(D758), D758=INT(D758)),
        $V$6 &amp; " " &amp; (IFERROR(MAX($Y$12:$Y757), 0) + 1),
        IF(ISNUMBER(SEARCH(".", D758)), "", INDEX($C$12:$C758, MATCH(2, 1/($C$12:$C758 &lt;&gt; ""))))
    )
)</f>
        <v/>
      </c>
      <c r="D758" s="206"/>
      <c r="E758" s="206" t="str">
        <f>IF(AA758 = "", "",
    IF(ISNUMBER(SEARCH("Kiện", C758)),
       " GÓI " &amp; COUNTIF($C$13:C758, "*Kiện*") &amp; "/" &amp; COUNTIF($C$13:$C$1000, "*Kiện*") &amp; " " &amp; AA758,
       AA758)
)</f>
        <v/>
      </c>
      <c r="F758" s="206"/>
      <c r="G758" s="206"/>
      <c r="H758" s="206"/>
      <c r="I758" s="206"/>
      <c r="J758" s="206" t="str">
        <f t="shared" si="166"/>
        <v/>
      </c>
      <c r="K758" s="206" t="str">
        <f t="shared" si="168"/>
        <v/>
      </c>
      <c r="L758" s="206" t="str">
        <f t="shared" si="169"/>
        <v/>
      </c>
      <c r="M758" s="206" t="str">
        <f t="shared" si="170"/>
        <v/>
      </c>
      <c r="N758" s="206" t="str">
        <f t="shared" si="171"/>
        <v/>
      </c>
      <c r="O758" s="206" t="str">
        <f t="shared" si="172"/>
        <v/>
      </c>
      <c r="P758" s="84" t="str">
        <f t="shared" si="173"/>
        <v/>
      </c>
      <c r="Q758" s="205"/>
      <c r="R758" s="70" t="str">
        <f>IF(S758="IN",'BOM_Phan II'!$Y$3,"")</f>
        <v/>
      </c>
      <c r="S758" s="69" t="str">
        <f t="shared" si="165"/>
        <v/>
      </c>
      <c r="T758">
        <f t="shared" si="174"/>
        <v>3</v>
      </c>
      <c r="U758" t="str">
        <f t="shared" si="176"/>
        <v>KIỆN 14</v>
      </c>
      <c r="V758" t="str">
        <f t="shared" si="175"/>
        <v/>
      </c>
      <c r="W758" s="266"/>
      <c r="X758" s="266"/>
      <c r="Y758" s="266" t="str">
        <f t="shared" si="167"/>
        <v/>
      </c>
      <c r="Z758" s="266"/>
    </row>
    <row r="759" spans="1:26" ht="27" hidden="1" customHeight="1">
      <c r="A759" s="70" t="str">
        <f t="shared" si="163"/>
        <v/>
      </c>
      <c r="B759" s="70" t="str">
        <f t="shared" si="164"/>
        <v/>
      </c>
      <c r="C759" s="204" t="str" cm="1">
        <f t="array" ref="C759">IF(D759="","",
    IF(AND(ISNUMBER(D759), D759=INT(D759)),
        $V$6 &amp; " " &amp; (IFERROR(MAX($Y$12:$Y758), 0) + 1),
        IF(ISNUMBER(SEARCH(".", D759)), "", INDEX($C$12:$C759, MATCH(2, 1/($C$12:$C759 &lt;&gt; ""))))
    )
)</f>
        <v/>
      </c>
      <c r="D759" s="206"/>
      <c r="E759" s="206" t="str">
        <f>IF(AA759 = "", "",
    IF(ISNUMBER(SEARCH("Kiện", C759)),
       " GÓI " &amp; COUNTIF($C$13:C759, "*Kiện*") &amp; "/" &amp; COUNTIF($C$13:$C$1000, "*Kiện*") &amp; " " &amp; AA759,
       AA759)
)</f>
        <v/>
      </c>
      <c r="F759" s="206"/>
      <c r="G759" s="206"/>
      <c r="H759" s="206"/>
      <c r="I759" s="206"/>
      <c r="J759" s="206" t="str">
        <f t="shared" si="166"/>
        <v/>
      </c>
      <c r="K759" s="206" t="str">
        <f t="shared" si="168"/>
        <v/>
      </c>
      <c r="L759" s="206" t="str">
        <f t="shared" si="169"/>
        <v/>
      </c>
      <c r="M759" s="206" t="str">
        <f t="shared" si="170"/>
        <v/>
      </c>
      <c r="N759" s="206" t="str">
        <f t="shared" si="171"/>
        <v/>
      </c>
      <c r="O759" s="206" t="str">
        <f t="shared" si="172"/>
        <v/>
      </c>
      <c r="P759" s="84" t="str">
        <f t="shared" si="173"/>
        <v/>
      </c>
      <c r="Q759" s="205"/>
      <c r="R759" s="70" t="str">
        <f>IF(S759="IN",'BOM_Phan II'!$Y$3,"")</f>
        <v/>
      </c>
      <c r="S759" s="69" t="str">
        <f t="shared" si="165"/>
        <v/>
      </c>
      <c r="T759">
        <f t="shared" si="174"/>
        <v>3</v>
      </c>
      <c r="U759" t="str">
        <f t="shared" si="176"/>
        <v>KIỆN 14</v>
      </c>
      <c r="V759" t="str">
        <f t="shared" si="175"/>
        <v/>
      </c>
      <c r="W759" s="266"/>
      <c r="X759" s="266"/>
      <c r="Y759" s="266" t="str">
        <f t="shared" si="167"/>
        <v/>
      </c>
      <c r="Z759" s="266"/>
    </row>
    <row r="760" spans="1:26" ht="27" hidden="1" customHeight="1">
      <c r="A760" s="70" t="str">
        <f t="shared" si="163"/>
        <v/>
      </c>
      <c r="B760" s="70" t="str">
        <f t="shared" si="164"/>
        <v/>
      </c>
      <c r="C760" s="204" t="str" cm="1">
        <f t="array" ref="C760">IF(D760="","",
    IF(AND(ISNUMBER(D760), D760=INT(D760)),
        $V$6 &amp; " " &amp; (IFERROR(MAX($Y$12:$Y759), 0) + 1),
        IF(ISNUMBER(SEARCH(".", D760)), "", INDEX($C$12:$C760, MATCH(2, 1/($C$12:$C760 &lt;&gt; ""))))
    )
)</f>
        <v/>
      </c>
      <c r="D760" s="206"/>
      <c r="E760" s="206" t="str">
        <f>IF(AA760 = "", "",
    IF(ISNUMBER(SEARCH("Kiện", C760)),
       " GÓI " &amp; COUNTIF($C$13:C760, "*Kiện*") &amp; "/" &amp; COUNTIF($C$13:$C$1000, "*Kiện*") &amp; " " &amp; AA760,
       AA760)
)</f>
        <v/>
      </c>
      <c r="F760" s="206"/>
      <c r="G760" s="206"/>
      <c r="H760" s="206"/>
      <c r="I760" s="206"/>
      <c r="J760" s="206" t="str">
        <f t="shared" si="166"/>
        <v/>
      </c>
      <c r="K760" s="206" t="str">
        <f t="shared" si="168"/>
        <v/>
      </c>
      <c r="L760" s="206" t="str">
        <f t="shared" si="169"/>
        <v/>
      </c>
      <c r="M760" s="206" t="str">
        <f t="shared" si="170"/>
        <v/>
      </c>
      <c r="N760" s="206" t="str">
        <f t="shared" si="171"/>
        <v/>
      </c>
      <c r="O760" s="206" t="str">
        <f t="shared" si="172"/>
        <v/>
      </c>
      <c r="P760" s="84" t="str">
        <f t="shared" si="173"/>
        <v/>
      </c>
      <c r="Q760" s="205"/>
      <c r="R760" s="70" t="str">
        <f>IF(S760="IN",'BOM_Phan II'!$Y$3,"")</f>
        <v/>
      </c>
      <c r="S760" s="69" t="str">
        <f t="shared" si="165"/>
        <v/>
      </c>
      <c r="T760">
        <f t="shared" si="174"/>
        <v>3</v>
      </c>
      <c r="U760" t="str">
        <f t="shared" si="176"/>
        <v>KIỆN 14</v>
      </c>
      <c r="V760" t="str">
        <f t="shared" si="175"/>
        <v/>
      </c>
      <c r="W760" s="266"/>
      <c r="X760" s="266"/>
      <c r="Y760" s="266" t="str">
        <f t="shared" si="167"/>
        <v/>
      </c>
      <c r="Z760" s="266"/>
    </row>
    <row r="761" spans="1:26" ht="27" hidden="1" customHeight="1">
      <c r="A761" s="70" t="str">
        <f t="shared" si="163"/>
        <v/>
      </c>
      <c r="B761" s="70" t="str">
        <f t="shared" si="164"/>
        <v/>
      </c>
      <c r="C761" s="204" t="str" cm="1">
        <f t="array" ref="C761">IF(D761="","",
    IF(AND(ISNUMBER(D761), D761=INT(D761)),
        $V$6 &amp; " " &amp; (IFERROR(MAX($Y$12:$Y760), 0) + 1),
        IF(ISNUMBER(SEARCH(".", D761)), "", INDEX($C$12:$C761, MATCH(2, 1/($C$12:$C761 &lt;&gt; ""))))
    )
)</f>
        <v/>
      </c>
      <c r="D761" s="206"/>
      <c r="E761" s="206" t="str">
        <f>IF(AA761 = "", "",
    IF(ISNUMBER(SEARCH("Kiện", C761)),
       " GÓI " &amp; COUNTIF($C$13:C761, "*Kiện*") &amp; "/" &amp; COUNTIF($C$13:$C$1000, "*Kiện*") &amp; " " &amp; AA761,
       AA761)
)</f>
        <v/>
      </c>
      <c r="F761" s="206"/>
      <c r="G761" s="206"/>
      <c r="H761" s="206"/>
      <c r="I761" s="206"/>
      <c r="J761" s="206" t="str">
        <f t="shared" si="166"/>
        <v/>
      </c>
      <c r="K761" s="206" t="str">
        <f t="shared" si="168"/>
        <v/>
      </c>
      <c r="L761" s="206" t="str">
        <f t="shared" si="169"/>
        <v/>
      </c>
      <c r="M761" s="206" t="str">
        <f t="shared" si="170"/>
        <v/>
      </c>
      <c r="N761" s="206" t="str">
        <f t="shared" si="171"/>
        <v/>
      </c>
      <c r="O761" s="206" t="str">
        <f t="shared" si="172"/>
        <v/>
      </c>
      <c r="P761" s="84" t="str">
        <f t="shared" si="173"/>
        <v/>
      </c>
      <c r="Q761" s="205"/>
      <c r="R761" s="70" t="str">
        <f>IF(S761="IN",'BOM_Phan II'!$Y$3,"")</f>
        <v/>
      </c>
      <c r="S761" s="69" t="str">
        <f t="shared" si="165"/>
        <v/>
      </c>
      <c r="T761">
        <f t="shared" si="174"/>
        <v>3</v>
      </c>
      <c r="U761" t="str">
        <f t="shared" si="176"/>
        <v>KIỆN 14</v>
      </c>
      <c r="V761" t="str">
        <f t="shared" si="175"/>
        <v/>
      </c>
      <c r="W761" s="266"/>
      <c r="X761" s="266"/>
      <c r="Y761" s="266" t="str">
        <f t="shared" si="167"/>
        <v/>
      </c>
      <c r="Z761" s="266"/>
    </row>
    <row r="762" spans="1:26" ht="27" hidden="1" customHeight="1">
      <c r="A762" s="70" t="str">
        <f t="shared" si="163"/>
        <v/>
      </c>
      <c r="B762" s="70" t="str">
        <f t="shared" si="164"/>
        <v/>
      </c>
      <c r="C762" s="204" t="str" cm="1">
        <f t="array" ref="C762">IF(D762="","",
    IF(AND(ISNUMBER(D762), D762=INT(D762)),
        $V$6 &amp; " " &amp; (IFERROR(MAX($Y$12:$Y761), 0) + 1),
        IF(ISNUMBER(SEARCH(".", D762)), "", INDEX($C$12:$C762, MATCH(2, 1/($C$12:$C762 &lt;&gt; ""))))
    )
)</f>
        <v/>
      </c>
      <c r="D762" s="206"/>
      <c r="E762" s="206" t="str">
        <f>IF(AA762 = "", "",
    IF(ISNUMBER(SEARCH("Kiện", C762)),
       " GÓI " &amp; COUNTIF($C$13:C762, "*Kiện*") &amp; "/" &amp; COUNTIF($C$13:$C$1000, "*Kiện*") &amp; " " &amp; AA762,
       AA762)
)</f>
        <v/>
      </c>
      <c r="F762" s="206"/>
      <c r="G762" s="206"/>
      <c r="H762" s="206"/>
      <c r="I762" s="206"/>
      <c r="J762" s="206" t="str">
        <f t="shared" si="166"/>
        <v/>
      </c>
      <c r="K762" s="206" t="str">
        <f t="shared" si="168"/>
        <v/>
      </c>
      <c r="L762" s="206" t="str">
        <f t="shared" si="169"/>
        <v/>
      </c>
      <c r="M762" s="206" t="str">
        <f t="shared" si="170"/>
        <v/>
      </c>
      <c r="N762" s="206" t="str">
        <f t="shared" si="171"/>
        <v/>
      </c>
      <c r="O762" s="206" t="str">
        <f t="shared" si="172"/>
        <v/>
      </c>
      <c r="P762" s="84" t="str">
        <f t="shared" si="173"/>
        <v/>
      </c>
      <c r="Q762" s="205"/>
      <c r="R762" s="70" t="str">
        <f>IF(S762="IN",'BOM_Phan II'!$Y$3,"")</f>
        <v/>
      </c>
      <c r="S762" s="69" t="str">
        <f t="shared" si="165"/>
        <v/>
      </c>
      <c r="T762">
        <f t="shared" si="174"/>
        <v>3</v>
      </c>
      <c r="U762" t="str">
        <f t="shared" si="176"/>
        <v>KIỆN 14</v>
      </c>
      <c r="V762" t="str">
        <f t="shared" si="175"/>
        <v/>
      </c>
      <c r="W762" s="266"/>
      <c r="X762" s="266"/>
      <c r="Y762" s="266" t="str">
        <f t="shared" si="167"/>
        <v/>
      </c>
      <c r="Z762" s="266"/>
    </row>
    <row r="763" spans="1:26" ht="27" hidden="1" customHeight="1">
      <c r="A763" s="70" t="str">
        <f t="shared" si="163"/>
        <v/>
      </c>
      <c r="B763" s="70" t="str">
        <f t="shared" si="164"/>
        <v/>
      </c>
      <c r="C763" s="204" t="str" cm="1">
        <f t="array" ref="C763">IF(D763="","",
    IF(AND(ISNUMBER(D763), D763=INT(D763)),
        $V$6 &amp; " " &amp; (IFERROR(MAX($Y$12:$Y762), 0) + 1),
        IF(ISNUMBER(SEARCH(".", D763)), "", INDEX($C$12:$C763, MATCH(2, 1/($C$12:$C763 &lt;&gt; ""))))
    )
)</f>
        <v/>
      </c>
      <c r="D763" s="206"/>
      <c r="E763" s="206" t="str">
        <f>IF(AA763 = "", "",
    IF(ISNUMBER(SEARCH("Kiện", C763)),
       " GÓI " &amp; COUNTIF($C$13:C763, "*Kiện*") &amp; "/" &amp; COUNTIF($C$13:$C$1000, "*Kiện*") &amp; " " &amp; AA763,
       AA763)
)</f>
        <v/>
      </c>
      <c r="F763" s="206"/>
      <c r="G763" s="206"/>
      <c r="H763" s="206"/>
      <c r="I763" s="206"/>
      <c r="J763" s="206" t="str">
        <f t="shared" si="166"/>
        <v/>
      </c>
      <c r="K763" s="206" t="str">
        <f t="shared" si="168"/>
        <v/>
      </c>
      <c r="L763" s="206" t="str">
        <f t="shared" si="169"/>
        <v/>
      </c>
      <c r="M763" s="206" t="str">
        <f t="shared" si="170"/>
        <v/>
      </c>
      <c r="N763" s="206" t="str">
        <f t="shared" si="171"/>
        <v/>
      </c>
      <c r="O763" s="206" t="str">
        <f t="shared" si="172"/>
        <v/>
      </c>
      <c r="P763" s="84" t="str">
        <f t="shared" si="173"/>
        <v/>
      </c>
      <c r="Q763" s="205"/>
      <c r="R763" s="70" t="str">
        <f>IF(S763="IN",'BOM_Phan II'!$Y$3,"")</f>
        <v/>
      </c>
      <c r="S763" s="69" t="str">
        <f t="shared" si="165"/>
        <v/>
      </c>
      <c r="T763">
        <f t="shared" si="174"/>
        <v>3</v>
      </c>
      <c r="U763" t="str">
        <f t="shared" si="176"/>
        <v>KIỆN 14</v>
      </c>
      <c r="V763" t="str">
        <f t="shared" si="175"/>
        <v/>
      </c>
      <c r="W763" s="266"/>
      <c r="X763" s="266"/>
      <c r="Y763" s="266" t="str">
        <f t="shared" si="167"/>
        <v/>
      </c>
      <c r="Z763" s="266"/>
    </row>
    <row r="764" spans="1:26" ht="27" hidden="1" customHeight="1">
      <c r="A764" s="70" t="str">
        <f t="shared" si="163"/>
        <v/>
      </c>
      <c r="B764" s="70" t="str">
        <f t="shared" si="164"/>
        <v/>
      </c>
      <c r="C764" s="204" t="str" cm="1">
        <f t="array" ref="C764">IF(D764="","",
    IF(AND(ISNUMBER(D764), D764=INT(D764)),
        $V$6 &amp; " " &amp; (IFERROR(MAX($Y$12:$Y763), 0) + 1),
        IF(ISNUMBER(SEARCH(".", D764)), "", INDEX($C$12:$C764, MATCH(2, 1/($C$12:$C764 &lt;&gt; ""))))
    )
)</f>
        <v/>
      </c>
      <c r="D764" s="206"/>
      <c r="E764" s="206" t="str">
        <f>IF(AA764 = "", "",
    IF(ISNUMBER(SEARCH("Kiện", C764)),
       " GÓI " &amp; COUNTIF($C$13:C764, "*Kiện*") &amp; "/" &amp; COUNTIF($C$13:$C$1000, "*Kiện*") &amp; " " &amp; AA764,
       AA764)
)</f>
        <v/>
      </c>
      <c r="F764" s="206"/>
      <c r="G764" s="206"/>
      <c r="H764" s="206"/>
      <c r="I764" s="206"/>
      <c r="J764" s="206" t="str">
        <f t="shared" si="166"/>
        <v/>
      </c>
      <c r="K764" s="206" t="str">
        <f t="shared" si="168"/>
        <v/>
      </c>
      <c r="L764" s="206" t="str">
        <f t="shared" si="169"/>
        <v/>
      </c>
      <c r="M764" s="206" t="str">
        <f t="shared" si="170"/>
        <v/>
      </c>
      <c r="N764" s="206" t="str">
        <f t="shared" si="171"/>
        <v/>
      </c>
      <c r="O764" s="206" t="str">
        <f t="shared" si="172"/>
        <v/>
      </c>
      <c r="P764" s="84" t="str">
        <f t="shared" si="173"/>
        <v/>
      </c>
      <c r="Q764" s="205"/>
      <c r="R764" s="70" t="str">
        <f>IF(S764="IN",'BOM_Phan II'!$Y$3,"")</f>
        <v/>
      </c>
      <c r="S764" s="69" t="str">
        <f t="shared" si="165"/>
        <v/>
      </c>
      <c r="T764">
        <f t="shared" si="174"/>
        <v>3</v>
      </c>
      <c r="U764" t="str">
        <f t="shared" si="176"/>
        <v>KIỆN 14</v>
      </c>
      <c r="V764" t="str">
        <f t="shared" si="175"/>
        <v/>
      </c>
      <c r="W764" s="266"/>
      <c r="X764" s="266"/>
      <c r="Y764" s="266" t="str">
        <f t="shared" si="167"/>
        <v/>
      </c>
      <c r="Z764" s="266"/>
    </row>
    <row r="765" spans="1:26" ht="27" hidden="1" customHeight="1">
      <c r="A765" s="70" t="str">
        <f t="shared" si="163"/>
        <v/>
      </c>
      <c r="B765" s="70" t="str">
        <f t="shared" si="164"/>
        <v/>
      </c>
      <c r="C765" s="204" t="str" cm="1">
        <f t="array" ref="C765">IF(D765="","",
    IF(AND(ISNUMBER(D765), D765=INT(D765)),
        $V$6 &amp; " " &amp; (IFERROR(MAX($Y$12:$Y764), 0) + 1),
        IF(ISNUMBER(SEARCH(".", D765)), "", INDEX($C$12:$C765, MATCH(2, 1/($C$12:$C765 &lt;&gt; ""))))
    )
)</f>
        <v/>
      </c>
      <c r="D765" s="206"/>
      <c r="E765" s="206" t="str">
        <f>IF(AA765 = "", "",
    IF(ISNUMBER(SEARCH("Kiện", C765)),
       " GÓI " &amp; COUNTIF($C$13:C765, "*Kiện*") &amp; "/" &amp; COUNTIF($C$13:$C$1000, "*Kiện*") &amp; " " &amp; AA765,
       AA765)
)</f>
        <v/>
      </c>
      <c r="F765" s="206"/>
      <c r="G765" s="206"/>
      <c r="H765" s="206"/>
      <c r="I765" s="206"/>
      <c r="J765" s="206" t="str">
        <f t="shared" si="166"/>
        <v/>
      </c>
      <c r="K765" s="206" t="str">
        <f t="shared" si="168"/>
        <v/>
      </c>
      <c r="L765" s="206" t="str">
        <f t="shared" si="169"/>
        <v/>
      </c>
      <c r="M765" s="206" t="str">
        <f t="shared" si="170"/>
        <v/>
      </c>
      <c r="N765" s="206" t="str">
        <f t="shared" si="171"/>
        <v/>
      </c>
      <c r="O765" s="206" t="str">
        <f t="shared" si="172"/>
        <v/>
      </c>
      <c r="P765" s="84" t="str">
        <f t="shared" si="173"/>
        <v/>
      </c>
      <c r="Q765" s="205"/>
      <c r="R765" s="70" t="str">
        <f>IF(S765="IN",'BOM_Phan II'!$Y$3,"")</f>
        <v/>
      </c>
      <c r="S765" s="69" t="str">
        <f t="shared" si="165"/>
        <v/>
      </c>
      <c r="T765">
        <f t="shared" si="174"/>
        <v>3</v>
      </c>
      <c r="U765" t="str">
        <f t="shared" si="176"/>
        <v>KIỆN 14</v>
      </c>
      <c r="V765" t="str">
        <f t="shared" si="175"/>
        <v/>
      </c>
      <c r="W765" s="266"/>
      <c r="X765" s="266"/>
      <c r="Y765" s="266" t="str">
        <f t="shared" si="167"/>
        <v/>
      </c>
      <c r="Z765" s="266"/>
    </row>
    <row r="766" spans="1:26" ht="27" hidden="1" customHeight="1">
      <c r="A766" s="70" t="str">
        <f t="shared" si="163"/>
        <v/>
      </c>
      <c r="B766" s="70" t="str">
        <f t="shared" si="164"/>
        <v/>
      </c>
      <c r="C766" s="204" t="str" cm="1">
        <f t="array" ref="C766">IF(D766="","",
    IF(AND(ISNUMBER(D766), D766=INT(D766)),
        $V$6 &amp; " " &amp; (IFERROR(MAX($Y$12:$Y765), 0) + 1),
        IF(ISNUMBER(SEARCH(".", D766)), "", INDEX($C$12:$C766, MATCH(2, 1/($C$12:$C766 &lt;&gt; ""))))
    )
)</f>
        <v/>
      </c>
      <c r="D766" s="206"/>
      <c r="E766" s="206" t="str">
        <f>IF(AA766 = "", "",
    IF(ISNUMBER(SEARCH("Kiện", C766)),
       " GÓI " &amp; COUNTIF($C$13:C766, "*Kiện*") &amp; "/" &amp; COUNTIF($C$13:$C$1000, "*Kiện*") &amp; " " &amp; AA766,
       AA766)
)</f>
        <v/>
      </c>
      <c r="F766" s="206"/>
      <c r="G766" s="206"/>
      <c r="H766" s="206"/>
      <c r="I766" s="206"/>
      <c r="J766" s="206" t="str">
        <f t="shared" si="166"/>
        <v/>
      </c>
      <c r="K766" s="206" t="str">
        <f t="shared" si="168"/>
        <v/>
      </c>
      <c r="L766" s="206" t="str">
        <f t="shared" si="169"/>
        <v/>
      </c>
      <c r="M766" s="206" t="str">
        <f t="shared" si="170"/>
        <v/>
      </c>
      <c r="N766" s="206" t="str">
        <f t="shared" si="171"/>
        <v/>
      </c>
      <c r="O766" s="206" t="str">
        <f t="shared" si="172"/>
        <v/>
      </c>
      <c r="P766" s="84" t="str">
        <f t="shared" si="173"/>
        <v/>
      </c>
      <c r="Q766" s="205"/>
      <c r="R766" s="70" t="str">
        <f>IF(S766="IN",'BOM_Phan II'!$Y$3,"")</f>
        <v/>
      </c>
      <c r="S766" s="69" t="str">
        <f t="shared" si="165"/>
        <v/>
      </c>
      <c r="T766">
        <f t="shared" si="174"/>
        <v>3</v>
      </c>
      <c r="U766" t="str">
        <f t="shared" si="176"/>
        <v>KIỆN 14</v>
      </c>
      <c r="V766" t="str">
        <f t="shared" si="175"/>
        <v/>
      </c>
      <c r="W766" s="266"/>
      <c r="X766" s="266"/>
      <c r="Y766" s="266" t="str">
        <f t="shared" si="167"/>
        <v/>
      </c>
      <c r="Z766" s="266"/>
    </row>
    <row r="767" spans="1:26" ht="27" hidden="1" customHeight="1">
      <c r="A767" s="70" t="str">
        <f t="shared" si="163"/>
        <v/>
      </c>
      <c r="B767" s="70" t="str">
        <f t="shared" si="164"/>
        <v/>
      </c>
      <c r="C767" s="204" t="str" cm="1">
        <f t="array" ref="C767">IF(D767="","",
    IF(AND(ISNUMBER(D767), D767=INT(D767)),
        $V$6 &amp; " " &amp; (IFERROR(MAX($Y$12:$Y766), 0) + 1),
        IF(ISNUMBER(SEARCH(".", D767)), "", INDEX($C$12:$C767, MATCH(2, 1/($C$12:$C767 &lt;&gt; ""))))
    )
)</f>
        <v/>
      </c>
      <c r="D767" s="206"/>
      <c r="E767" s="206" t="str">
        <f>IF(AA767 = "", "",
    IF(ISNUMBER(SEARCH("Kiện", C767)),
       " GÓI " &amp; COUNTIF($C$13:C767, "*Kiện*") &amp; "/" &amp; COUNTIF($C$13:$C$1000, "*Kiện*") &amp; " " &amp; AA767,
       AA767)
)</f>
        <v/>
      </c>
      <c r="F767" s="206"/>
      <c r="G767" s="206"/>
      <c r="H767" s="206"/>
      <c r="I767" s="206"/>
      <c r="J767" s="206" t="str">
        <f t="shared" si="166"/>
        <v/>
      </c>
      <c r="K767" s="206" t="str">
        <f t="shared" si="168"/>
        <v/>
      </c>
      <c r="L767" s="206" t="str">
        <f t="shared" si="169"/>
        <v/>
      </c>
      <c r="M767" s="206" t="str">
        <f t="shared" si="170"/>
        <v/>
      </c>
      <c r="N767" s="206" t="str">
        <f t="shared" si="171"/>
        <v/>
      </c>
      <c r="O767" s="206" t="str">
        <f t="shared" si="172"/>
        <v/>
      </c>
      <c r="P767" s="84" t="str">
        <f t="shared" si="173"/>
        <v/>
      </c>
      <c r="Q767" s="205"/>
      <c r="R767" s="70" t="str">
        <f>IF(S767="IN",'BOM_Phan II'!$Y$3,"")</f>
        <v/>
      </c>
      <c r="S767" s="69" t="str">
        <f t="shared" si="165"/>
        <v/>
      </c>
      <c r="T767">
        <f t="shared" si="174"/>
        <v>3</v>
      </c>
      <c r="U767" t="str">
        <f t="shared" si="176"/>
        <v>KIỆN 14</v>
      </c>
      <c r="V767" t="str">
        <f t="shared" si="175"/>
        <v/>
      </c>
      <c r="W767" s="266"/>
      <c r="X767" s="266"/>
      <c r="Y767" s="266" t="str">
        <f t="shared" si="167"/>
        <v/>
      </c>
      <c r="Z767" s="266"/>
    </row>
    <row r="768" spans="1:26" ht="27" hidden="1" customHeight="1">
      <c r="A768" s="70" t="str">
        <f t="shared" si="163"/>
        <v/>
      </c>
      <c r="B768" s="70" t="str">
        <f t="shared" si="164"/>
        <v/>
      </c>
      <c r="C768" s="204" t="str" cm="1">
        <f t="array" ref="C768">IF(D768="","",
    IF(AND(ISNUMBER(D768), D768=INT(D768)),
        $V$6 &amp; " " &amp; (IFERROR(MAX($Y$12:$Y767), 0) + 1),
        IF(ISNUMBER(SEARCH(".", D768)), "", INDEX($C$12:$C768, MATCH(2, 1/($C$12:$C768 &lt;&gt; ""))))
    )
)</f>
        <v/>
      </c>
      <c r="D768" s="206"/>
      <c r="E768" s="206" t="str">
        <f>IF(AA768 = "", "",
    IF(ISNUMBER(SEARCH("Kiện", C768)),
       " GÓI " &amp; COUNTIF($C$13:C768, "*Kiện*") &amp; "/" &amp; COUNTIF($C$13:$C$1000, "*Kiện*") &amp; " " &amp; AA768,
       AA768)
)</f>
        <v/>
      </c>
      <c r="F768" s="206"/>
      <c r="G768" s="206"/>
      <c r="H768" s="206"/>
      <c r="I768" s="206"/>
      <c r="J768" s="206" t="str">
        <f t="shared" si="166"/>
        <v/>
      </c>
      <c r="K768" s="206" t="str">
        <f t="shared" si="168"/>
        <v/>
      </c>
      <c r="L768" s="206" t="str">
        <f t="shared" si="169"/>
        <v/>
      </c>
      <c r="M768" s="206" t="str">
        <f t="shared" si="170"/>
        <v/>
      </c>
      <c r="N768" s="206" t="str">
        <f t="shared" si="171"/>
        <v/>
      </c>
      <c r="O768" s="206" t="str">
        <f t="shared" si="172"/>
        <v/>
      </c>
      <c r="P768" s="84" t="str">
        <f t="shared" si="173"/>
        <v/>
      </c>
      <c r="Q768" s="205"/>
      <c r="R768" s="70" t="str">
        <f>IF(S768="IN",'BOM_Phan II'!$Y$3,"")</f>
        <v/>
      </c>
      <c r="S768" s="69" t="str">
        <f t="shared" si="165"/>
        <v/>
      </c>
      <c r="T768">
        <f t="shared" si="174"/>
        <v>3</v>
      </c>
      <c r="U768" t="str">
        <f t="shared" si="176"/>
        <v>KIỆN 14</v>
      </c>
      <c r="V768" t="str">
        <f t="shared" si="175"/>
        <v/>
      </c>
      <c r="W768" s="266"/>
      <c r="X768" s="266"/>
      <c r="Y768" s="266" t="str">
        <f t="shared" si="167"/>
        <v/>
      </c>
      <c r="Z768" s="266"/>
    </row>
    <row r="769" spans="1:26" ht="27" hidden="1" customHeight="1">
      <c r="A769" s="70" t="str">
        <f t="shared" si="163"/>
        <v/>
      </c>
      <c r="B769" s="70" t="str">
        <f t="shared" si="164"/>
        <v/>
      </c>
      <c r="C769" s="204" t="str" cm="1">
        <f t="array" ref="C769">IF(D769="","",
    IF(AND(ISNUMBER(D769), D769=INT(D769)),
        $V$6 &amp; " " &amp; (IFERROR(MAX($Y$12:$Y768), 0) + 1),
        IF(ISNUMBER(SEARCH(".", D769)), "", INDEX($C$12:$C769, MATCH(2, 1/($C$12:$C769 &lt;&gt; ""))))
    )
)</f>
        <v/>
      </c>
      <c r="D769" s="206"/>
      <c r="E769" s="206" t="str">
        <f>IF(AA769 = "", "",
    IF(ISNUMBER(SEARCH("Kiện", C769)),
       " GÓI " &amp; COUNTIF($C$13:C769, "*Kiện*") &amp; "/" &amp; COUNTIF($C$13:$C$1000, "*Kiện*") &amp; " " &amp; AA769,
       AA769)
)</f>
        <v/>
      </c>
      <c r="F769" s="206"/>
      <c r="G769" s="206"/>
      <c r="H769" s="206"/>
      <c r="I769" s="206"/>
      <c r="J769" s="206" t="str">
        <f t="shared" si="166"/>
        <v/>
      </c>
      <c r="K769" s="206" t="str">
        <f t="shared" si="168"/>
        <v/>
      </c>
      <c r="L769" s="206" t="str">
        <f t="shared" si="169"/>
        <v/>
      </c>
      <c r="M769" s="206" t="str">
        <f t="shared" si="170"/>
        <v/>
      </c>
      <c r="N769" s="206" t="str">
        <f t="shared" si="171"/>
        <v/>
      </c>
      <c r="O769" s="206" t="str">
        <f t="shared" si="172"/>
        <v/>
      </c>
      <c r="P769" s="84" t="str">
        <f t="shared" si="173"/>
        <v/>
      </c>
      <c r="Q769" s="205"/>
      <c r="R769" s="70" t="str">
        <f>IF(S769="IN",'BOM_Phan II'!$Y$3,"")</f>
        <v/>
      </c>
      <c r="S769" s="69" t="str">
        <f t="shared" si="165"/>
        <v/>
      </c>
      <c r="T769">
        <f t="shared" si="174"/>
        <v>3</v>
      </c>
      <c r="U769" t="str">
        <f t="shared" si="176"/>
        <v>KIỆN 14</v>
      </c>
      <c r="V769" t="str">
        <f t="shared" si="175"/>
        <v/>
      </c>
      <c r="W769" s="266"/>
      <c r="X769" s="266"/>
      <c r="Y769" s="266" t="str">
        <f t="shared" si="167"/>
        <v/>
      </c>
      <c r="Z769" s="266"/>
    </row>
    <row r="770" spans="1:26" ht="27" hidden="1" customHeight="1">
      <c r="A770" s="70" t="str">
        <f t="shared" si="163"/>
        <v/>
      </c>
      <c r="B770" s="70" t="str">
        <f t="shared" si="164"/>
        <v/>
      </c>
      <c r="C770" s="204" t="str" cm="1">
        <f t="array" ref="C770">IF(D770="","",
    IF(AND(ISNUMBER(D770), D770=INT(D770)),
        $V$6 &amp; " " &amp; (IFERROR(MAX($Y$12:$Y769), 0) + 1),
        IF(ISNUMBER(SEARCH(".", D770)), "", INDEX($C$12:$C770, MATCH(2, 1/($C$12:$C770 &lt;&gt; ""))))
    )
)</f>
        <v/>
      </c>
      <c r="D770" s="206"/>
      <c r="E770" s="206" t="str">
        <f>IF(AA770 = "", "",
    IF(ISNUMBER(SEARCH("Kiện", C770)),
       " GÓI " &amp; COUNTIF($C$13:C770, "*Kiện*") &amp; "/" &amp; COUNTIF($C$13:$C$1000, "*Kiện*") &amp; " " &amp; AA770,
       AA770)
)</f>
        <v/>
      </c>
      <c r="F770" s="206"/>
      <c r="G770" s="206"/>
      <c r="H770" s="206"/>
      <c r="I770" s="206"/>
      <c r="J770" s="206" t="str">
        <f t="shared" si="166"/>
        <v/>
      </c>
      <c r="K770" s="206" t="str">
        <f t="shared" si="168"/>
        <v/>
      </c>
      <c r="L770" s="206" t="str">
        <f t="shared" si="169"/>
        <v/>
      </c>
      <c r="M770" s="206" t="str">
        <f t="shared" si="170"/>
        <v/>
      </c>
      <c r="N770" s="206" t="str">
        <f t="shared" si="171"/>
        <v/>
      </c>
      <c r="O770" s="206" t="str">
        <f t="shared" si="172"/>
        <v/>
      </c>
      <c r="P770" s="84" t="str">
        <f t="shared" si="173"/>
        <v/>
      </c>
      <c r="Q770" s="205"/>
      <c r="R770" s="70" t="str">
        <f>IF(S770="IN",'BOM_Phan II'!$Y$3,"")</f>
        <v/>
      </c>
      <c r="S770" s="69" t="str">
        <f t="shared" si="165"/>
        <v/>
      </c>
      <c r="T770">
        <f t="shared" si="174"/>
        <v>3</v>
      </c>
      <c r="U770" t="str">
        <f t="shared" si="176"/>
        <v>KIỆN 14</v>
      </c>
      <c r="V770" t="str">
        <f t="shared" si="175"/>
        <v/>
      </c>
      <c r="W770" s="266"/>
      <c r="X770" s="266"/>
      <c r="Y770" s="266" t="str">
        <f t="shared" si="167"/>
        <v/>
      </c>
      <c r="Z770" s="266"/>
    </row>
    <row r="771" spans="1:26" ht="27" hidden="1" customHeight="1">
      <c r="A771" s="70" t="str">
        <f t="shared" si="163"/>
        <v/>
      </c>
      <c r="B771" s="70" t="str">
        <f t="shared" si="164"/>
        <v/>
      </c>
      <c r="C771" s="204" t="str" cm="1">
        <f t="array" ref="C771">IF(D771="","",
    IF(AND(ISNUMBER(D771), D771=INT(D771)),
        $V$6 &amp; " " &amp; (IFERROR(MAX($Y$12:$Y770), 0) + 1),
        IF(ISNUMBER(SEARCH(".", D771)), "", INDEX($C$12:$C771, MATCH(2, 1/($C$12:$C771 &lt;&gt; ""))))
    )
)</f>
        <v/>
      </c>
      <c r="D771" s="206"/>
      <c r="E771" s="206" t="str">
        <f>IF(AA771 = "", "",
    IF(ISNUMBER(SEARCH("Kiện", C771)),
       " GÓI " &amp; COUNTIF($C$13:C771, "*Kiện*") &amp; "/" &amp; COUNTIF($C$13:$C$1000, "*Kiện*") &amp; " " &amp; AA771,
       AA771)
)</f>
        <v/>
      </c>
      <c r="F771" s="206"/>
      <c r="G771" s="206"/>
      <c r="H771" s="206"/>
      <c r="I771" s="206"/>
      <c r="J771" s="206" t="str">
        <f t="shared" si="166"/>
        <v/>
      </c>
      <c r="K771" s="206" t="str">
        <f t="shared" si="168"/>
        <v/>
      </c>
      <c r="L771" s="206" t="str">
        <f t="shared" si="169"/>
        <v/>
      </c>
      <c r="M771" s="206" t="str">
        <f t="shared" si="170"/>
        <v/>
      </c>
      <c r="N771" s="206" t="str">
        <f t="shared" si="171"/>
        <v/>
      </c>
      <c r="O771" s="206" t="str">
        <f t="shared" si="172"/>
        <v/>
      </c>
      <c r="P771" s="84" t="str">
        <f t="shared" si="173"/>
        <v/>
      </c>
      <c r="Q771" s="205"/>
      <c r="R771" s="70" t="str">
        <f>IF(S771="IN",'BOM_Phan II'!$Y$3,"")</f>
        <v/>
      </c>
      <c r="S771" s="69" t="str">
        <f t="shared" si="165"/>
        <v/>
      </c>
      <c r="T771">
        <f t="shared" si="174"/>
        <v>3</v>
      </c>
      <c r="U771" t="str">
        <f t="shared" ref="U771:U834" si="177">IF(C771="",U770,C771)</f>
        <v>KIỆN 14</v>
      </c>
      <c r="V771" t="str">
        <f t="shared" si="175"/>
        <v/>
      </c>
      <c r="W771" s="266"/>
      <c r="X771" s="266"/>
      <c r="Y771" s="266" t="str">
        <f t="shared" si="167"/>
        <v/>
      </c>
      <c r="Z771" s="266"/>
    </row>
    <row r="772" spans="1:26" ht="27" hidden="1" customHeight="1">
      <c r="A772" s="70" t="str">
        <f t="shared" si="163"/>
        <v/>
      </c>
      <c r="B772" s="70" t="str">
        <f t="shared" si="164"/>
        <v/>
      </c>
      <c r="C772" s="204" t="str" cm="1">
        <f t="array" ref="C772">IF(D772="","",
    IF(AND(ISNUMBER(D772), D772=INT(D772)),
        $V$6 &amp; " " &amp; (IFERROR(MAX($Y$12:$Y771), 0) + 1),
        IF(ISNUMBER(SEARCH(".", D772)), "", INDEX($C$12:$C772, MATCH(2, 1/($C$12:$C772 &lt;&gt; ""))))
    )
)</f>
        <v/>
      </c>
      <c r="D772" s="206"/>
      <c r="E772" s="206" t="str">
        <f>IF(AA772 = "", "",
    IF(ISNUMBER(SEARCH("Kiện", C772)),
       " GÓI " &amp; COUNTIF($C$13:C772, "*Kiện*") &amp; "/" &amp; COUNTIF($C$13:$C$1000, "*Kiện*") &amp; " " &amp; AA772,
       AA772)
)</f>
        <v/>
      </c>
      <c r="F772" s="206"/>
      <c r="G772" s="206"/>
      <c r="H772" s="206"/>
      <c r="I772" s="206"/>
      <c r="J772" s="206" t="str">
        <f t="shared" si="166"/>
        <v/>
      </c>
      <c r="K772" s="206" t="str">
        <f t="shared" si="168"/>
        <v/>
      </c>
      <c r="L772" s="206" t="str">
        <f t="shared" si="169"/>
        <v/>
      </c>
      <c r="M772" s="206" t="str">
        <f t="shared" si="170"/>
        <v/>
      </c>
      <c r="N772" s="206" t="str">
        <f t="shared" si="171"/>
        <v/>
      </c>
      <c r="O772" s="206" t="str">
        <f t="shared" si="172"/>
        <v/>
      </c>
      <c r="P772" s="84" t="str">
        <f t="shared" si="173"/>
        <v/>
      </c>
      <c r="Q772" s="205"/>
      <c r="R772" s="70" t="str">
        <f>IF(S772="IN",'BOM_Phan II'!$Y$3,"")</f>
        <v/>
      </c>
      <c r="S772" s="69" t="str">
        <f t="shared" si="165"/>
        <v/>
      </c>
      <c r="T772">
        <f t="shared" si="174"/>
        <v>3</v>
      </c>
      <c r="U772" t="str">
        <f t="shared" si="177"/>
        <v>KIỆN 14</v>
      </c>
      <c r="V772" t="str">
        <f t="shared" si="175"/>
        <v/>
      </c>
      <c r="W772" s="266"/>
      <c r="X772" s="266"/>
      <c r="Y772" s="266" t="str">
        <f t="shared" si="167"/>
        <v/>
      </c>
      <c r="Z772" s="266"/>
    </row>
    <row r="773" spans="1:26" ht="27" hidden="1" customHeight="1">
      <c r="A773" s="70" t="str">
        <f t="shared" si="163"/>
        <v/>
      </c>
      <c r="B773" s="70" t="str">
        <f t="shared" si="164"/>
        <v/>
      </c>
      <c r="C773" s="204" t="str" cm="1">
        <f t="array" ref="C773">IF(D773="","",
    IF(AND(ISNUMBER(D773), D773=INT(D773)),
        $V$6 &amp; " " &amp; (IFERROR(MAX($Y$12:$Y772), 0) + 1),
        IF(ISNUMBER(SEARCH(".", D773)), "", INDEX($C$12:$C773, MATCH(2, 1/($C$12:$C773 &lt;&gt; ""))))
    )
)</f>
        <v/>
      </c>
      <c r="D773" s="206"/>
      <c r="E773" s="206" t="str">
        <f>IF(AA773 = "", "",
    IF(ISNUMBER(SEARCH("Kiện", C773)),
       " GÓI " &amp; COUNTIF($C$13:C773, "*Kiện*") &amp; "/" &amp; COUNTIF($C$13:$C$1000, "*Kiện*") &amp; " " &amp; AA773,
       AA773)
)</f>
        <v/>
      </c>
      <c r="F773" s="206"/>
      <c r="G773" s="206"/>
      <c r="H773" s="206"/>
      <c r="I773" s="206"/>
      <c r="J773" s="206" t="str">
        <f t="shared" si="166"/>
        <v/>
      </c>
      <c r="K773" s="206" t="str">
        <f t="shared" si="168"/>
        <v/>
      </c>
      <c r="L773" s="206" t="str">
        <f t="shared" si="169"/>
        <v/>
      </c>
      <c r="M773" s="206" t="str">
        <f t="shared" si="170"/>
        <v/>
      </c>
      <c r="N773" s="206" t="str">
        <f t="shared" si="171"/>
        <v/>
      </c>
      <c r="O773" s="206" t="str">
        <f t="shared" si="172"/>
        <v/>
      </c>
      <c r="P773" s="84" t="str">
        <f t="shared" si="173"/>
        <v/>
      </c>
      <c r="Q773" s="205"/>
      <c r="R773" s="70" t="str">
        <f>IF(S773="IN",'BOM_Phan II'!$Y$3,"")</f>
        <v/>
      </c>
      <c r="S773" s="69" t="str">
        <f t="shared" si="165"/>
        <v/>
      </c>
      <c r="T773">
        <f t="shared" si="174"/>
        <v>3</v>
      </c>
      <c r="U773" t="str">
        <f t="shared" si="177"/>
        <v>KIỆN 14</v>
      </c>
      <c r="V773" t="str">
        <f t="shared" si="175"/>
        <v/>
      </c>
      <c r="W773" s="266"/>
      <c r="X773" s="266"/>
      <c r="Y773" s="266" t="str">
        <f t="shared" si="167"/>
        <v/>
      </c>
      <c r="Z773" s="266"/>
    </row>
    <row r="774" spans="1:26" ht="27" hidden="1" customHeight="1">
      <c r="A774" s="70" t="str">
        <f t="shared" si="163"/>
        <v/>
      </c>
      <c r="B774" s="70" t="str">
        <f t="shared" si="164"/>
        <v/>
      </c>
      <c r="C774" s="204" t="str" cm="1">
        <f t="array" ref="C774">IF(D774="","",
    IF(AND(ISNUMBER(D774), D774=INT(D774)),
        $V$6 &amp; " " &amp; (IFERROR(MAX($Y$12:$Y773), 0) + 1),
        IF(ISNUMBER(SEARCH(".", D774)), "", INDEX($C$12:$C774, MATCH(2, 1/($C$12:$C774 &lt;&gt; ""))))
    )
)</f>
        <v/>
      </c>
      <c r="D774" s="206"/>
      <c r="E774" s="206" t="str">
        <f>IF(AA774 = "", "",
    IF(ISNUMBER(SEARCH("Kiện", C774)),
       " GÓI " &amp; COUNTIF($C$13:C774, "*Kiện*") &amp; "/" &amp; COUNTIF($C$13:$C$1000, "*Kiện*") &amp; " " &amp; AA774,
       AA774)
)</f>
        <v/>
      </c>
      <c r="F774" s="206"/>
      <c r="G774" s="206"/>
      <c r="H774" s="206"/>
      <c r="I774" s="206"/>
      <c r="J774" s="206" t="str">
        <f t="shared" si="166"/>
        <v/>
      </c>
      <c r="K774" s="206" t="str">
        <f t="shared" si="168"/>
        <v/>
      </c>
      <c r="L774" s="206" t="str">
        <f t="shared" si="169"/>
        <v/>
      </c>
      <c r="M774" s="206" t="str">
        <f t="shared" si="170"/>
        <v/>
      </c>
      <c r="N774" s="206" t="str">
        <f t="shared" si="171"/>
        <v/>
      </c>
      <c r="O774" s="206" t="str">
        <f t="shared" si="172"/>
        <v/>
      </c>
      <c r="P774" s="84" t="str">
        <f t="shared" si="173"/>
        <v/>
      </c>
      <c r="Q774" s="205"/>
      <c r="R774" s="70" t="str">
        <f>IF(S774="IN",'BOM_Phan II'!$Y$3,"")</f>
        <v/>
      </c>
      <c r="S774" s="69" t="str">
        <f t="shared" si="165"/>
        <v/>
      </c>
      <c r="T774">
        <f t="shared" si="174"/>
        <v>3</v>
      </c>
      <c r="U774" t="str">
        <f t="shared" si="177"/>
        <v>KIỆN 14</v>
      </c>
      <c r="V774" t="str">
        <f t="shared" si="175"/>
        <v/>
      </c>
      <c r="W774" s="266"/>
      <c r="X774" s="266"/>
      <c r="Y774" s="266" t="str">
        <f t="shared" si="167"/>
        <v/>
      </c>
      <c r="Z774" s="266"/>
    </row>
    <row r="775" spans="1:26" ht="27" hidden="1" customHeight="1">
      <c r="A775" s="70" t="str">
        <f t="shared" si="163"/>
        <v/>
      </c>
      <c r="B775" s="70" t="str">
        <f t="shared" si="164"/>
        <v/>
      </c>
      <c r="C775" s="204" t="str" cm="1">
        <f t="array" ref="C775">IF(D775="","",
    IF(AND(ISNUMBER(D775), D775=INT(D775)),
        $V$6 &amp; " " &amp; (IFERROR(MAX($Y$12:$Y774), 0) + 1),
        IF(ISNUMBER(SEARCH(".", D775)), "", INDEX($C$12:$C775, MATCH(2, 1/($C$12:$C775 &lt;&gt; ""))))
    )
)</f>
        <v/>
      </c>
      <c r="D775" s="206"/>
      <c r="E775" s="206" t="str">
        <f>IF(AA775 = "", "",
    IF(ISNUMBER(SEARCH("Kiện", C775)),
       " GÓI " &amp; COUNTIF($C$13:C775, "*Kiện*") &amp; "/" &amp; COUNTIF($C$13:$C$1000, "*Kiện*") &amp; " " &amp; AA775,
       AA775)
)</f>
        <v/>
      </c>
      <c r="F775" s="206"/>
      <c r="G775" s="206"/>
      <c r="H775" s="206"/>
      <c r="I775" s="206"/>
      <c r="J775" s="206" t="str">
        <f t="shared" si="166"/>
        <v/>
      </c>
      <c r="K775" s="206" t="str">
        <f t="shared" si="168"/>
        <v/>
      </c>
      <c r="L775" s="206" t="str">
        <f t="shared" si="169"/>
        <v/>
      </c>
      <c r="M775" s="206" t="str">
        <f t="shared" si="170"/>
        <v/>
      </c>
      <c r="N775" s="206" t="str">
        <f t="shared" si="171"/>
        <v/>
      </c>
      <c r="O775" s="206" t="str">
        <f t="shared" si="172"/>
        <v/>
      </c>
      <c r="P775" s="84" t="str">
        <f t="shared" si="173"/>
        <v/>
      </c>
      <c r="Q775" s="205"/>
      <c r="R775" s="70" t="str">
        <f>IF(S775="IN",'BOM_Phan II'!$Y$3,"")</f>
        <v/>
      </c>
      <c r="S775" s="69" t="str">
        <f t="shared" si="165"/>
        <v/>
      </c>
      <c r="T775">
        <f t="shared" si="174"/>
        <v>3</v>
      </c>
      <c r="U775" t="str">
        <f t="shared" si="177"/>
        <v>KIỆN 14</v>
      </c>
      <c r="V775" t="str">
        <f t="shared" si="175"/>
        <v/>
      </c>
      <c r="W775" s="266"/>
      <c r="X775" s="266"/>
      <c r="Y775" s="266" t="str">
        <f t="shared" si="167"/>
        <v/>
      </c>
      <c r="Z775" s="266"/>
    </row>
    <row r="776" spans="1:26" ht="27" hidden="1" customHeight="1">
      <c r="A776" s="70" t="str">
        <f t="shared" si="163"/>
        <v/>
      </c>
      <c r="B776" s="70" t="str">
        <f t="shared" si="164"/>
        <v/>
      </c>
      <c r="C776" s="204" t="str" cm="1">
        <f t="array" ref="C776">IF(D776="","",
    IF(AND(ISNUMBER(D776), D776=INT(D776)),
        $V$6 &amp; " " &amp; (IFERROR(MAX($Y$12:$Y775), 0) + 1),
        IF(ISNUMBER(SEARCH(".", D776)), "", INDEX($C$12:$C776, MATCH(2, 1/($C$12:$C776 &lt;&gt; ""))))
    )
)</f>
        <v/>
      </c>
      <c r="D776" s="206"/>
      <c r="E776" s="206" t="str">
        <f>IF(AA776 = "", "",
    IF(ISNUMBER(SEARCH("Kiện", C776)),
       " GÓI " &amp; COUNTIF($C$13:C776, "*Kiện*") &amp; "/" &amp; COUNTIF($C$13:$C$1000, "*Kiện*") &amp; " " &amp; AA776,
       AA776)
)</f>
        <v/>
      </c>
      <c r="F776" s="206"/>
      <c r="G776" s="206"/>
      <c r="H776" s="206"/>
      <c r="I776" s="206"/>
      <c r="J776" s="206" t="str">
        <f t="shared" si="166"/>
        <v/>
      </c>
      <c r="K776" s="206" t="str">
        <f t="shared" si="168"/>
        <v/>
      </c>
      <c r="L776" s="206" t="str">
        <f t="shared" si="169"/>
        <v/>
      </c>
      <c r="M776" s="206" t="str">
        <f t="shared" si="170"/>
        <v/>
      </c>
      <c r="N776" s="206" t="str">
        <f t="shared" si="171"/>
        <v/>
      </c>
      <c r="O776" s="206" t="str">
        <f t="shared" si="172"/>
        <v/>
      </c>
      <c r="P776" s="84" t="str">
        <f t="shared" si="173"/>
        <v/>
      </c>
      <c r="Q776" s="205"/>
      <c r="R776" s="70" t="str">
        <f>IF(S776="IN",'BOM_Phan II'!$Y$3,"")</f>
        <v/>
      </c>
      <c r="S776" s="69" t="str">
        <f t="shared" si="165"/>
        <v/>
      </c>
      <c r="T776">
        <f t="shared" si="174"/>
        <v>3</v>
      </c>
      <c r="U776" t="str">
        <f t="shared" si="177"/>
        <v>KIỆN 14</v>
      </c>
      <c r="V776" t="str">
        <f t="shared" si="175"/>
        <v/>
      </c>
      <c r="W776" s="266"/>
      <c r="X776" s="266"/>
      <c r="Y776" s="266" t="str">
        <f t="shared" si="167"/>
        <v/>
      </c>
      <c r="Z776" s="266"/>
    </row>
    <row r="777" spans="1:26" ht="27" hidden="1" customHeight="1">
      <c r="A777" s="70" t="str">
        <f t="shared" si="163"/>
        <v/>
      </c>
      <c r="B777" s="70" t="str">
        <f t="shared" si="164"/>
        <v/>
      </c>
      <c r="C777" s="204" t="str" cm="1">
        <f t="array" ref="C777">IF(D777="","",
    IF(AND(ISNUMBER(D777), D777=INT(D777)),
        $V$6 &amp; " " &amp; (IFERROR(MAX($Y$12:$Y776), 0) + 1),
        IF(ISNUMBER(SEARCH(".", D777)), "", INDEX($C$12:$C777, MATCH(2, 1/($C$12:$C777 &lt;&gt; ""))))
    )
)</f>
        <v/>
      </c>
      <c r="D777" s="206"/>
      <c r="E777" s="206" t="str">
        <f>IF(AA777 = "", "",
    IF(ISNUMBER(SEARCH("Kiện", C777)),
       " GÓI " &amp; COUNTIF($C$13:C777, "*Kiện*") &amp; "/" &amp; COUNTIF($C$13:$C$1000, "*Kiện*") &amp; " " &amp; AA777,
       AA777)
)</f>
        <v/>
      </c>
      <c r="F777" s="206"/>
      <c r="G777" s="206"/>
      <c r="H777" s="206"/>
      <c r="I777" s="206"/>
      <c r="J777" s="206" t="str">
        <f t="shared" si="166"/>
        <v/>
      </c>
      <c r="K777" s="206" t="str">
        <f t="shared" si="168"/>
        <v/>
      </c>
      <c r="L777" s="206" t="str">
        <f t="shared" si="169"/>
        <v/>
      </c>
      <c r="M777" s="206" t="str">
        <f t="shared" si="170"/>
        <v/>
      </c>
      <c r="N777" s="206" t="str">
        <f t="shared" si="171"/>
        <v/>
      </c>
      <c r="O777" s="206" t="str">
        <f t="shared" si="172"/>
        <v/>
      </c>
      <c r="P777" s="84" t="str">
        <f t="shared" si="173"/>
        <v/>
      </c>
      <c r="Q777" s="205"/>
      <c r="R777" s="70" t="str">
        <f>IF(S777="IN",'BOM_Phan II'!$Y$3,"")</f>
        <v/>
      </c>
      <c r="S777" s="69" t="str">
        <f t="shared" si="165"/>
        <v/>
      </c>
      <c r="T777">
        <f t="shared" si="174"/>
        <v>3</v>
      </c>
      <c r="U777" t="str">
        <f t="shared" si="177"/>
        <v>KIỆN 14</v>
      </c>
      <c r="V777" t="str">
        <f t="shared" si="175"/>
        <v/>
      </c>
      <c r="W777" s="266"/>
      <c r="X777" s="266"/>
      <c r="Y777" s="266" t="str">
        <f t="shared" si="167"/>
        <v/>
      </c>
      <c r="Z777" s="266"/>
    </row>
    <row r="778" spans="1:26" ht="27" hidden="1" customHeight="1">
      <c r="A778" s="70" t="str">
        <f t="shared" si="163"/>
        <v/>
      </c>
      <c r="B778" s="70" t="str">
        <f t="shared" si="164"/>
        <v/>
      </c>
      <c r="C778" s="204" t="str" cm="1">
        <f t="array" ref="C778">IF(D778="","",
    IF(AND(ISNUMBER(D778), D778=INT(D778)),
        $V$6 &amp; " " &amp; (IFERROR(MAX($Y$12:$Y777), 0) + 1),
        IF(ISNUMBER(SEARCH(".", D778)), "", INDEX($C$12:$C778, MATCH(2, 1/($C$12:$C778 &lt;&gt; ""))))
    )
)</f>
        <v/>
      </c>
      <c r="D778" s="206"/>
      <c r="E778" s="206" t="str">
        <f>IF(AA778 = "", "",
    IF(ISNUMBER(SEARCH("Kiện", C778)),
       " GÓI " &amp; COUNTIF($C$13:C778, "*Kiện*") &amp; "/" &amp; COUNTIF($C$13:$C$1000, "*Kiện*") &amp; " " &amp; AA778,
       AA778)
)</f>
        <v/>
      </c>
      <c r="F778" s="206"/>
      <c r="G778" s="206"/>
      <c r="H778" s="206"/>
      <c r="I778" s="206"/>
      <c r="J778" s="206" t="str">
        <f t="shared" si="166"/>
        <v/>
      </c>
      <c r="K778" s="206" t="str">
        <f t="shared" si="168"/>
        <v/>
      </c>
      <c r="L778" s="206" t="str">
        <f t="shared" si="169"/>
        <v/>
      </c>
      <c r="M778" s="206" t="str">
        <f t="shared" si="170"/>
        <v/>
      </c>
      <c r="N778" s="206" t="str">
        <f t="shared" si="171"/>
        <v/>
      </c>
      <c r="O778" s="206" t="str">
        <f t="shared" si="172"/>
        <v/>
      </c>
      <c r="P778" s="84" t="str">
        <f t="shared" si="173"/>
        <v/>
      </c>
      <c r="Q778" s="205"/>
      <c r="R778" s="70" t="str">
        <f>IF(S778="IN",'BOM_Phan II'!$Y$3,"")</f>
        <v/>
      </c>
      <c r="S778" s="69" t="str">
        <f t="shared" si="165"/>
        <v/>
      </c>
      <c r="T778">
        <f t="shared" si="174"/>
        <v>3</v>
      </c>
      <c r="U778" t="str">
        <f t="shared" si="177"/>
        <v>KIỆN 14</v>
      </c>
      <c r="V778" t="str">
        <f t="shared" si="175"/>
        <v/>
      </c>
      <c r="W778" s="266"/>
      <c r="X778" s="266"/>
      <c r="Y778" s="266" t="str">
        <f t="shared" si="167"/>
        <v/>
      </c>
      <c r="Z778" s="266"/>
    </row>
    <row r="779" spans="1:26" ht="27" hidden="1" customHeight="1">
      <c r="A779" s="70" t="str">
        <f t="shared" si="163"/>
        <v/>
      </c>
      <c r="B779" s="70" t="str">
        <f t="shared" si="164"/>
        <v/>
      </c>
      <c r="C779" s="204" t="str" cm="1">
        <f t="array" ref="C779">IF(D779="","",
    IF(AND(ISNUMBER(D779), D779=INT(D779)),
        $V$6 &amp; " " &amp; (IFERROR(MAX($Y$12:$Y778), 0) + 1),
        IF(ISNUMBER(SEARCH(".", D779)), "", INDEX($C$12:$C779, MATCH(2, 1/($C$12:$C779 &lt;&gt; ""))))
    )
)</f>
        <v/>
      </c>
      <c r="D779" s="206"/>
      <c r="E779" s="206" t="str">
        <f>IF(AA779 = "", "",
    IF(ISNUMBER(SEARCH("Kiện", C779)),
       " GÓI " &amp; COUNTIF($C$13:C779, "*Kiện*") &amp; "/" &amp; COUNTIF($C$13:$C$1000, "*Kiện*") &amp; " " &amp; AA779,
       AA779)
)</f>
        <v/>
      </c>
      <c r="F779" s="206"/>
      <c r="G779" s="206"/>
      <c r="H779" s="206"/>
      <c r="I779" s="206"/>
      <c r="J779" s="206" t="str">
        <f t="shared" si="166"/>
        <v/>
      </c>
      <c r="K779" s="206" t="str">
        <f t="shared" si="168"/>
        <v/>
      </c>
      <c r="L779" s="206" t="str">
        <f t="shared" si="169"/>
        <v/>
      </c>
      <c r="M779" s="206" t="str">
        <f t="shared" si="170"/>
        <v/>
      </c>
      <c r="N779" s="206" t="str">
        <f t="shared" si="171"/>
        <v/>
      </c>
      <c r="O779" s="206" t="str">
        <f t="shared" si="172"/>
        <v/>
      </c>
      <c r="P779" s="84" t="str">
        <f t="shared" si="173"/>
        <v/>
      </c>
      <c r="Q779" s="205"/>
      <c r="R779" s="70" t="str">
        <f>IF(S779="IN",'BOM_Phan II'!$Y$3,"")</f>
        <v/>
      </c>
      <c r="S779" s="69" t="str">
        <f t="shared" si="165"/>
        <v/>
      </c>
      <c r="T779">
        <f t="shared" si="174"/>
        <v>3</v>
      </c>
      <c r="U779" t="str">
        <f t="shared" si="177"/>
        <v>KIỆN 14</v>
      </c>
      <c r="V779" t="str">
        <f t="shared" si="175"/>
        <v/>
      </c>
      <c r="W779" s="266"/>
      <c r="X779" s="266"/>
      <c r="Y779" s="266" t="str">
        <f t="shared" si="167"/>
        <v/>
      </c>
      <c r="Z779" s="266"/>
    </row>
    <row r="780" spans="1:26" ht="27" hidden="1" customHeight="1">
      <c r="A780" s="70" t="str">
        <f t="shared" ref="A780:A843" si="178">IF(S780="IN",$E$6,"")</f>
        <v/>
      </c>
      <c r="B780" s="70" t="str">
        <f t="shared" ref="B780:B843" si="179">IF(S780="IN","Muc "&amp;$E$7,"")</f>
        <v/>
      </c>
      <c r="C780" s="204" t="str" cm="1">
        <f t="array" ref="C780">IF(D780="","",
    IF(AND(ISNUMBER(D780), D780=INT(D780)),
        $V$6 &amp; " " &amp; (IFERROR(MAX($Y$12:$Y779), 0) + 1),
        IF(ISNUMBER(SEARCH(".", D780)), "", INDEX($C$12:$C780, MATCH(2, 1/($C$12:$C780 &lt;&gt; ""))))
    )
)</f>
        <v/>
      </c>
      <c r="D780" s="206"/>
      <c r="E780" s="206" t="str">
        <f>IF(AA780 = "", "",
    IF(ISNUMBER(SEARCH("Kiện", C780)),
       " GÓI " &amp; COUNTIF($C$13:C780, "*Kiện*") &amp; "/" &amp; COUNTIF($C$13:$C$1000, "*Kiện*") &amp; " " &amp; AA780,
       AA780)
)</f>
        <v/>
      </c>
      <c r="F780" s="206"/>
      <c r="G780" s="206"/>
      <c r="H780" s="206"/>
      <c r="I780" s="206"/>
      <c r="J780" s="206" t="str">
        <f t="shared" si="166"/>
        <v/>
      </c>
      <c r="K780" s="206" t="str">
        <f t="shared" si="168"/>
        <v/>
      </c>
      <c r="L780" s="206" t="str">
        <f t="shared" si="169"/>
        <v/>
      </c>
      <c r="M780" s="206" t="str">
        <f t="shared" si="170"/>
        <v/>
      </c>
      <c r="N780" s="206" t="str">
        <f t="shared" si="171"/>
        <v/>
      </c>
      <c r="O780" s="206" t="str">
        <f t="shared" si="172"/>
        <v/>
      </c>
      <c r="P780" s="84" t="str">
        <f t="shared" si="173"/>
        <v/>
      </c>
      <c r="Q780" s="205"/>
      <c r="R780" s="70" t="str">
        <f>IF(S780="IN",'BOM_Phan II'!$Y$3,"")</f>
        <v/>
      </c>
      <c r="S780" s="69" t="str">
        <f t="shared" ref="S780:S843" si="180">IF(OR(E780&lt;&gt;"",D780&lt;&gt;""),"IN","")</f>
        <v/>
      </c>
      <c r="T780">
        <f t="shared" si="174"/>
        <v>3</v>
      </c>
      <c r="U780" t="str">
        <f t="shared" si="177"/>
        <v>KIỆN 14</v>
      </c>
      <c r="V780" t="str">
        <f t="shared" si="175"/>
        <v/>
      </c>
      <c r="W780" s="266"/>
      <c r="X780" s="266"/>
      <c r="Y780" s="266" t="str">
        <f t="shared" si="167"/>
        <v/>
      </c>
      <c r="Z780" s="266"/>
    </row>
    <row r="781" spans="1:26" ht="27" hidden="1" customHeight="1">
      <c r="A781" s="70" t="str">
        <f t="shared" si="178"/>
        <v/>
      </c>
      <c r="B781" s="70" t="str">
        <f t="shared" si="179"/>
        <v/>
      </c>
      <c r="C781" s="204" t="str" cm="1">
        <f t="array" ref="C781">IF(D781="","",
    IF(AND(ISNUMBER(D781), D781=INT(D781)),
        $V$6 &amp; " " &amp; (IFERROR(MAX($Y$12:$Y780), 0) + 1),
        IF(ISNUMBER(SEARCH(".", D781)), "", INDEX($C$12:$C781, MATCH(2, 1/($C$12:$C781 &lt;&gt; ""))))
    )
)</f>
        <v/>
      </c>
      <c r="D781" s="206"/>
      <c r="E781" s="206" t="str">
        <f>IF(AA781 = "", "",
    IF(ISNUMBER(SEARCH("Kiện", C781)),
       " GÓI " &amp; COUNTIF($C$13:C781, "*Kiện*") &amp; "/" &amp; COUNTIF($C$13:$C$1000, "*Kiện*") &amp; " " &amp; AA781,
       AA781)
)</f>
        <v/>
      </c>
      <c r="F781" s="206"/>
      <c r="G781" s="206"/>
      <c r="H781" s="206"/>
      <c r="I781" s="206"/>
      <c r="J781" s="206" t="str">
        <f t="shared" ref="J781:J844" si="181">IF(C781&lt;&gt;"",C781&amp;"_"&amp;$E$6,"")</f>
        <v/>
      </c>
      <c r="K781" s="206" t="str">
        <f t="shared" si="168"/>
        <v/>
      </c>
      <c r="L781" s="206" t="str">
        <f t="shared" si="169"/>
        <v/>
      </c>
      <c r="M781" s="206" t="str">
        <f t="shared" si="170"/>
        <v/>
      </c>
      <c r="N781" s="206" t="str">
        <f t="shared" si="171"/>
        <v/>
      </c>
      <c r="O781" s="206" t="str">
        <f t="shared" si="172"/>
        <v/>
      </c>
      <c r="P781" s="84" t="str">
        <f t="shared" si="173"/>
        <v/>
      </c>
      <c r="Q781" s="205"/>
      <c r="R781" s="70" t="str">
        <f>IF(S781="IN",'BOM_Phan II'!$Y$3,"")</f>
        <v/>
      </c>
      <c r="S781" s="69" t="str">
        <f t="shared" si="180"/>
        <v/>
      </c>
      <c r="T781">
        <f t="shared" si="174"/>
        <v>3</v>
      </c>
      <c r="U781" t="str">
        <f t="shared" si="177"/>
        <v>KIỆN 14</v>
      </c>
      <c r="V781" t="str">
        <f t="shared" si="175"/>
        <v/>
      </c>
      <c r="W781" s="266"/>
      <c r="X781" s="266"/>
      <c r="Y781" s="266" t="str">
        <f t="shared" ref="Y781:Y844" si="182">IFERROR(VALUE(RIGHT(C781,LEN(C781)-5)),"")</f>
        <v/>
      </c>
      <c r="Z781" s="266"/>
    </row>
    <row r="782" spans="1:26" ht="27" hidden="1" customHeight="1">
      <c r="A782" s="70" t="str">
        <f t="shared" si="178"/>
        <v/>
      </c>
      <c r="B782" s="70" t="str">
        <f t="shared" si="179"/>
        <v/>
      </c>
      <c r="C782" s="204" t="str" cm="1">
        <f t="array" ref="C782">IF(D782="","",
    IF(AND(ISNUMBER(D782), D782=INT(D782)),
        $V$6 &amp; " " &amp; (IFERROR(MAX($Y$12:$Y781), 0) + 1),
        IF(ISNUMBER(SEARCH(".", D782)), "", INDEX($C$12:$C782, MATCH(2, 1/($C$12:$C782 &lt;&gt; ""))))
    )
)</f>
        <v/>
      </c>
      <c r="D782" s="206"/>
      <c r="E782" s="206" t="str">
        <f>IF(AA782 = "", "",
    IF(ISNUMBER(SEARCH("Kiện", C782)),
       " GÓI " &amp; COUNTIF($C$13:C782, "*Kiện*") &amp; "/" &amp; COUNTIF($C$13:$C$1000, "*Kiện*") &amp; " " &amp; AA782,
       AA782)
)</f>
        <v/>
      </c>
      <c r="F782" s="206"/>
      <c r="G782" s="206"/>
      <c r="H782" s="206"/>
      <c r="I782" s="206"/>
      <c r="J782" s="206" t="str">
        <f t="shared" si="181"/>
        <v/>
      </c>
      <c r="K782" s="206" t="str">
        <f t="shared" ref="K782:K845" si="183">IFERROR(IF($C782&lt;&gt;"",IF($T$13=1,F782+20,IF($T$13=2,F782+20,IF($T$13=3,F782+50,IF($T$13=4,F782+40,IF($T$13=5,F782+50,IF($T$13=51,F782+50,IF($T$13=6,F782+50,IF($T$13=7,F782+50,"")))))))),""),"")</f>
        <v/>
      </c>
      <c r="L782" s="206" t="str">
        <f t="shared" ref="L782:L845" si="184">IFERROR(IF($C782&lt;&gt;"",IF($T$13=1,G782+20,IF($T$13=2,G782+20,IF($T$13=3,G782+50,IF($T$13=4,G782+40,IF($T$13=5,G782+50,IF($T$13=51,G782+50,IF($T$13=6,G782+50,IF($T$13=7,G782+50,"")))))))),""),"")</f>
        <v/>
      </c>
      <c r="M782" s="206" t="str">
        <f t="shared" ref="M782:M845" si="185">IFERROR(IF($C782&lt;&gt;"",IF($T$13=1,H782+20,IF($T$13=2,H782+20,IF($T$13=3,H782+70,IF($T$13=4,H782+40,IF($T$13=5,H782+50,IF($T$13=51,H782+150,IF($T$13=6,H782+50,IF($T$13=7,H782+50,"")))))))),""),"")</f>
        <v/>
      </c>
      <c r="N782" s="206" t="str">
        <f t="shared" ref="N782:N845" si="186">IF(C782&lt;&gt;"",I782,"")</f>
        <v/>
      </c>
      <c r="O782" s="206" t="str">
        <f t="shared" ref="O782:O845" si="187">IF(C782&lt;&gt;"",$O$13,"")</f>
        <v/>
      </c>
      <c r="P782" s="84" t="str">
        <f t="shared" ref="P782:P845" si="188">IFERROR(IF(C782&lt;&gt;"",SUMIFS($V$13:$V$969,$U$13:$U$969,C782)*$S$6,V782*$S$6),"")</f>
        <v/>
      </c>
      <c r="Q782" s="205"/>
      <c r="R782" s="70" t="str">
        <f>IF(S782="IN",'BOM_Phan II'!$Y$3,"")</f>
        <v/>
      </c>
      <c r="S782" s="69" t="str">
        <f t="shared" si="180"/>
        <v/>
      </c>
      <c r="T782">
        <f t="shared" ref="T782:T845" si="189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3</v>
      </c>
      <c r="U782" t="str">
        <f t="shared" si="177"/>
        <v>KIỆN 14</v>
      </c>
      <c r="V782" t="str">
        <f t="shared" ref="V782:V845" si="190">IFERROR(IF(AND(C782="", OR($W782="1", $W782="2")), IF(I782="", "", F782*G782*H782*I782/10^9), ""), "")</f>
        <v/>
      </c>
      <c r="W782" s="266"/>
      <c r="X782" s="266"/>
      <c r="Y782" s="266" t="str">
        <f t="shared" si="182"/>
        <v/>
      </c>
      <c r="Z782" s="266"/>
    </row>
    <row r="783" spans="1:26" ht="27" hidden="1" customHeight="1">
      <c r="A783" s="70" t="str">
        <f t="shared" si="178"/>
        <v/>
      </c>
      <c r="B783" s="70" t="str">
        <f t="shared" si="179"/>
        <v/>
      </c>
      <c r="C783" s="204" t="str" cm="1">
        <f t="array" ref="C783">IF(D783="","",
    IF(AND(ISNUMBER(D783), D783=INT(D783)),
        $V$6 &amp; " " &amp; (IFERROR(MAX($Y$12:$Y782), 0) + 1),
        IF(ISNUMBER(SEARCH(".", D783)), "", INDEX($C$12:$C783, MATCH(2, 1/($C$12:$C783 &lt;&gt; ""))))
    )
)</f>
        <v/>
      </c>
      <c r="D783" s="206"/>
      <c r="E783" s="206" t="str">
        <f>IF(AA783 = "", "",
    IF(ISNUMBER(SEARCH("Kiện", C783)),
       " GÓI " &amp; COUNTIF($C$13:C783, "*Kiện*") &amp; "/" &amp; COUNTIF($C$13:$C$1000, "*Kiện*") &amp; " " &amp; AA783,
       AA783)
)</f>
        <v/>
      </c>
      <c r="F783" s="206"/>
      <c r="G783" s="206"/>
      <c r="H783" s="206"/>
      <c r="I783" s="206"/>
      <c r="J783" s="206" t="str">
        <f t="shared" si="181"/>
        <v/>
      </c>
      <c r="K783" s="206" t="str">
        <f t="shared" si="183"/>
        <v/>
      </c>
      <c r="L783" s="206" t="str">
        <f t="shared" si="184"/>
        <v/>
      </c>
      <c r="M783" s="206" t="str">
        <f t="shared" si="185"/>
        <v/>
      </c>
      <c r="N783" s="206" t="str">
        <f t="shared" si="186"/>
        <v/>
      </c>
      <c r="O783" s="206" t="str">
        <f t="shared" si="187"/>
        <v/>
      </c>
      <c r="P783" s="84" t="str">
        <f t="shared" si="188"/>
        <v/>
      </c>
      <c r="Q783" s="205"/>
      <c r="R783" s="70" t="str">
        <f>IF(S783="IN",'BOM_Phan II'!$Y$3,"")</f>
        <v/>
      </c>
      <c r="S783" s="69" t="str">
        <f t="shared" si="180"/>
        <v/>
      </c>
      <c r="T783">
        <f t="shared" si="189"/>
        <v>3</v>
      </c>
      <c r="U783" t="str">
        <f t="shared" si="177"/>
        <v>KIỆN 14</v>
      </c>
      <c r="V783" t="str">
        <f t="shared" si="190"/>
        <v/>
      </c>
      <c r="W783" s="266"/>
      <c r="X783" s="266"/>
      <c r="Y783" s="266" t="str">
        <f t="shared" si="182"/>
        <v/>
      </c>
      <c r="Z783" s="266"/>
    </row>
    <row r="784" spans="1:26" ht="27" hidden="1" customHeight="1">
      <c r="A784" s="70" t="str">
        <f t="shared" si="178"/>
        <v/>
      </c>
      <c r="B784" s="70" t="str">
        <f t="shared" si="179"/>
        <v/>
      </c>
      <c r="C784" s="204" t="str" cm="1">
        <f t="array" ref="C784">IF(D784="","",
    IF(AND(ISNUMBER(D784), D784=INT(D784)),
        $V$6 &amp; " " &amp; (IFERROR(MAX($Y$12:$Y783), 0) + 1),
        IF(ISNUMBER(SEARCH(".", D784)), "", INDEX($C$12:$C784, MATCH(2, 1/($C$12:$C784 &lt;&gt; ""))))
    )
)</f>
        <v/>
      </c>
      <c r="D784" s="206"/>
      <c r="E784" s="206" t="str">
        <f>IF(AA784 = "", "",
    IF(ISNUMBER(SEARCH("Kiện", C784)),
       " GÓI " &amp; COUNTIF($C$13:C784, "*Kiện*") &amp; "/" &amp; COUNTIF($C$13:$C$1000, "*Kiện*") &amp; " " &amp; AA784,
       AA784)
)</f>
        <v/>
      </c>
      <c r="F784" s="206"/>
      <c r="G784" s="206"/>
      <c r="H784" s="206"/>
      <c r="I784" s="206"/>
      <c r="J784" s="206" t="str">
        <f t="shared" si="181"/>
        <v/>
      </c>
      <c r="K784" s="206" t="str">
        <f t="shared" si="183"/>
        <v/>
      </c>
      <c r="L784" s="206" t="str">
        <f t="shared" si="184"/>
        <v/>
      </c>
      <c r="M784" s="206" t="str">
        <f t="shared" si="185"/>
        <v/>
      </c>
      <c r="N784" s="206" t="str">
        <f t="shared" si="186"/>
        <v/>
      </c>
      <c r="O784" s="206" t="str">
        <f t="shared" si="187"/>
        <v/>
      </c>
      <c r="P784" s="84" t="str">
        <f t="shared" si="188"/>
        <v/>
      </c>
      <c r="Q784" s="205"/>
      <c r="R784" s="70" t="str">
        <f>IF(S784="IN",'BOM_Phan II'!$Y$3,"")</f>
        <v/>
      </c>
      <c r="S784" s="69" t="str">
        <f t="shared" si="180"/>
        <v/>
      </c>
      <c r="T784">
        <f t="shared" si="189"/>
        <v>3</v>
      </c>
      <c r="U784" t="str">
        <f t="shared" si="177"/>
        <v>KIỆN 14</v>
      </c>
      <c r="V784" t="str">
        <f t="shared" si="190"/>
        <v/>
      </c>
      <c r="W784" s="266"/>
      <c r="X784" s="266"/>
      <c r="Y784" s="266" t="str">
        <f t="shared" si="182"/>
        <v/>
      </c>
      <c r="Z784" s="266"/>
    </row>
    <row r="785" spans="1:26" ht="27" hidden="1" customHeight="1">
      <c r="A785" s="70" t="str">
        <f t="shared" si="178"/>
        <v/>
      </c>
      <c r="B785" s="70" t="str">
        <f t="shared" si="179"/>
        <v/>
      </c>
      <c r="C785" s="204" t="str" cm="1">
        <f t="array" ref="C785">IF(D785="","",
    IF(AND(ISNUMBER(D785), D785=INT(D785)),
        $V$6 &amp; " " &amp; (IFERROR(MAX($Y$12:$Y784), 0) + 1),
        IF(ISNUMBER(SEARCH(".", D785)), "", INDEX($C$12:$C785, MATCH(2, 1/($C$12:$C785 &lt;&gt; ""))))
    )
)</f>
        <v/>
      </c>
      <c r="D785" s="206"/>
      <c r="E785" s="206" t="str">
        <f>IF(AA785 = "", "",
    IF(ISNUMBER(SEARCH("Kiện", C785)),
       " GÓI " &amp; COUNTIF($C$13:C785, "*Kiện*") &amp; "/" &amp; COUNTIF($C$13:$C$1000, "*Kiện*") &amp; " " &amp; AA785,
       AA785)
)</f>
        <v/>
      </c>
      <c r="F785" s="206"/>
      <c r="G785" s="206"/>
      <c r="H785" s="206"/>
      <c r="I785" s="206"/>
      <c r="J785" s="206" t="str">
        <f t="shared" si="181"/>
        <v/>
      </c>
      <c r="K785" s="206" t="str">
        <f t="shared" si="183"/>
        <v/>
      </c>
      <c r="L785" s="206" t="str">
        <f t="shared" si="184"/>
        <v/>
      </c>
      <c r="M785" s="206" t="str">
        <f t="shared" si="185"/>
        <v/>
      </c>
      <c r="N785" s="206" t="str">
        <f t="shared" si="186"/>
        <v/>
      </c>
      <c r="O785" s="206" t="str">
        <f t="shared" si="187"/>
        <v/>
      </c>
      <c r="P785" s="84" t="str">
        <f t="shared" si="188"/>
        <v/>
      </c>
      <c r="Q785" s="205"/>
      <c r="R785" s="70" t="str">
        <f>IF(S785="IN",'BOM_Phan II'!$Y$3,"")</f>
        <v/>
      </c>
      <c r="S785" s="69" t="str">
        <f t="shared" si="180"/>
        <v/>
      </c>
      <c r="T785">
        <f t="shared" si="189"/>
        <v>3</v>
      </c>
      <c r="U785" t="str">
        <f t="shared" si="177"/>
        <v>KIỆN 14</v>
      </c>
      <c r="V785" t="str">
        <f t="shared" si="190"/>
        <v/>
      </c>
      <c r="W785" s="266"/>
      <c r="X785" s="266"/>
      <c r="Y785" s="266" t="str">
        <f t="shared" si="182"/>
        <v/>
      </c>
      <c r="Z785" s="266"/>
    </row>
    <row r="786" spans="1:26" ht="27" hidden="1" customHeight="1">
      <c r="A786" s="70" t="str">
        <f t="shared" si="178"/>
        <v/>
      </c>
      <c r="B786" s="70" t="str">
        <f t="shared" si="179"/>
        <v/>
      </c>
      <c r="C786" s="204" t="str" cm="1">
        <f t="array" ref="C786">IF(D786="","",
    IF(AND(ISNUMBER(D786), D786=INT(D786)),
        $V$6 &amp; " " &amp; (IFERROR(MAX($Y$12:$Y785), 0) + 1),
        IF(ISNUMBER(SEARCH(".", D786)), "", INDEX($C$12:$C786, MATCH(2, 1/($C$12:$C786 &lt;&gt; ""))))
    )
)</f>
        <v/>
      </c>
      <c r="D786" s="206"/>
      <c r="E786" s="206" t="str">
        <f>IF(AA786 = "", "",
    IF(ISNUMBER(SEARCH("Kiện", C786)),
       " GÓI " &amp; COUNTIF($C$13:C786, "*Kiện*") &amp; "/" &amp; COUNTIF($C$13:$C$1000, "*Kiện*") &amp; " " &amp; AA786,
       AA786)
)</f>
        <v/>
      </c>
      <c r="F786" s="206"/>
      <c r="G786" s="206"/>
      <c r="H786" s="206"/>
      <c r="I786" s="206"/>
      <c r="J786" s="206" t="str">
        <f t="shared" si="181"/>
        <v/>
      </c>
      <c r="K786" s="206" t="str">
        <f t="shared" si="183"/>
        <v/>
      </c>
      <c r="L786" s="206" t="str">
        <f t="shared" si="184"/>
        <v/>
      </c>
      <c r="M786" s="206" t="str">
        <f t="shared" si="185"/>
        <v/>
      </c>
      <c r="N786" s="206" t="str">
        <f t="shared" si="186"/>
        <v/>
      </c>
      <c r="O786" s="206" t="str">
        <f t="shared" si="187"/>
        <v/>
      </c>
      <c r="P786" s="84" t="str">
        <f t="shared" si="188"/>
        <v/>
      </c>
      <c r="Q786" s="205"/>
      <c r="R786" s="70" t="str">
        <f>IF(S786="IN",'BOM_Phan II'!$Y$3,"")</f>
        <v/>
      </c>
      <c r="S786" s="69" t="str">
        <f t="shared" si="180"/>
        <v/>
      </c>
      <c r="T786">
        <f t="shared" si="189"/>
        <v>3</v>
      </c>
      <c r="U786" t="str">
        <f t="shared" si="177"/>
        <v>KIỆN 14</v>
      </c>
      <c r="V786" t="str">
        <f t="shared" si="190"/>
        <v/>
      </c>
      <c r="W786" s="266"/>
      <c r="X786" s="266"/>
      <c r="Y786" s="266" t="str">
        <f t="shared" si="182"/>
        <v/>
      </c>
      <c r="Z786" s="266"/>
    </row>
    <row r="787" spans="1:26" ht="27" hidden="1" customHeight="1">
      <c r="A787" s="70" t="str">
        <f t="shared" si="178"/>
        <v/>
      </c>
      <c r="B787" s="70" t="str">
        <f t="shared" si="179"/>
        <v/>
      </c>
      <c r="C787" s="204" t="str" cm="1">
        <f t="array" ref="C787">IF(D787="","",
    IF(AND(ISNUMBER(D787), D787=INT(D787)),
        $V$6 &amp; " " &amp; (IFERROR(MAX($Y$12:$Y786), 0) + 1),
        IF(ISNUMBER(SEARCH(".", D787)), "", INDEX($C$12:$C787, MATCH(2, 1/($C$12:$C787 &lt;&gt; ""))))
    )
)</f>
        <v/>
      </c>
      <c r="D787" s="206"/>
      <c r="E787" s="206" t="str">
        <f>IF(AA787 = "", "",
    IF(ISNUMBER(SEARCH("Kiện", C787)),
       " GÓI " &amp; COUNTIF($C$13:C787, "*Kiện*") &amp; "/" &amp; COUNTIF($C$13:$C$1000, "*Kiện*") &amp; " " &amp; AA787,
       AA787)
)</f>
        <v/>
      </c>
      <c r="F787" s="206"/>
      <c r="G787" s="206"/>
      <c r="H787" s="206"/>
      <c r="I787" s="206"/>
      <c r="J787" s="206" t="str">
        <f t="shared" si="181"/>
        <v/>
      </c>
      <c r="K787" s="206" t="str">
        <f t="shared" si="183"/>
        <v/>
      </c>
      <c r="L787" s="206" t="str">
        <f t="shared" si="184"/>
        <v/>
      </c>
      <c r="M787" s="206" t="str">
        <f t="shared" si="185"/>
        <v/>
      </c>
      <c r="N787" s="206" t="str">
        <f t="shared" si="186"/>
        <v/>
      </c>
      <c r="O787" s="206" t="str">
        <f t="shared" si="187"/>
        <v/>
      </c>
      <c r="P787" s="84" t="str">
        <f t="shared" si="188"/>
        <v/>
      </c>
      <c r="Q787" s="205"/>
      <c r="R787" s="70" t="str">
        <f>IF(S787="IN",'BOM_Phan II'!$Y$3,"")</f>
        <v/>
      </c>
      <c r="S787" s="69" t="str">
        <f t="shared" si="180"/>
        <v/>
      </c>
      <c r="T787">
        <f t="shared" si="189"/>
        <v>3</v>
      </c>
      <c r="U787" t="str">
        <f t="shared" si="177"/>
        <v>KIỆN 14</v>
      </c>
      <c r="V787" t="str">
        <f t="shared" si="190"/>
        <v/>
      </c>
      <c r="W787" s="266"/>
      <c r="X787" s="266"/>
      <c r="Y787" s="266" t="str">
        <f t="shared" si="182"/>
        <v/>
      </c>
      <c r="Z787" s="266"/>
    </row>
    <row r="788" spans="1:26" ht="27" hidden="1" customHeight="1">
      <c r="A788" s="70" t="str">
        <f t="shared" si="178"/>
        <v/>
      </c>
      <c r="B788" s="70" t="str">
        <f t="shared" si="179"/>
        <v/>
      </c>
      <c r="C788" s="204" t="str" cm="1">
        <f t="array" ref="C788">IF(D788="","",
    IF(AND(ISNUMBER(D788), D788=INT(D788)),
        $V$6 &amp; " " &amp; (IFERROR(MAX($Y$12:$Y787), 0) + 1),
        IF(ISNUMBER(SEARCH(".", D788)), "", INDEX($C$12:$C788, MATCH(2, 1/($C$12:$C788 &lt;&gt; ""))))
    )
)</f>
        <v/>
      </c>
      <c r="D788" s="206"/>
      <c r="E788" s="206" t="str">
        <f>IF(AA788 = "", "",
    IF(ISNUMBER(SEARCH("Kiện", C788)),
       " GÓI " &amp; COUNTIF($C$13:C788, "*Kiện*") &amp; "/" &amp; COUNTIF($C$13:$C$1000, "*Kiện*") &amp; " " &amp; AA788,
       AA788)
)</f>
        <v/>
      </c>
      <c r="F788" s="206"/>
      <c r="G788" s="206"/>
      <c r="H788" s="206"/>
      <c r="I788" s="206"/>
      <c r="J788" s="206" t="str">
        <f t="shared" si="181"/>
        <v/>
      </c>
      <c r="K788" s="206" t="str">
        <f t="shared" si="183"/>
        <v/>
      </c>
      <c r="L788" s="206" t="str">
        <f t="shared" si="184"/>
        <v/>
      </c>
      <c r="M788" s="206" t="str">
        <f t="shared" si="185"/>
        <v/>
      </c>
      <c r="N788" s="206" t="str">
        <f t="shared" si="186"/>
        <v/>
      </c>
      <c r="O788" s="206" t="str">
        <f t="shared" si="187"/>
        <v/>
      </c>
      <c r="P788" s="84" t="str">
        <f t="shared" si="188"/>
        <v/>
      </c>
      <c r="Q788" s="205"/>
      <c r="R788" s="70" t="str">
        <f>IF(S788="IN",'BOM_Phan II'!$Y$3,"")</f>
        <v/>
      </c>
      <c r="S788" s="69" t="str">
        <f t="shared" si="180"/>
        <v/>
      </c>
      <c r="T788">
        <f t="shared" si="189"/>
        <v>3</v>
      </c>
      <c r="U788" t="str">
        <f t="shared" si="177"/>
        <v>KIỆN 14</v>
      </c>
      <c r="V788" t="str">
        <f t="shared" si="190"/>
        <v/>
      </c>
      <c r="W788" s="266"/>
      <c r="X788" s="266"/>
      <c r="Y788" s="266" t="str">
        <f t="shared" si="182"/>
        <v/>
      </c>
      <c r="Z788" s="266"/>
    </row>
    <row r="789" spans="1:26" ht="27" hidden="1" customHeight="1">
      <c r="A789" s="70" t="str">
        <f t="shared" si="178"/>
        <v/>
      </c>
      <c r="B789" s="70" t="str">
        <f t="shared" si="179"/>
        <v/>
      </c>
      <c r="C789" s="204" t="str" cm="1">
        <f t="array" ref="C789">IF(D789="","",
    IF(AND(ISNUMBER(D789), D789=INT(D789)),
        $V$6 &amp; " " &amp; (IFERROR(MAX($Y$12:$Y788), 0) + 1),
        IF(ISNUMBER(SEARCH(".", D789)), "", INDEX($C$12:$C789, MATCH(2, 1/($C$12:$C789 &lt;&gt; ""))))
    )
)</f>
        <v/>
      </c>
      <c r="D789" s="206"/>
      <c r="E789" s="206" t="str">
        <f>IF(AA789 = "", "",
    IF(ISNUMBER(SEARCH("Kiện", C789)),
       " GÓI " &amp; COUNTIF($C$13:C789, "*Kiện*") &amp; "/" &amp; COUNTIF($C$13:$C$1000, "*Kiện*") &amp; " " &amp; AA789,
       AA789)
)</f>
        <v/>
      </c>
      <c r="F789" s="206"/>
      <c r="G789" s="206"/>
      <c r="H789" s="206"/>
      <c r="I789" s="206"/>
      <c r="J789" s="206" t="str">
        <f t="shared" si="181"/>
        <v/>
      </c>
      <c r="K789" s="206" t="str">
        <f t="shared" si="183"/>
        <v/>
      </c>
      <c r="L789" s="206" t="str">
        <f t="shared" si="184"/>
        <v/>
      </c>
      <c r="M789" s="206" t="str">
        <f t="shared" si="185"/>
        <v/>
      </c>
      <c r="N789" s="206" t="str">
        <f t="shared" si="186"/>
        <v/>
      </c>
      <c r="O789" s="206" t="str">
        <f t="shared" si="187"/>
        <v/>
      </c>
      <c r="P789" s="84" t="str">
        <f t="shared" si="188"/>
        <v/>
      </c>
      <c r="Q789" s="205"/>
      <c r="R789" s="70" t="str">
        <f>IF(S789="IN",'BOM_Phan II'!$Y$3,"")</f>
        <v/>
      </c>
      <c r="S789" s="69" t="str">
        <f t="shared" si="180"/>
        <v/>
      </c>
      <c r="T789">
        <f t="shared" si="189"/>
        <v>3</v>
      </c>
      <c r="U789" t="str">
        <f t="shared" si="177"/>
        <v>KIỆN 14</v>
      </c>
      <c r="V789" t="str">
        <f t="shared" si="190"/>
        <v/>
      </c>
      <c r="W789" s="266"/>
      <c r="X789" s="266"/>
      <c r="Y789" s="266" t="str">
        <f t="shared" si="182"/>
        <v/>
      </c>
      <c r="Z789" s="266"/>
    </row>
    <row r="790" spans="1:26" ht="27" hidden="1" customHeight="1">
      <c r="A790" s="70" t="str">
        <f t="shared" si="178"/>
        <v/>
      </c>
      <c r="B790" s="70" t="str">
        <f t="shared" si="179"/>
        <v/>
      </c>
      <c r="C790" s="204" t="str" cm="1">
        <f t="array" ref="C790">IF(D790="","",
    IF(AND(ISNUMBER(D790), D790=INT(D790)),
        $V$6 &amp; " " &amp; (IFERROR(MAX($Y$12:$Y789), 0) + 1),
        IF(ISNUMBER(SEARCH(".", D790)), "", INDEX($C$12:$C790, MATCH(2, 1/($C$12:$C790 &lt;&gt; ""))))
    )
)</f>
        <v/>
      </c>
      <c r="D790" s="206"/>
      <c r="E790" s="206" t="str">
        <f>IF(AA790 = "", "",
    IF(ISNUMBER(SEARCH("Kiện", C790)),
       " GÓI " &amp; COUNTIF($C$13:C790, "*Kiện*") &amp; "/" &amp; COUNTIF($C$13:$C$1000, "*Kiện*") &amp; " " &amp; AA790,
       AA790)
)</f>
        <v/>
      </c>
      <c r="F790" s="206"/>
      <c r="G790" s="206"/>
      <c r="H790" s="206"/>
      <c r="I790" s="206"/>
      <c r="J790" s="206" t="str">
        <f t="shared" si="181"/>
        <v/>
      </c>
      <c r="K790" s="206" t="str">
        <f t="shared" si="183"/>
        <v/>
      </c>
      <c r="L790" s="206" t="str">
        <f t="shared" si="184"/>
        <v/>
      </c>
      <c r="M790" s="206" t="str">
        <f t="shared" si="185"/>
        <v/>
      </c>
      <c r="N790" s="206" t="str">
        <f t="shared" si="186"/>
        <v/>
      </c>
      <c r="O790" s="206" t="str">
        <f t="shared" si="187"/>
        <v/>
      </c>
      <c r="P790" s="84" t="str">
        <f t="shared" si="188"/>
        <v/>
      </c>
      <c r="Q790" s="205"/>
      <c r="R790" s="70" t="str">
        <f>IF(S790="IN",'BOM_Phan II'!$Y$3,"")</f>
        <v/>
      </c>
      <c r="S790" s="69" t="str">
        <f t="shared" si="180"/>
        <v/>
      </c>
      <c r="T790">
        <f t="shared" si="189"/>
        <v>3</v>
      </c>
      <c r="U790" t="str">
        <f t="shared" si="177"/>
        <v>KIỆN 14</v>
      </c>
      <c r="V790" t="str">
        <f t="shared" si="190"/>
        <v/>
      </c>
      <c r="W790" s="266"/>
      <c r="X790" s="266"/>
      <c r="Y790" s="266" t="str">
        <f t="shared" si="182"/>
        <v/>
      </c>
      <c r="Z790" s="266"/>
    </row>
    <row r="791" spans="1:26" ht="27" hidden="1" customHeight="1">
      <c r="A791" s="70" t="str">
        <f t="shared" si="178"/>
        <v/>
      </c>
      <c r="B791" s="70" t="str">
        <f t="shared" si="179"/>
        <v/>
      </c>
      <c r="C791" s="204" t="str" cm="1">
        <f t="array" ref="C791">IF(D791="","",
    IF(AND(ISNUMBER(D791), D791=INT(D791)),
        $V$6 &amp; " " &amp; (IFERROR(MAX($Y$12:$Y790), 0) + 1),
        IF(ISNUMBER(SEARCH(".", D791)), "", INDEX($C$12:$C791, MATCH(2, 1/($C$12:$C791 &lt;&gt; ""))))
    )
)</f>
        <v/>
      </c>
      <c r="D791" s="206"/>
      <c r="E791" s="206" t="str">
        <f>IF(AA791 = "", "",
    IF(ISNUMBER(SEARCH("Kiện", C791)),
       " GÓI " &amp; COUNTIF($C$13:C791, "*Kiện*") &amp; "/" &amp; COUNTIF($C$13:$C$1000, "*Kiện*") &amp; " " &amp; AA791,
       AA791)
)</f>
        <v/>
      </c>
      <c r="F791" s="206"/>
      <c r="G791" s="206"/>
      <c r="H791" s="206"/>
      <c r="I791" s="206"/>
      <c r="J791" s="206" t="str">
        <f t="shared" si="181"/>
        <v/>
      </c>
      <c r="K791" s="206" t="str">
        <f t="shared" si="183"/>
        <v/>
      </c>
      <c r="L791" s="206" t="str">
        <f t="shared" si="184"/>
        <v/>
      </c>
      <c r="M791" s="206" t="str">
        <f t="shared" si="185"/>
        <v/>
      </c>
      <c r="N791" s="206" t="str">
        <f t="shared" si="186"/>
        <v/>
      </c>
      <c r="O791" s="206" t="str">
        <f t="shared" si="187"/>
        <v/>
      </c>
      <c r="P791" s="84" t="str">
        <f t="shared" si="188"/>
        <v/>
      </c>
      <c r="Q791" s="205"/>
      <c r="R791" s="70" t="str">
        <f>IF(S791="IN",'BOM_Phan II'!$Y$3,"")</f>
        <v/>
      </c>
      <c r="S791" s="69" t="str">
        <f t="shared" si="180"/>
        <v/>
      </c>
      <c r="T791">
        <f t="shared" si="189"/>
        <v>3</v>
      </c>
      <c r="U791" t="str">
        <f t="shared" si="177"/>
        <v>KIỆN 14</v>
      </c>
      <c r="V791" t="str">
        <f t="shared" si="190"/>
        <v/>
      </c>
      <c r="W791" s="266"/>
      <c r="X791" s="266"/>
      <c r="Y791" s="266" t="str">
        <f t="shared" si="182"/>
        <v/>
      </c>
      <c r="Z791" s="266"/>
    </row>
    <row r="792" spans="1:26" ht="27" hidden="1" customHeight="1">
      <c r="A792" s="70" t="str">
        <f t="shared" si="178"/>
        <v/>
      </c>
      <c r="B792" s="70" t="str">
        <f t="shared" si="179"/>
        <v/>
      </c>
      <c r="C792" s="204" t="str" cm="1">
        <f t="array" ref="C792">IF(D792="","",
    IF(AND(ISNUMBER(D792), D792=INT(D792)),
        $V$6 &amp; " " &amp; (IFERROR(MAX($Y$12:$Y791), 0) + 1),
        IF(ISNUMBER(SEARCH(".", D792)), "", INDEX($C$12:$C792, MATCH(2, 1/($C$12:$C792 &lt;&gt; ""))))
    )
)</f>
        <v/>
      </c>
      <c r="D792" s="206"/>
      <c r="E792" s="206" t="str">
        <f>IF(AA792 = "", "",
    IF(ISNUMBER(SEARCH("Kiện", C792)),
       " GÓI " &amp; COUNTIF($C$13:C792, "*Kiện*") &amp; "/" &amp; COUNTIF($C$13:$C$1000, "*Kiện*") &amp; " " &amp; AA792,
       AA792)
)</f>
        <v/>
      </c>
      <c r="F792" s="206"/>
      <c r="G792" s="206"/>
      <c r="H792" s="206"/>
      <c r="I792" s="206"/>
      <c r="J792" s="206" t="str">
        <f t="shared" si="181"/>
        <v/>
      </c>
      <c r="K792" s="206" t="str">
        <f t="shared" si="183"/>
        <v/>
      </c>
      <c r="L792" s="206" t="str">
        <f t="shared" si="184"/>
        <v/>
      </c>
      <c r="M792" s="206" t="str">
        <f t="shared" si="185"/>
        <v/>
      </c>
      <c r="N792" s="206" t="str">
        <f t="shared" si="186"/>
        <v/>
      </c>
      <c r="O792" s="206" t="str">
        <f t="shared" si="187"/>
        <v/>
      </c>
      <c r="P792" s="84" t="str">
        <f t="shared" si="188"/>
        <v/>
      </c>
      <c r="Q792" s="205"/>
      <c r="R792" s="70" t="str">
        <f>IF(S792="IN",'BOM_Phan II'!$Y$3,"")</f>
        <v/>
      </c>
      <c r="S792" s="69" t="str">
        <f t="shared" si="180"/>
        <v/>
      </c>
      <c r="T792">
        <f t="shared" si="189"/>
        <v>3</v>
      </c>
      <c r="U792" t="str">
        <f t="shared" si="177"/>
        <v>KIỆN 14</v>
      </c>
      <c r="V792" t="str">
        <f t="shared" si="190"/>
        <v/>
      </c>
      <c r="W792" s="266"/>
      <c r="X792" s="266"/>
      <c r="Y792" s="266" t="str">
        <f t="shared" si="182"/>
        <v/>
      </c>
      <c r="Z792" s="266"/>
    </row>
    <row r="793" spans="1:26" ht="27" hidden="1" customHeight="1">
      <c r="A793" s="70" t="str">
        <f t="shared" si="178"/>
        <v/>
      </c>
      <c r="B793" s="70" t="str">
        <f t="shared" si="179"/>
        <v/>
      </c>
      <c r="C793" s="204" t="str" cm="1">
        <f t="array" ref="C793">IF(D793="","",
    IF(AND(ISNUMBER(D793), D793=INT(D793)),
        $V$6 &amp; " " &amp; (IFERROR(MAX($Y$12:$Y792), 0) + 1),
        IF(ISNUMBER(SEARCH(".", D793)), "", INDEX($C$12:$C793, MATCH(2, 1/($C$12:$C793 &lt;&gt; ""))))
    )
)</f>
        <v/>
      </c>
      <c r="D793" s="206"/>
      <c r="E793" s="206" t="str">
        <f>IF(AA793 = "", "",
    IF(ISNUMBER(SEARCH("Kiện", C793)),
       " GÓI " &amp; COUNTIF($C$13:C793, "*Kiện*") &amp; "/" &amp; COUNTIF($C$13:$C$1000, "*Kiện*") &amp; " " &amp; AA793,
       AA793)
)</f>
        <v/>
      </c>
      <c r="F793" s="206"/>
      <c r="G793" s="206"/>
      <c r="H793" s="206"/>
      <c r="I793" s="206"/>
      <c r="J793" s="206" t="str">
        <f t="shared" si="181"/>
        <v/>
      </c>
      <c r="K793" s="206" t="str">
        <f t="shared" si="183"/>
        <v/>
      </c>
      <c r="L793" s="206" t="str">
        <f t="shared" si="184"/>
        <v/>
      </c>
      <c r="M793" s="206" t="str">
        <f t="shared" si="185"/>
        <v/>
      </c>
      <c r="N793" s="206" t="str">
        <f t="shared" si="186"/>
        <v/>
      </c>
      <c r="O793" s="206" t="str">
        <f t="shared" si="187"/>
        <v/>
      </c>
      <c r="P793" s="84" t="str">
        <f t="shared" si="188"/>
        <v/>
      </c>
      <c r="Q793" s="205"/>
      <c r="R793" s="70" t="str">
        <f>IF(S793="IN",'BOM_Phan II'!$Y$3,"")</f>
        <v/>
      </c>
      <c r="S793" s="69" t="str">
        <f t="shared" si="180"/>
        <v/>
      </c>
      <c r="T793">
        <f t="shared" si="189"/>
        <v>3</v>
      </c>
      <c r="U793" t="str">
        <f t="shared" si="177"/>
        <v>KIỆN 14</v>
      </c>
      <c r="V793" t="str">
        <f t="shared" si="190"/>
        <v/>
      </c>
      <c r="W793" s="266"/>
      <c r="X793" s="266"/>
      <c r="Y793" s="266" t="str">
        <f t="shared" si="182"/>
        <v/>
      </c>
      <c r="Z793" s="266"/>
    </row>
    <row r="794" spans="1:26" ht="27" hidden="1" customHeight="1">
      <c r="A794" s="70" t="str">
        <f t="shared" si="178"/>
        <v/>
      </c>
      <c r="B794" s="70" t="str">
        <f t="shared" si="179"/>
        <v/>
      </c>
      <c r="C794" s="204" t="str" cm="1">
        <f t="array" ref="C794">IF(D794="","",
    IF(AND(ISNUMBER(D794), D794=INT(D794)),
        $V$6 &amp; " " &amp; (IFERROR(MAX($Y$12:$Y793), 0) + 1),
        IF(ISNUMBER(SEARCH(".", D794)), "", INDEX($C$12:$C794, MATCH(2, 1/($C$12:$C794 &lt;&gt; ""))))
    )
)</f>
        <v/>
      </c>
      <c r="D794" s="206"/>
      <c r="E794" s="206" t="str">
        <f>IF(AA794 = "", "",
    IF(ISNUMBER(SEARCH("Kiện", C794)),
       " GÓI " &amp; COUNTIF($C$13:C794, "*Kiện*") &amp; "/" &amp; COUNTIF($C$13:$C$1000, "*Kiện*") &amp; " " &amp; AA794,
       AA794)
)</f>
        <v/>
      </c>
      <c r="F794" s="206"/>
      <c r="G794" s="206"/>
      <c r="H794" s="206"/>
      <c r="I794" s="206"/>
      <c r="J794" s="206" t="str">
        <f t="shared" si="181"/>
        <v/>
      </c>
      <c r="K794" s="206" t="str">
        <f t="shared" si="183"/>
        <v/>
      </c>
      <c r="L794" s="206" t="str">
        <f t="shared" si="184"/>
        <v/>
      </c>
      <c r="M794" s="206" t="str">
        <f t="shared" si="185"/>
        <v/>
      </c>
      <c r="N794" s="206" t="str">
        <f t="shared" si="186"/>
        <v/>
      </c>
      <c r="O794" s="206" t="str">
        <f t="shared" si="187"/>
        <v/>
      </c>
      <c r="P794" s="84" t="str">
        <f t="shared" si="188"/>
        <v/>
      </c>
      <c r="Q794" s="205"/>
      <c r="R794" s="70" t="str">
        <f>IF(S794="IN",'BOM_Phan II'!$Y$3,"")</f>
        <v/>
      </c>
      <c r="S794" s="69" t="str">
        <f t="shared" si="180"/>
        <v/>
      </c>
      <c r="T794">
        <f t="shared" si="189"/>
        <v>3</v>
      </c>
      <c r="U794" t="str">
        <f t="shared" si="177"/>
        <v>KIỆN 14</v>
      </c>
      <c r="V794" t="str">
        <f t="shared" si="190"/>
        <v/>
      </c>
      <c r="W794" s="266"/>
      <c r="X794" s="266"/>
      <c r="Y794" s="266" t="str">
        <f t="shared" si="182"/>
        <v/>
      </c>
      <c r="Z794" s="266"/>
    </row>
    <row r="795" spans="1:26" ht="27" hidden="1" customHeight="1">
      <c r="A795" s="70" t="str">
        <f t="shared" si="178"/>
        <v/>
      </c>
      <c r="B795" s="70" t="str">
        <f t="shared" si="179"/>
        <v/>
      </c>
      <c r="C795" s="204" t="str" cm="1">
        <f t="array" ref="C795">IF(D795="","",
    IF(AND(ISNUMBER(D795), D795=INT(D795)),
        $V$6 &amp; " " &amp; (IFERROR(MAX($Y$12:$Y794), 0) + 1),
        IF(ISNUMBER(SEARCH(".", D795)), "", INDEX($C$12:$C795, MATCH(2, 1/($C$12:$C795 &lt;&gt; ""))))
    )
)</f>
        <v/>
      </c>
      <c r="D795" s="206"/>
      <c r="E795" s="206" t="str">
        <f>IF(AA795 = "", "",
    IF(ISNUMBER(SEARCH("Kiện", C795)),
       " GÓI " &amp; COUNTIF($C$13:C795, "*Kiện*") &amp; "/" &amp; COUNTIF($C$13:$C$1000, "*Kiện*") &amp; " " &amp; AA795,
       AA795)
)</f>
        <v/>
      </c>
      <c r="F795" s="206"/>
      <c r="G795" s="206"/>
      <c r="H795" s="206"/>
      <c r="I795" s="206"/>
      <c r="J795" s="206" t="str">
        <f t="shared" si="181"/>
        <v/>
      </c>
      <c r="K795" s="206" t="str">
        <f t="shared" si="183"/>
        <v/>
      </c>
      <c r="L795" s="206" t="str">
        <f t="shared" si="184"/>
        <v/>
      </c>
      <c r="M795" s="206" t="str">
        <f t="shared" si="185"/>
        <v/>
      </c>
      <c r="N795" s="206" t="str">
        <f t="shared" si="186"/>
        <v/>
      </c>
      <c r="O795" s="206" t="str">
        <f t="shared" si="187"/>
        <v/>
      </c>
      <c r="P795" s="84" t="str">
        <f t="shared" si="188"/>
        <v/>
      </c>
      <c r="Q795" s="205"/>
      <c r="R795" s="70" t="str">
        <f>IF(S795="IN",'BOM_Phan II'!$Y$3,"")</f>
        <v/>
      </c>
      <c r="S795" s="69" t="str">
        <f t="shared" si="180"/>
        <v/>
      </c>
      <c r="T795">
        <f t="shared" si="189"/>
        <v>3</v>
      </c>
      <c r="U795" t="str">
        <f t="shared" si="177"/>
        <v>KIỆN 14</v>
      </c>
      <c r="V795" t="str">
        <f t="shared" si="190"/>
        <v/>
      </c>
      <c r="W795" s="266"/>
      <c r="X795" s="266"/>
      <c r="Y795" s="266" t="str">
        <f t="shared" si="182"/>
        <v/>
      </c>
      <c r="Z795" s="266"/>
    </row>
    <row r="796" spans="1:26" ht="27" hidden="1" customHeight="1">
      <c r="A796" s="70" t="str">
        <f t="shared" si="178"/>
        <v/>
      </c>
      <c r="B796" s="70" t="str">
        <f t="shared" si="179"/>
        <v/>
      </c>
      <c r="C796" s="204" t="str" cm="1">
        <f t="array" ref="C796">IF(D796="","",
    IF(AND(ISNUMBER(D796), D796=INT(D796)),
        $V$6 &amp; " " &amp; (IFERROR(MAX($Y$12:$Y795), 0) + 1),
        IF(ISNUMBER(SEARCH(".", D796)), "", INDEX($C$12:$C796, MATCH(2, 1/($C$12:$C796 &lt;&gt; ""))))
    )
)</f>
        <v/>
      </c>
      <c r="D796" s="206"/>
      <c r="E796" s="206" t="str">
        <f>IF(AA796 = "", "",
    IF(ISNUMBER(SEARCH("Kiện", C796)),
       " GÓI " &amp; COUNTIF($C$13:C796, "*Kiện*") &amp; "/" &amp; COUNTIF($C$13:$C$1000, "*Kiện*") &amp; " " &amp; AA796,
       AA796)
)</f>
        <v/>
      </c>
      <c r="F796" s="206"/>
      <c r="G796" s="206"/>
      <c r="H796" s="206"/>
      <c r="I796" s="206"/>
      <c r="J796" s="206" t="str">
        <f t="shared" si="181"/>
        <v/>
      </c>
      <c r="K796" s="206" t="str">
        <f t="shared" si="183"/>
        <v/>
      </c>
      <c r="L796" s="206" t="str">
        <f t="shared" si="184"/>
        <v/>
      </c>
      <c r="M796" s="206" t="str">
        <f t="shared" si="185"/>
        <v/>
      </c>
      <c r="N796" s="206" t="str">
        <f t="shared" si="186"/>
        <v/>
      </c>
      <c r="O796" s="206" t="str">
        <f t="shared" si="187"/>
        <v/>
      </c>
      <c r="P796" s="84" t="str">
        <f t="shared" si="188"/>
        <v/>
      </c>
      <c r="Q796" s="205"/>
      <c r="R796" s="70" t="str">
        <f>IF(S796="IN",'BOM_Phan II'!$Y$3,"")</f>
        <v/>
      </c>
      <c r="S796" s="69" t="str">
        <f t="shared" si="180"/>
        <v/>
      </c>
      <c r="T796">
        <f t="shared" si="189"/>
        <v>3</v>
      </c>
      <c r="U796" t="str">
        <f t="shared" si="177"/>
        <v>KIỆN 14</v>
      </c>
      <c r="V796" t="str">
        <f t="shared" si="190"/>
        <v/>
      </c>
      <c r="W796" s="266"/>
      <c r="X796" s="266"/>
      <c r="Y796" s="266" t="str">
        <f t="shared" si="182"/>
        <v/>
      </c>
      <c r="Z796" s="266"/>
    </row>
    <row r="797" spans="1:26" ht="27" hidden="1" customHeight="1">
      <c r="A797" s="70" t="str">
        <f t="shared" si="178"/>
        <v/>
      </c>
      <c r="B797" s="70" t="str">
        <f t="shared" si="179"/>
        <v/>
      </c>
      <c r="C797" s="204" t="str" cm="1">
        <f t="array" ref="C797">IF(D797="","",
    IF(AND(ISNUMBER(D797), D797=INT(D797)),
        $V$6 &amp; " " &amp; (IFERROR(MAX($Y$12:$Y796), 0) + 1),
        IF(ISNUMBER(SEARCH(".", D797)), "", INDEX($C$12:$C797, MATCH(2, 1/($C$12:$C797 &lt;&gt; ""))))
    )
)</f>
        <v/>
      </c>
      <c r="D797" s="206"/>
      <c r="E797" s="206" t="str">
        <f>IF(AA797 = "", "",
    IF(ISNUMBER(SEARCH("Kiện", C797)),
       " GÓI " &amp; COUNTIF($C$13:C797, "*Kiện*") &amp; "/" &amp; COUNTIF($C$13:$C$1000, "*Kiện*") &amp; " " &amp; AA797,
       AA797)
)</f>
        <v/>
      </c>
      <c r="F797" s="206"/>
      <c r="G797" s="206"/>
      <c r="H797" s="206"/>
      <c r="I797" s="206"/>
      <c r="J797" s="206" t="str">
        <f t="shared" si="181"/>
        <v/>
      </c>
      <c r="K797" s="206" t="str">
        <f t="shared" si="183"/>
        <v/>
      </c>
      <c r="L797" s="206" t="str">
        <f t="shared" si="184"/>
        <v/>
      </c>
      <c r="M797" s="206" t="str">
        <f t="shared" si="185"/>
        <v/>
      </c>
      <c r="N797" s="206" t="str">
        <f t="shared" si="186"/>
        <v/>
      </c>
      <c r="O797" s="206" t="str">
        <f t="shared" si="187"/>
        <v/>
      </c>
      <c r="P797" s="84" t="str">
        <f t="shared" si="188"/>
        <v/>
      </c>
      <c r="Q797" s="205"/>
      <c r="R797" s="70" t="str">
        <f>IF(S797="IN",'BOM_Phan II'!$Y$3,"")</f>
        <v/>
      </c>
      <c r="S797" s="69" t="str">
        <f t="shared" si="180"/>
        <v/>
      </c>
      <c r="T797">
        <f t="shared" si="189"/>
        <v>3</v>
      </c>
      <c r="U797" t="str">
        <f t="shared" si="177"/>
        <v>KIỆN 14</v>
      </c>
      <c r="V797" t="str">
        <f t="shared" si="190"/>
        <v/>
      </c>
      <c r="W797" s="266"/>
      <c r="X797" s="266"/>
      <c r="Y797" s="266" t="str">
        <f t="shared" si="182"/>
        <v/>
      </c>
      <c r="Z797" s="266"/>
    </row>
    <row r="798" spans="1:26" ht="27" hidden="1" customHeight="1">
      <c r="A798" s="70" t="str">
        <f t="shared" si="178"/>
        <v/>
      </c>
      <c r="B798" s="70" t="str">
        <f t="shared" si="179"/>
        <v/>
      </c>
      <c r="C798" s="204" t="str" cm="1">
        <f t="array" ref="C798">IF(D798="","",
    IF(AND(ISNUMBER(D798), D798=INT(D798)),
        $V$6 &amp; " " &amp; (IFERROR(MAX($Y$12:$Y797), 0) + 1),
        IF(ISNUMBER(SEARCH(".", D798)), "", INDEX($C$12:$C798, MATCH(2, 1/($C$12:$C798 &lt;&gt; ""))))
    )
)</f>
        <v/>
      </c>
      <c r="D798" s="206"/>
      <c r="E798" s="206" t="str">
        <f>IF(AA798 = "", "",
    IF(ISNUMBER(SEARCH("Kiện", C798)),
       " GÓI " &amp; COUNTIF($C$13:C798, "*Kiện*") &amp; "/" &amp; COUNTIF($C$13:$C$1000, "*Kiện*") &amp; " " &amp; AA798,
       AA798)
)</f>
        <v/>
      </c>
      <c r="F798" s="206"/>
      <c r="G798" s="206"/>
      <c r="H798" s="206"/>
      <c r="I798" s="206"/>
      <c r="J798" s="206" t="str">
        <f t="shared" si="181"/>
        <v/>
      </c>
      <c r="K798" s="206" t="str">
        <f t="shared" si="183"/>
        <v/>
      </c>
      <c r="L798" s="206" t="str">
        <f t="shared" si="184"/>
        <v/>
      </c>
      <c r="M798" s="206" t="str">
        <f t="shared" si="185"/>
        <v/>
      </c>
      <c r="N798" s="206" t="str">
        <f t="shared" si="186"/>
        <v/>
      </c>
      <c r="O798" s="206" t="str">
        <f t="shared" si="187"/>
        <v/>
      </c>
      <c r="P798" s="84" t="str">
        <f t="shared" si="188"/>
        <v/>
      </c>
      <c r="Q798" s="205"/>
      <c r="R798" s="70" t="str">
        <f>IF(S798="IN",'BOM_Phan II'!$Y$3,"")</f>
        <v/>
      </c>
      <c r="S798" s="69" t="str">
        <f t="shared" si="180"/>
        <v/>
      </c>
      <c r="T798">
        <f t="shared" si="189"/>
        <v>3</v>
      </c>
      <c r="U798" t="str">
        <f t="shared" si="177"/>
        <v>KIỆN 14</v>
      </c>
      <c r="V798" t="str">
        <f t="shared" si="190"/>
        <v/>
      </c>
      <c r="W798" s="266"/>
      <c r="X798" s="266"/>
      <c r="Y798" s="266" t="str">
        <f t="shared" si="182"/>
        <v/>
      </c>
      <c r="Z798" s="266"/>
    </row>
    <row r="799" spans="1:26" ht="27" hidden="1" customHeight="1">
      <c r="A799" s="70" t="str">
        <f t="shared" si="178"/>
        <v/>
      </c>
      <c r="B799" s="70" t="str">
        <f t="shared" si="179"/>
        <v/>
      </c>
      <c r="C799" s="204" t="str" cm="1">
        <f t="array" ref="C799">IF(D799="","",
    IF(AND(ISNUMBER(D799), D799=INT(D799)),
        $V$6 &amp; " " &amp; (IFERROR(MAX($Y$12:$Y798), 0) + 1),
        IF(ISNUMBER(SEARCH(".", D799)), "", INDEX($C$12:$C799, MATCH(2, 1/($C$12:$C799 &lt;&gt; ""))))
    )
)</f>
        <v/>
      </c>
      <c r="D799" s="206"/>
      <c r="E799" s="206" t="str">
        <f>IF(AA799 = "", "",
    IF(ISNUMBER(SEARCH("Kiện", C799)),
       " GÓI " &amp; COUNTIF($C$13:C799, "*Kiện*") &amp; "/" &amp; COUNTIF($C$13:$C$1000, "*Kiện*") &amp; " " &amp; AA799,
       AA799)
)</f>
        <v/>
      </c>
      <c r="F799" s="206"/>
      <c r="G799" s="206"/>
      <c r="H799" s="206"/>
      <c r="I799" s="206"/>
      <c r="J799" s="206" t="str">
        <f t="shared" si="181"/>
        <v/>
      </c>
      <c r="K799" s="206" t="str">
        <f t="shared" si="183"/>
        <v/>
      </c>
      <c r="L799" s="206" t="str">
        <f t="shared" si="184"/>
        <v/>
      </c>
      <c r="M799" s="206" t="str">
        <f t="shared" si="185"/>
        <v/>
      </c>
      <c r="N799" s="206" t="str">
        <f t="shared" si="186"/>
        <v/>
      </c>
      <c r="O799" s="206" t="str">
        <f t="shared" si="187"/>
        <v/>
      </c>
      <c r="P799" s="84" t="str">
        <f t="shared" si="188"/>
        <v/>
      </c>
      <c r="Q799" s="205"/>
      <c r="R799" s="70" t="str">
        <f>IF(S799="IN",'BOM_Phan II'!$Y$3,"")</f>
        <v/>
      </c>
      <c r="S799" s="69" t="str">
        <f t="shared" si="180"/>
        <v/>
      </c>
      <c r="T799">
        <f t="shared" si="189"/>
        <v>3</v>
      </c>
      <c r="U799" t="str">
        <f t="shared" si="177"/>
        <v>KIỆN 14</v>
      </c>
      <c r="V799" t="str">
        <f t="shared" si="190"/>
        <v/>
      </c>
      <c r="W799" s="266"/>
      <c r="X799" s="266"/>
      <c r="Y799" s="266" t="str">
        <f t="shared" si="182"/>
        <v/>
      </c>
      <c r="Z799" s="266"/>
    </row>
    <row r="800" spans="1:26" ht="27" hidden="1" customHeight="1">
      <c r="A800" s="70" t="str">
        <f t="shared" si="178"/>
        <v/>
      </c>
      <c r="B800" s="70" t="str">
        <f t="shared" si="179"/>
        <v/>
      </c>
      <c r="C800" s="204" t="str" cm="1">
        <f t="array" ref="C800">IF(D800="","",
    IF(AND(ISNUMBER(D800), D800=INT(D800)),
        $V$6 &amp; " " &amp; (IFERROR(MAX($Y$12:$Y799), 0) + 1),
        IF(ISNUMBER(SEARCH(".", D800)), "", INDEX($C$12:$C800, MATCH(2, 1/($C$12:$C800 &lt;&gt; ""))))
    )
)</f>
        <v/>
      </c>
      <c r="D800" s="206"/>
      <c r="E800" s="206" t="str">
        <f>IF(AA800 = "", "",
    IF(ISNUMBER(SEARCH("Kiện", C800)),
       " GÓI " &amp; COUNTIF($C$13:C800, "*Kiện*") &amp; "/" &amp; COUNTIF($C$13:$C$1000, "*Kiện*") &amp; " " &amp; AA800,
       AA800)
)</f>
        <v/>
      </c>
      <c r="F800" s="206"/>
      <c r="G800" s="206"/>
      <c r="H800" s="206"/>
      <c r="I800" s="206"/>
      <c r="J800" s="206" t="str">
        <f t="shared" si="181"/>
        <v/>
      </c>
      <c r="K800" s="206" t="str">
        <f t="shared" si="183"/>
        <v/>
      </c>
      <c r="L800" s="206" t="str">
        <f t="shared" si="184"/>
        <v/>
      </c>
      <c r="M800" s="206" t="str">
        <f t="shared" si="185"/>
        <v/>
      </c>
      <c r="N800" s="206" t="str">
        <f t="shared" si="186"/>
        <v/>
      </c>
      <c r="O800" s="206" t="str">
        <f t="shared" si="187"/>
        <v/>
      </c>
      <c r="P800" s="84" t="str">
        <f t="shared" si="188"/>
        <v/>
      </c>
      <c r="Q800" s="205"/>
      <c r="R800" s="70" t="str">
        <f>IF(S800="IN",'BOM_Phan II'!$Y$3,"")</f>
        <v/>
      </c>
      <c r="S800" s="69" t="str">
        <f t="shared" si="180"/>
        <v/>
      </c>
      <c r="T800">
        <f t="shared" si="189"/>
        <v>3</v>
      </c>
      <c r="U800" t="str">
        <f t="shared" si="177"/>
        <v>KIỆN 14</v>
      </c>
      <c r="V800" t="str">
        <f t="shared" si="190"/>
        <v/>
      </c>
      <c r="W800" s="266"/>
      <c r="X800" s="266"/>
      <c r="Y800" s="266" t="str">
        <f t="shared" si="182"/>
        <v/>
      </c>
      <c r="Z800" s="266"/>
    </row>
    <row r="801" spans="1:26" ht="27" hidden="1" customHeight="1">
      <c r="A801" s="70" t="str">
        <f t="shared" si="178"/>
        <v/>
      </c>
      <c r="B801" s="70" t="str">
        <f t="shared" si="179"/>
        <v/>
      </c>
      <c r="C801" s="204" t="str" cm="1">
        <f t="array" ref="C801">IF(D801="","",
    IF(AND(ISNUMBER(D801), D801=INT(D801)),
        $V$6 &amp; " " &amp; (IFERROR(MAX($Y$12:$Y800), 0) + 1),
        IF(ISNUMBER(SEARCH(".", D801)), "", INDEX($C$12:$C801, MATCH(2, 1/($C$12:$C801 &lt;&gt; ""))))
    )
)</f>
        <v/>
      </c>
      <c r="D801" s="206"/>
      <c r="E801" s="206" t="str">
        <f>IF(AA801 = "", "",
    IF(ISNUMBER(SEARCH("Kiện", C801)),
       " GÓI " &amp; COUNTIF($C$13:C801, "*Kiện*") &amp; "/" &amp; COUNTIF($C$13:$C$1000, "*Kiện*") &amp; " " &amp; AA801,
       AA801)
)</f>
        <v/>
      </c>
      <c r="F801" s="206"/>
      <c r="G801" s="206"/>
      <c r="H801" s="206"/>
      <c r="I801" s="206"/>
      <c r="J801" s="206" t="str">
        <f t="shared" si="181"/>
        <v/>
      </c>
      <c r="K801" s="206" t="str">
        <f t="shared" si="183"/>
        <v/>
      </c>
      <c r="L801" s="206" t="str">
        <f t="shared" si="184"/>
        <v/>
      </c>
      <c r="M801" s="206" t="str">
        <f t="shared" si="185"/>
        <v/>
      </c>
      <c r="N801" s="206" t="str">
        <f t="shared" si="186"/>
        <v/>
      </c>
      <c r="O801" s="206" t="str">
        <f t="shared" si="187"/>
        <v/>
      </c>
      <c r="P801" s="84" t="str">
        <f t="shared" si="188"/>
        <v/>
      </c>
      <c r="Q801" s="205"/>
      <c r="R801" s="70" t="str">
        <f>IF(S801="IN",'BOM_Phan II'!$Y$3,"")</f>
        <v/>
      </c>
      <c r="S801" s="69" t="str">
        <f t="shared" si="180"/>
        <v/>
      </c>
      <c r="T801">
        <f t="shared" si="189"/>
        <v>3</v>
      </c>
      <c r="U801" t="str">
        <f t="shared" si="177"/>
        <v>KIỆN 14</v>
      </c>
      <c r="V801" t="str">
        <f t="shared" si="190"/>
        <v/>
      </c>
      <c r="W801" s="266"/>
      <c r="X801" s="266"/>
      <c r="Y801" s="266" t="str">
        <f t="shared" si="182"/>
        <v/>
      </c>
      <c r="Z801" s="266"/>
    </row>
    <row r="802" spans="1:26" ht="27" hidden="1" customHeight="1">
      <c r="A802" s="70" t="str">
        <f t="shared" si="178"/>
        <v/>
      </c>
      <c r="B802" s="70" t="str">
        <f t="shared" si="179"/>
        <v/>
      </c>
      <c r="C802" s="204" t="str" cm="1">
        <f t="array" ref="C802">IF(D802="","",
    IF(AND(ISNUMBER(D802), D802=INT(D802)),
        $V$6 &amp; " " &amp; (IFERROR(MAX($Y$12:$Y801), 0) + 1),
        IF(ISNUMBER(SEARCH(".", D802)), "", INDEX($C$12:$C802, MATCH(2, 1/($C$12:$C802 &lt;&gt; ""))))
    )
)</f>
        <v/>
      </c>
      <c r="D802" s="206"/>
      <c r="E802" s="206" t="str">
        <f>IF(AA802 = "", "",
    IF(ISNUMBER(SEARCH("Kiện", C802)),
       " GÓI " &amp; COUNTIF($C$13:C802, "*Kiện*") &amp; "/" &amp; COUNTIF($C$13:$C$1000, "*Kiện*") &amp; " " &amp; AA802,
       AA802)
)</f>
        <v/>
      </c>
      <c r="F802" s="206"/>
      <c r="G802" s="206"/>
      <c r="H802" s="206"/>
      <c r="I802" s="206"/>
      <c r="J802" s="206" t="str">
        <f t="shared" si="181"/>
        <v/>
      </c>
      <c r="K802" s="206" t="str">
        <f t="shared" si="183"/>
        <v/>
      </c>
      <c r="L802" s="206" t="str">
        <f t="shared" si="184"/>
        <v/>
      </c>
      <c r="M802" s="206" t="str">
        <f t="shared" si="185"/>
        <v/>
      </c>
      <c r="N802" s="206" t="str">
        <f t="shared" si="186"/>
        <v/>
      </c>
      <c r="O802" s="206" t="str">
        <f t="shared" si="187"/>
        <v/>
      </c>
      <c r="P802" s="84" t="str">
        <f t="shared" si="188"/>
        <v/>
      </c>
      <c r="Q802" s="205"/>
      <c r="R802" s="70" t="str">
        <f>IF(S802="IN",'BOM_Phan II'!$Y$3,"")</f>
        <v/>
      </c>
      <c r="S802" s="69" t="str">
        <f t="shared" si="180"/>
        <v/>
      </c>
      <c r="T802">
        <f t="shared" si="189"/>
        <v>3</v>
      </c>
      <c r="U802" t="str">
        <f t="shared" si="177"/>
        <v>KIỆN 14</v>
      </c>
      <c r="V802" t="str">
        <f t="shared" si="190"/>
        <v/>
      </c>
      <c r="W802" s="266"/>
      <c r="X802" s="266"/>
      <c r="Y802" s="266" t="str">
        <f t="shared" si="182"/>
        <v/>
      </c>
      <c r="Z802" s="266"/>
    </row>
    <row r="803" spans="1:26" ht="27" hidden="1" customHeight="1">
      <c r="A803" s="70" t="str">
        <f t="shared" si="178"/>
        <v/>
      </c>
      <c r="B803" s="70" t="str">
        <f t="shared" si="179"/>
        <v/>
      </c>
      <c r="C803" s="204" t="str" cm="1">
        <f t="array" ref="C803">IF(D803="","",
    IF(AND(ISNUMBER(D803), D803=INT(D803)),
        $V$6 &amp; " " &amp; (IFERROR(MAX($Y$12:$Y802), 0) + 1),
        IF(ISNUMBER(SEARCH(".", D803)), "", INDEX($C$12:$C803, MATCH(2, 1/($C$12:$C803 &lt;&gt; ""))))
    )
)</f>
        <v/>
      </c>
      <c r="D803" s="206"/>
      <c r="E803" s="206" t="str">
        <f>IF(AA803 = "", "",
    IF(ISNUMBER(SEARCH("Kiện", C803)),
       " GÓI " &amp; COUNTIF($C$13:C803, "*Kiện*") &amp; "/" &amp; COUNTIF($C$13:$C$1000, "*Kiện*") &amp; " " &amp; AA803,
       AA803)
)</f>
        <v/>
      </c>
      <c r="F803" s="206"/>
      <c r="G803" s="206"/>
      <c r="H803" s="206"/>
      <c r="I803" s="206"/>
      <c r="J803" s="206" t="str">
        <f t="shared" si="181"/>
        <v/>
      </c>
      <c r="K803" s="206" t="str">
        <f t="shared" si="183"/>
        <v/>
      </c>
      <c r="L803" s="206" t="str">
        <f t="shared" si="184"/>
        <v/>
      </c>
      <c r="M803" s="206" t="str">
        <f t="shared" si="185"/>
        <v/>
      </c>
      <c r="N803" s="206" t="str">
        <f t="shared" si="186"/>
        <v/>
      </c>
      <c r="O803" s="206" t="str">
        <f t="shared" si="187"/>
        <v/>
      </c>
      <c r="P803" s="84" t="str">
        <f t="shared" si="188"/>
        <v/>
      </c>
      <c r="Q803" s="205"/>
      <c r="R803" s="70" t="str">
        <f>IF(S803="IN",'BOM_Phan II'!$Y$3,"")</f>
        <v/>
      </c>
      <c r="S803" s="69" t="str">
        <f t="shared" si="180"/>
        <v/>
      </c>
      <c r="T803">
        <f t="shared" si="189"/>
        <v>3</v>
      </c>
      <c r="U803" t="str">
        <f t="shared" si="177"/>
        <v>KIỆN 14</v>
      </c>
      <c r="V803" t="str">
        <f t="shared" si="190"/>
        <v/>
      </c>
      <c r="W803" s="266"/>
      <c r="X803" s="266"/>
      <c r="Y803" s="266" t="str">
        <f t="shared" si="182"/>
        <v/>
      </c>
      <c r="Z803" s="266"/>
    </row>
    <row r="804" spans="1:26" ht="27" hidden="1" customHeight="1">
      <c r="A804" s="70" t="str">
        <f t="shared" si="178"/>
        <v/>
      </c>
      <c r="B804" s="70" t="str">
        <f t="shared" si="179"/>
        <v/>
      </c>
      <c r="C804" s="204" t="str" cm="1">
        <f t="array" ref="C804">IF(D804="","",
    IF(AND(ISNUMBER(D804), D804=INT(D804)),
        $V$6 &amp; " " &amp; (IFERROR(MAX($Y$12:$Y803), 0) + 1),
        IF(ISNUMBER(SEARCH(".", D804)), "", INDEX($C$12:$C804, MATCH(2, 1/($C$12:$C804 &lt;&gt; ""))))
    )
)</f>
        <v/>
      </c>
      <c r="D804" s="206"/>
      <c r="E804" s="206" t="str">
        <f>IF(AA804 = "", "",
    IF(ISNUMBER(SEARCH("Kiện", C804)),
       " GÓI " &amp; COUNTIF($C$13:C804, "*Kiện*") &amp; "/" &amp; COUNTIF($C$13:$C$1000, "*Kiện*") &amp; " " &amp; AA804,
       AA804)
)</f>
        <v/>
      </c>
      <c r="F804" s="206"/>
      <c r="G804" s="206"/>
      <c r="H804" s="206"/>
      <c r="I804" s="206"/>
      <c r="J804" s="206" t="str">
        <f t="shared" si="181"/>
        <v/>
      </c>
      <c r="K804" s="206" t="str">
        <f t="shared" si="183"/>
        <v/>
      </c>
      <c r="L804" s="206" t="str">
        <f t="shared" si="184"/>
        <v/>
      </c>
      <c r="M804" s="206" t="str">
        <f t="shared" si="185"/>
        <v/>
      </c>
      <c r="N804" s="206" t="str">
        <f t="shared" si="186"/>
        <v/>
      </c>
      <c r="O804" s="206" t="str">
        <f t="shared" si="187"/>
        <v/>
      </c>
      <c r="P804" s="84" t="str">
        <f t="shared" si="188"/>
        <v/>
      </c>
      <c r="Q804" s="205"/>
      <c r="R804" s="70" t="str">
        <f>IF(S804="IN",'BOM_Phan II'!$Y$3,"")</f>
        <v/>
      </c>
      <c r="S804" s="69" t="str">
        <f t="shared" si="180"/>
        <v/>
      </c>
      <c r="T804">
        <f t="shared" si="189"/>
        <v>3</v>
      </c>
      <c r="U804" t="str">
        <f t="shared" si="177"/>
        <v>KIỆN 14</v>
      </c>
      <c r="V804" t="str">
        <f t="shared" si="190"/>
        <v/>
      </c>
      <c r="W804" s="266"/>
      <c r="X804" s="266"/>
      <c r="Y804" s="266" t="str">
        <f t="shared" si="182"/>
        <v/>
      </c>
      <c r="Z804" s="266"/>
    </row>
    <row r="805" spans="1:26" ht="27" hidden="1" customHeight="1">
      <c r="A805" s="70" t="str">
        <f t="shared" si="178"/>
        <v/>
      </c>
      <c r="B805" s="70" t="str">
        <f t="shared" si="179"/>
        <v/>
      </c>
      <c r="C805" s="204" t="str" cm="1">
        <f t="array" ref="C805">IF(D805="","",
    IF(AND(ISNUMBER(D805), D805=INT(D805)),
        $V$6 &amp; " " &amp; (IFERROR(MAX($Y$12:$Y804), 0) + 1),
        IF(ISNUMBER(SEARCH(".", D805)), "", INDEX($C$12:$C805, MATCH(2, 1/($C$12:$C805 &lt;&gt; ""))))
    )
)</f>
        <v/>
      </c>
      <c r="D805" s="206"/>
      <c r="E805" s="206" t="str">
        <f>IF(AA805 = "", "",
    IF(ISNUMBER(SEARCH("Kiện", C805)),
       " GÓI " &amp; COUNTIF($C$13:C805, "*Kiện*") &amp; "/" &amp; COUNTIF($C$13:$C$1000, "*Kiện*") &amp; " " &amp; AA805,
       AA805)
)</f>
        <v/>
      </c>
      <c r="F805" s="206"/>
      <c r="G805" s="206"/>
      <c r="H805" s="206"/>
      <c r="I805" s="206"/>
      <c r="J805" s="206" t="str">
        <f t="shared" si="181"/>
        <v/>
      </c>
      <c r="K805" s="206" t="str">
        <f t="shared" si="183"/>
        <v/>
      </c>
      <c r="L805" s="206" t="str">
        <f t="shared" si="184"/>
        <v/>
      </c>
      <c r="M805" s="206" t="str">
        <f t="shared" si="185"/>
        <v/>
      </c>
      <c r="N805" s="206" t="str">
        <f t="shared" si="186"/>
        <v/>
      </c>
      <c r="O805" s="206" t="str">
        <f t="shared" si="187"/>
        <v/>
      </c>
      <c r="P805" s="84" t="str">
        <f t="shared" si="188"/>
        <v/>
      </c>
      <c r="Q805" s="205"/>
      <c r="R805" s="70" t="str">
        <f>IF(S805="IN",'BOM_Phan II'!$Y$3,"")</f>
        <v/>
      </c>
      <c r="S805" s="69" t="str">
        <f t="shared" si="180"/>
        <v/>
      </c>
      <c r="T805">
        <f t="shared" si="189"/>
        <v>3</v>
      </c>
      <c r="U805" t="str">
        <f t="shared" si="177"/>
        <v>KIỆN 14</v>
      </c>
      <c r="V805" t="str">
        <f t="shared" si="190"/>
        <v/>
      </c>
      <c r="W805" s="266"/>
      <c r="X805" s="266"/>
      <c r="Y805" s="266" t="str">
        <f t="shared" si="182"/>
        <v/>
      </c>
      <c r="Z805" s="266"/>
    </row>
    <row r="806" spans="1:26" ht="27" hidden="1" customHeight="1">
      <c r="A806" s="70" t="str">
        <f t="shared" si="178"/>
        <v/>
      </c>
      <c r="B806" s="70" t="str">
        <f t="shared" si="179"/>
        <v/>
      </c>
      <c r="C806" s="204" t="str" cm="1">
        <f t="array" ref="C806">IF(D806="","",
    IF(AND(ISNUMBER(D806), D806=INT(D806)),
        $V$6 &amp; " " &amp; (IFERROR(MAX($Y$12:$Y805), 0) + 1),
        IF(ISNUMBER(SEARCH(".", D806)), "", INDEX($C$12:$C806, MATCH(2, 1/($C$12:$C806 &lt;&gt; ""))))
    )
)</f>
        <v/>
      </c>
      <c r="D806" s="206"/>
      <c r="E806" s="206" t="str">
        <f>IF(AA806 = "", "",
    IF(ISNUMBER(SEARCH("Kiện", C806)),
       " GÓI " &amp; COUNTIF($C$13:C806, "*Kiện*") &amp; "/" &amp; COUNTIF($C$13:$C$1000, "*Kiện*") &amp; " " &amp; AA806,
       AA806)
)</f>
        <v/>
      </c>
      <c r="F806" s="206"/>
      <c r="G806" s="206"/>
      <c r="H806" s="206"/>
      <c r="I806" s="206"/>
      <c r="J806" s="206" t="str">
        <f t="shared" si="181"/>
        <v/>
      </c>
      <c r="K806" s="206" t="str">
        <f t="shared" si="183"/>
        <v/>
      </c>
      <c r="L806" s="206" t="str">
        <f t="shared" si="184"/>
        <v/>
      </c>
      <c r="M806" s="206" t="str">
        <f t="shared" si="185"/>
        <v/>
      </c>
      <c r="N806" s="206" t="str">
        <f t="shared" si="186"/>
        <v/>
      </c>
      <c r="O806" s="206" t="str">
        <f t="shared" si="187"/>
        <v/>
      </c>
      <c r="P806" s="84" t="str">
        <f t="shared" si="188"/>
        <v/>
      </c>
      <c r="Q806" s="205"/>
      <c r="R806" s="70" t="str">
        <f>IF(S806="IN",'BOM_Phan II'!$Y$3,"")</f>
        <v/>
      </c>
      <c r="S806" s="69" t="str">
        <f t="shared" si="180"/>
        <v/>
      </c>
      <c r="T806">
        <f t="shared" si="189"/>
        <v>3</v>
      </c>
      <c r="U806" t="str">
        <f t="shared" si="177"/>
        <v>KIỆN 14</v>
      </c>
      <c r="V806" t="str">
        <f t="shared" si="190"/>
        <v/>
      </c>
      <c r="W806" s="266"/>
      <c r="X806" s="266"/>
      <c r="Y806" s="266" t="str">
        <f t="shared" si="182"/>
        <v/>
      </c>
      <c r="Z806" s="266"/>
    </row>
    <row r="807" spans="1:26" ht="27" hidden="1" customHeight="1">
      <c r="A807" s="70" t="str">
        <f t="shared" si="178"/>
        <v/>
      </c>
      <c r="B807" s="70" t="str">
        <f t="shared" si="179"/>
        <v/>
      </c>
      <c r="C807" s="204" t="str" cm="1">
        <f t="array" ref="C807">IF(D807="","",
    IF(AND(ISNUMBER(D807), D807=INT(D807)),
        $V$6 &amp; " " &amp; (IFERROR(MAX($Y$12:$Y806), 0) + 1),
        IF(ISNUMBER(SEARCH(".", D807)), "", INDEX($C$12:$C807, MATCH(2, 1/($C$12:$C807 &lt;&gt; ""))))
    )
)</f>
        <v/>
      </c>
      <c r="D807" s="206"/>
      <c r="E807" s="206" t="str">
        <f>IF(AA807 = "", "",
    IF(ISNUMBER(SEARCH("Kiện", C807)),
       " GÓI " &amp; COUNTIF($C$13:C807, "*Kiện*") &amp; "/" &amp; COUNTIF($C$13:$C$1000, "*Kiện*") &amp; " " &amp; AA807,
       AA807)
)</f>
        <v/>
      </c>
      <c r="F807" s="206"/>
      <c r="G807" s="206"/>
      <c r="H807" s="206"/>
      <c r="I807" s="206"/>
      <c r="J807" s="206" t="str">
        <f t="shared" si="181"/>
        <v/>
      </c>
      <c r="K807" s="206" t="str">
        <f t="shared" si="183"/>
        <v/>
      </c>
      <c r="L807" s="206" t="str">
        <f t="shared" si="184"/>
        <v/>
      </c>
      <c r="M807" s="206" t="str">
        <f t="shared" si="185"/>
        <v/>
      </c>
      <c r="N807" s="206" t="str">
        <f t="shared" si="186"/>
        <v/>
      </c>
      <c r="O807" s="206" t="str">
        <f t="shared" si="187"/>
        <v/>
      </c>
      <c r="P807" s="84" t="str">
        <f t="shared" si="188"/>
        <v/>
      </c>
      <c r="Q807" s="205"/>
      <c r="R807" s="70" t="str">
        <f>IF(S807="IN",'BOM_Phan II'!$Y$3,"")</f>
        <v/>
      </c>
      <c r="S807" s="69" t="str">
        <f t="shared" si="180"/>
        <v/>
      </c>
      <c r="T807">
        <f t="shared" si="189"/>
        <v>3</v>
      </c>
      <c r="U807" t="str">
        <f t="shared" si="177"/>
        <v>KIỆN 14</v>
      </c>
      <c r="V807" t="str">
        <f t="shared" si="190"/>
        <v/>
      </c>
      <c r="W807" s="266"/>
      <c r="X807" s="266"/>
      <c r="Y807" s="266" t="str">
        <f t="shared" si="182"/>
        <v/>
      </c>
      <c r="Z807" s="266"/>
    </row>
    <row r="808" spans="1:26" ht="27" hidden="1" customHeight="1">
      <c r="A808" s="70" t="str">
        <f t="shared" si="178"/>
        <v/>
      </c>
      <c r="B808" s="70" t="str">
        <f t="shared" si="179"/>
        <v/>
      </c>
      <c r="C808" s="204" t="str" cm="1">
        <f t="array" ref="C808">IF(D808="","",
    IF(AND(ISNUMBER(D808), D808=INT(D808)),
        $V$6 &amp; " " &amp; (IFERROR(MAX($Y$12:$Y807), 0) + 1),
        IF(ISNUMBER(SEARCH(".", D808)), "", INDEX($C$12:$C808, MATCH(2, 1/($C$12:$C808 &lt;&gt; ""))))
    )
)</f>
        <v/>
      </c>
      <c r="D808" s="206"/>
      <c r="E808" s="206" t="str">
        <f>IF(AA808 = "", "",
    IF(ISNUMBER(SEARCH("Kiện", C808)),
       " GÓI " &amp; COUNTIF($C$13:C808, "*Kiện*") &amp; "/" &amp; COUNTIF($C$13:$C$1000, "*Kiện*") &amp; " " &amp; AA808,
       AA808)
)</f>
        <v/>
      </c>
      <c r="F808" s="206"/>
      <c r="G808" s="206"/>
      <c r="H808" s="206"/>
      <c r="I808" s="206"/>
      <c r="J808" s="206" t="str">
        <f t="shared" si="181"/>
        <v/>
      </c>
      <c r="K808" s="206" t="str">
        <f t="shared" si="183"/>
        <v/>
      </c>
      <c r="L808" s="206" t="str">
        <f t="shared" si="184"/>
        <v/>
      </c>
      <c r="M808" s="206" t="str">
        <f t="shared" si="185"/>
        <v/>
      </c>
      <c r="N808" s="206" t="str">
        <f t="shared" si="186"/>
        <v/>
      </c>
      <c r="O808" s="206" t="str">
        <f t="shared" si="187"/>
        <v/>
      </c>
      <c r="P808" s="84" t="str">
        <f t="shared" si="188"/>
        <v/>
      </c>
      <c r="Q808" s="205"/>
      <c r="R808" s="70" t="str">
        <f>IF(S808="IN",'BOM_Phan II'!$Y$3,"")</f>
        <v/>
      </c>
      <c r="S808" s="69" t="str">
        <f t="shared" si="180"/>
        <v/>
      </c>
      <c r="T808">
        <f t="shared" si="189"/>
        <v>3</v>
      </c>
      <c r="U808" t="str">
        <f t="shared" si="177"/>
        <v>KIỆN 14</v>
      </c>
      <c r="V808" t="str">
        <f t="shared" si="190"/>
        <v/>
      </c>
      <c r="W808" s="266"/>
      <c r="X808" s="266"/>
      <c r="Y808" s="266" t="str">
        <f t="shared" si="182"/>
        <v/>
      </c>
      <c r="Z808" s="266"/>
    </row>
    <row r="809" spans="1:26" ht="27" hidden="1" customHeight="1">
      <c r="A809" s="70" t="str">
        <f t="shared" si="178"/>
        <v/>
      </c>
      <c r="B809" s="70" t="str">
        <f t="shared" si="179"/>
        <v/>
      </c>
      <c r="C809" s="204" t="str" cm="1">
        <f t="array" ref="C809">IF(D809="","",
    IF(AND(ISNUMBER(D809), D809=INT(D809)),
        $V$6 &amp; " " &amp; (IFERROR(MAX($Y$12:$Y808), 0) + 1),
        IF(ISNUMBER(SEARCH(".", D809)), "", INDEX($C$12:$C809, MATCH(2, 1/($C$12:$C809 &lt;&gt; ""))))
    )
)</f>
        <v/>
      </c>
      <c r="D809" s="206"/>
      <c r="E809" s="206" t="str">
        <f>IF(AA809 = "", "",
    IF(ISNUMBER(SEARCH("Kiện", C809)),
       " GÓI " &amp; COUNTIF($C$13:C809, "*Kiện*") &amp; "/" &amp; COUNTIF($C$13:$C$1000, "*Kiện*") &amp; " " &amp; AA809,
       AA809)
)</f>
        <v/>
      </c>
      <c r="F809" s="206"/>
      <c r="G809" s="206"/>
      <c r="H809" s="206"/>
      <c r="I809" s="206"/>
      <c r="J809" s="206" t="str">
        <f t="shared" si="181"/>
        <v/>
      </c>
      <c r="K809" s="206" t="str">
        <f t="shared" si="183"/>
        <v/>
      </c>
      <c r="L809" s="206" t="str">
        <f t="shared" si="184"/>
        <v/>
      </c>
      <c r="M809" s="206" t="str">
        <f t="shared" si="185"/>
        <v/>
      </c>
      <c r="N809" s="206" t="str">
        <f t="shared" si="186"/>
        <v/>
      </c>
      <c r="O809" s="206" t="str">
        <f t="shared" si="187"/>
        <v/>
      </c>
      <c r="P809" s="84" t="str">
        <f t="shared" si="188"/>
        <v/>
      </c>
      <c r="Q809" s="205"/>
      <c r="R809" s="70" t="str">
        <f>IF(S809="IN",'BOM_Phan II'!$Y$3,"")</f>
        <v/>
      </c>
      <c r="S809" s="69" t="str">
        <f t="shared" si="180"/>
        <v/>
      </c>
      <c r="T809">
        <f t="shared" si="189"/>
        <v>3</v>
      </c>
      <c r="U809" t="str">
        <f t="shared" si="177"/>
        <v>KIỆN 14</v>
      </c>
      <c r="V809" t="str">
        <f t="shared" si="190"/>
        <v/>
      </c>
      <c r="W809" s="266"/>
      <c r="X809" s="266"/>
      <c r="Y809" s="266" t="str">
        <f t="shared" si="182"/>
        <v/>
      </c>
      <c r="Z809" s="266"/>
    </row>
    <row r="810" spans="1:26" ht="27" hidden="1" customHeight="1">
      <c r="A810" s="70" t="str">
        <f t="shared" si="178"/>
        <v/>
      </c>
      <c r="B810" s="70" t="str">
        <f t="shared" si="179"/>
        <v/>
      </c>
      <c r="C810" s="204" t="str" cm="1">
        <f t="array" ref="C810">IF(D810="","",
    IF(AND(ISNUMBER(D810), D810=INT(D810)),
        $V$6 &amp; " " &amp; (IFERROR(MAX($Y$12:$Y809), 0) + 1),
        IF(ISNUMBER(SEARCH(".", D810)), "", INDEX($C$12:$C810, MATCH(2, 1/($C$12:$C810 &lt;&gt; ""))))
    )
)</f>
        <v/>
      </c>
      <c r="D810" s="206"/>
      <c r="E810" s="206" t="str">
        <f>IF(AA810 = "", "",
    IF(ISNUMBER(SEARCH("Kiện", C810)),
       " GÓI " &amp; COUNTIF($C$13:C810, "*Kiện*") &amp; "/" &amp; COUNTIF($C$13:$C$1000, "*Kiện*") &amp; " " &amp; AA810,
       AA810)
)</f>
        <v/>
      </c>
      <c r="F810" s="206"/>
      <c r="G810" s="206"/>
      <c r="H810" s="206"/>
      <c r="I810" s="206"/>
      <c r="J810" s="206" t="str">
        <f t="shared" si="181"/>
        <v/>
      </c>
      <c r="K810" s="206" t="str">
        <f t="shared" si="183"/>
        <v/>
      </c>
      <c r="L810" s="206" t="str">
        <f t="shared" si="184"/>
        <v/>
      </c>
      <c r="M810" s="206" t="str">
        <f t="shared" si="185"/>
        <v/>
      </c>
      <c r="N810" s="206" t="str">
        <f t="shared" si="186"/>
        <v/>
      </c>
      <c r="O810" s="206" t="str">
        <f t="shared" si="187"/>
        <v/>
      </c>
      <c r="P810" s="84" t="str">
        <f t="shared" si="188"/>
        <v/>
      </c>
      <c r="Q810" s="205"/>
      <c r="R810" s="70" t="str">
        <f>IF(S810="IN",'BOM_Phan II'!$Y$3,"")</f>
        <v/>
      </c>
      <c r="S810" s="69" t="str">
        <f t="shared" si="180"/>
        <v/>
      </c>
      <c r="T810">
        <f t="shared" si="189"/>
        <v>3</v>
      </c>
      <c r="U810" t="str">
        <f t="shared" si="177"/>
        <v>KIỆN 14</v>
      </c>
      <c r="V810" t="str">
        <f t="shared" si="190"/>
        <v/>
      </c>
      <c r="W810" s="266"/>
      <c r="X810" s="266"/>
      <c r="Y810" s="266" t="str">
        <f t="shared" si="182"/>
        <v/>
      </c>
      <c r="Z810" s="266"/>
    </row>
    <row r="811" spans="1:26" ht="27" hidden="1" customHeight="1">
      <c r="A811" s="70" t="str">
        <f t="shared" si="178"/>
        <v/>
      </c>
      <c r="B811" s="70" t="str">
        <f t="shared" si="179"/>
        <v/>
      </c>
      <c r="C811" s="204" t="str" cm="1">
        <f t="array" ref="C811">IF(D811="","",
    IF(AND(ISNUMBER(D811), D811=INT(D811)),
        $V$6 &amp; " " &amp; (IFERROR(MAX($Y$12:$Y810), 0) + 1),
        IF(ISNUMBER(SEARCH(".", D811)), "", INDEX($C$12:$C811, MATCH(2, 1/($C$12:$C811 &lt;&gt; ""))))
    )
)</f>
        <v/>
      </c>
      <c r="D811" s="206"/>
      <c r="E811" s="206" t="str">
        <f>IF(AA811 = "", "",
    IF(ISNUMBER(SEARCH("Kiện", C811)),
       " GÓI " &amp; COUNTIF($C$13:C811, "*Kiện*") &amp; "/" &amp; COUNTIF($C$13:$C$1000, "*Kiện*") &amp; " " &amp; AA811,
       AA811)
)</f>
        <v/>
      </c>
      <c r="F811" s="206"/>
      <c r="G811" s="206"/>
      <c r="H811" s="206"/>
      <c r="I811" s="206"/>
      <c r="J811" s="206" t="str">
        <f t="shared" si="181"/>
        <v/>
      </c>
      <c r="K811" s="206" t="str">
        <f t="shared" si="183"/>
        <v/>
      </c>
      <c r="L811" s="206" t="str">
        <f t="shared" si="184"/>
        <v/>
      </c>
      <c r="M811" s="206" t="str">
        <f t="shared" si="185"/>
        <v/>
      </c>
      <c r="N811" s="206" t="str">
        <f t="shared" si="186"/>
        <v/>
      </c>
      <c r="O811" s="206" t="str">
        <f t="shared" si="187"/>
        <v/>
      </c>
      <c r="P811" s="84" t="str">
        <f t="shared" si="188"/>
        <v/>
      </c>
      <c r="Q811" s="205"/>
      <c r="R811" s="70" t="str">
        <f>IF(S811="IN",'BOM_Phan II'!$Y$3,"")</f>
        <v/>
      </c>
      <c r="S811" s="69" t="str">
        <f t="shared" si="180"/>
        <v/>
      </c>
      <c r="T811">
        <f t="shared" si="189"/>
        <v>3</v>
      </c>
      <c r="U811" t="str">
        <f t="shared" si="177"/>
        <v>KIỆN 14</v>
      </c>
      <c r="V811" t="str">
        <f t="shared" si="190"/>
        <v/>
      </c>
      <c r="W811" s="266"/>
      <c r="X811" s="266"/>
      <c r="Y811" s="266" t="str">
        <f t="shared" si="182"/>
        <v/>
      </c>
      <c r="Z811" s="266"/>
    </row>
    <row r="812" spans="1:26" ht="27" hidden="1" customHeight="1">
      <c r="A812" s="70" t="str">
        <f t="shared" si="178"/>
        <v/>
      </c>
      <c r="B812" s="70" t="str">
        <f t="shared" si="179"/>
        <v/>
      </c>
      <c r="C812" s="204" t="str" cm="1">
        <f t="array" ref="C812">IF(D812="","",
    IF(AND(ISNUMBER(D812), D812=INT(D812)),
        $V$6 &amp; " " &amp; (IFERROR(MAX($Y$12:$Y811), 0) + 1),
        IF(ISNUMBER(SEARCH(".", D812)), "", INDEX($C$12:$C812, MATCH(2, 1/($C$12:$C812 &lt;&gt; ""))))
    )
)</f>
        <v/>
      </c>
      <c r="D812" s="206"/>
      <c r="E812" s="206" t="str">
        <f>IF(AA812 = "", "",
    IF(ISNUMBER(SEARCH("Kiện", C812)),
       " GÓI " &amp; COUNTIF($C$13:C812, "*Kiện*") &amp; "/" &amp; COUNTIF($C$13:$C$1000, "*Kiện*") &amp; " " &amp; AA812,
       AA812)
)</f>
        <v/>
      </c>
      <c r="F812" s="206"/>
      <c r="G812" s="206"/>
      <c r="H812" s="206"/>
      <c r="I812" s="206"/>
      <c r="J812" s="206" t="str">
        <f t="shared" si="181"/>
        <v/>
      </c>
      <c r="K812" s="206" t="str">
        <f t="shared" si="183"/>
        <v/>
      </c>
      <c r="L812" s="206" t="str">
        <f t="shared" si="184"/>
        <v/>
      </c>
      <c r="M812" s="206" t="str">
        <f t="shared" si="185"/>
        <v/>
      </c>
      <c r="N812" s="206" t="str">
        <f t="shared" si="186"/>
        <v/>
      </c>
      <c r="O812" s="206" t="str">
        <f t="shared" si="187"/>
        <v/>
      </c>
      <c r="P812" s="84" t="str">
        <f t="shared" si="188"/>
        <v/>
      </c>
      <c r="Q812" s="205"/>
      <c r="R812" s="70" t="str">
        <f>IF(S812="IN",'BOM_Phan II'!$Y$3,"")</f>
        <v/>
      </c>
      <c r="S812" s="69" t="str">
        <f t="shared" si="180"/>
        <v/>
      </c>
      <c r="T812">
        <f t="shared" si="189"/>
        <v>3</v>
      </c>
      <c r="U812" t="str">
        <f t="shared" si="177"/>
        <v>KIỆN 14</v>
      </c>
      <c r="V812" t="str">
        <f t="shared" si="190"/>
        <v/>
      </c>
      <c r="W812" s="266"/>
      <c r="X812" s="266"/>
      <c r="Y812" s="266" t="str">
        <f t="shared" si="182"/>
        <v/>
      </c>
      <c r="Z812" s="266"/>
    </row>
    <row r="813" spans="1:26" ht="27" hidden="1" customHeight="1">
      <c r="A813" s="70" t="str">
        <f t="shared" si="178"/>
        <v/>
      </c>
      <c r="B813" s="70" t="str">
        <f t="shared" si="179"/>
        <v/>
      </c>
      <c r="C813" s="204" t="str" cm="1">
        <f t="array" ref="C813">IF(D813="","",
    IF(AND(ISNUMBER(D813), D813=INT(D813)),
        $V$6 &amp; " " &amp; (IFERROR(MAX($Y$12:$Y812), 0) + 1),
        IF(ISNUMBER(SEARCH(".", D813)), "", INDEX($C$12:$C813, MATCH(2, 1/($C$12:$C813 &lt;&gt; ""))))
    )
)</f>
        <v/>
      </c>
      <c r="D813" s="206"/>
      <c r="E813" s="206" t="str">
        <f>IF(AA813 = "", "",
    IF(ISNUMBER(SEARCH("Kiện", C813)),
       " GÓI " &amp; COUNTIF($C$13:C813, "*Kiện*") &amp; "/" &amp; COUNTIF($C$13:$C$1000, "*Kiện*") &amp; " " &amp; AA813,
       AA813)
)</f>
        <v/>
      </c>
      <c r="F813" s="206"/>
      <c r="G813" s="206"/>
      <c r="H813" s="206"/>
      <c r="I813" s="206"/>
      <c r="J813" s="206" t="str">
        <f t="shared" si="181"/>
        <v/>
      </c>
      <c r="K813" s="206" t="str">
        <f t="shared" si="183"/>
        <v/>
      </c>
      <c r="L813" s="206" t="str">
        <f t="shared" si="184"/>
        <v/>
      </c>
      <c r="M813" s="206" t="str">
        <f t="shared" si="185"/>
        <v/>
      </c>
      <c r="N813" s="206" t="str">
        <f t="shared" si="186"/>
        <v/>
      </c>
      <c r="O813" s="206" t="str">
        <f t="shared" si="187"/>
        <v/>
      </c>
      <c r="P813" s="84" t="str">
        <f t="shared" si="188"/>
        <v/>
      </c>
      <c r="Q813" s="205"/>
      <c r="R813" s="70" t="str">
        <f>IF(S813="IN",'BOM_Phan II'!$Y$3,"")</f>
        <v/>
      </c>
      <c r="S813" s="69" t="str">
        <f t="shared" si="180"/>
        <v/>
      </c>
      <c r="T813">
        <f t="shared" si="189"/>
        <v>3</v>
      </c>
      <c r="U813" t="str">
        <f t="shared" si="177"/>
        <v>KIỆN 14</v>
      </c>
      <c r="V813" t="str">
        <f t="shared" si="190"/>
        <v/>
      </c>
      <c r="W813" s="266"/>
      <c r="X813" s="266"/>
      <c r="Y813" s="266" t="str">
        <f t="shared" si="182"/>
        <v/>
      </c>
      <c r="Z813" s="266"/>
    </row>
    <row r="814" spans="1:26" ht="27" hidden="1" customHeight="1">
      <c r="A814" s="70" t="str">
        <f t="shared" si="178"/>
        <v/>
      </c>
      <c r="B814" s="70" t="str">
        <f t="shared" si="179"/>
        <v/>
      </c>
      <c r="C814" s="204" t="str" cm="1">
        <f t="array" ref="C814">IF(D814="","",
    IF(AND(ISNUMBER(D814), D814=INT(D814)),
        $V$6 &amp; " " &amp; (IFERROR(MAX($Y$12:$Y813), 0) + 1),
        IF(ISNUMBER(SEARCH(".", D814)), "", INDEX($C$12:$C814, MATCH(2, 1/($C$12:$C814 &lt;&gt; ""))))
    )
)</f>
        <v/>
      </c>
      <c r="D814" s="206"/>
      <c r="E814" s="206" t="str">
        <f>IF(AA814 = "", "",
    IF(ISNUMBER(SEARCH("Kiện", C814)),
       " GÓI " &amp; COUNTIF($C$13:C814, "*Kiện*") &amp; "/" &amp; COUNTIF($C$13:$C$1000, "*Kiện*") &amp; " " &amp; AA814,
       AA814)
)</f>
        <v/>
      </c>
      <c r="F814" s="206"/>
      <c r="G814" s="206"/>
      <c r="H814" s="206"/>
      <c r="I814" s="206"/>
      <c r="J814" s="206" t="str">
        <f t="shared" si="181"/>
        <v/>
      </c>
      <c r="K814" s="206" t="str">
        <f t="shared" si="183"/>
        <v/>
      </c>
      <c r="L814" s="206" t="str">
        <f t="shared" si="184"/>
        <v/>
      </c>
      <c r="M814" s="206" t="str">
        <f t="shared" si="185"/>
        <v/>
      </c>
      <c r="N814" s="206" t="str">
        <f t="shared" si="186"/>
        <v/>
      </c>
      <c r="O814" s="206" t="str">
        <f t="shared" si="187"/>
        <v/>
      </c>
      <c r="P814" s="84" t="str">
        <f t="shared" si="188"/>
        <v/>
      </c>
      <c r="Q814" s="205"/>
      <c r="R814" s="70" t="str">
        <f>IF(S814="IN",'BOM_Phan II'!$Y$3,"")</f>
        <v/>
      </c>
      <c r="S814" s="69" t="str">
        <f t="shared" si="180"/>
        <v/>
      </c>
      <c r="T814">
        <f t="shared" si="189"/>
        <v>3</v>
      </c>
      <c r="U814" t="str">
        <f t="shared" si="177"/>
        <v>KIỆN 14</v>
      </c>
      <c r="V814" t="str">
        <f t="shared" si="190"/>
        <v/>
      </c>
      <c r="W814" s="266"/>
      <c r="X814" s="266"/>
      <c r="Y814" s="266" t="str">
        <f t="shared" si="182"/>
        <v/>
      </c>
      <c r="Z814" s="266"/>
    </row>
    <row r="815" spans="1:26" ht="27" hidden="1" customHeight="1">
      <c r="A815" s="70" t="str">
        <f t="shared" si="178"/>
        <v/>
      </c>
      <c r="B815" s="70" t="str">
        <f t="shared" si="179"/>
        <v/>
      </c>
      <c r="C815" s="204" t="str" cm="1">
        <f t="array" ref="C815">IF(D815="","",
    IF(AND(ISNUMBER(D815), D815=INT(D815)),
        $V$6 &amp; " " &amp; (IFERROR(MAX($Y$12:$Y814), 0) + 1),
        IF(ISNUMBER(SEARCH(".", D815)), "", INDEX($C$12:$C815, MATCH(2, 1/($C$12:$C815 &lt;&gt; ""))))
    )
)</f>
        <v/>
      </c>
      <c r="D815" s="206"/>
      <c r="E815" s="206" t="str">
        <f>IF(AA815 = "", "",
    IF(ISNUMBER(SEARCH("Kiện", C815)),
       " GÓI " &amp; COUNTIF($C$13:C815, "*Kiện*") &amp; "/" &amp; COUNTIF($C$13:$C$1000, "*Kiện*") &amp; " " &amp; AA815,
       AA815)
)</f>
        <v/>
      </c>
      <c r="F815" s="206"/>
      <c r="G815" s="206"/>
      <c r="H815" s="206"/>
      <c r="I815" s="206"/>
      <c r="J815" s="206" t="str">
        <f t="shared" si="181"/>
        <v/>
      </c>
      <c r="K815" s="206" t="str">
        <f t="shared" si="183"/>
        <v/>
      </c>
      <c r="L815" s="206" t="str">
        <f t="shared" si="184"/>
        <v/>
      </c>
      <c r="M815" s="206" t="str">
        <f t="shared" si="185"/>
        <v/>
      </c>
      <c r="N815" s="206" t="str">
        <f t="shared" si="186"/>
        <v/>
      </c>
      <c r="O815" s="206" t="str">
        <f t="shared" si="187"/>
        <v/>
      </c>
      <c r="P815" s="84" t="str">
        <f t="shared" si="188"/>
        <v/>
      </c>
      <c r="Q815" s="205"/>
      <c r="R815" s="70" t="str">
        <f>IF(S815="IN",'BOM_Phan II'!$Y$3,"")</f>
        <v/>
      </c>
      <c r="S815" s="69" t="str">
        <f t="shared" si="180"/>
        <v/>
      </c>
      <c r="T815">
        <f t="shared" si="189"/>
        <v>3</v>
      </c>
      <c r="U815" t="str">
        <f t="shared" si="177"/>
        <v>KIỆN 14</v>
      </c>
      <c r="V815" t="str">
        <f t="shared" si="190"/>
        <v/>
      </c>
      <c r="W815" s="266"/>
      <c r="X815" s="266"/>
      <c r="Y815" s="266" t="str">
        <f t="shared" si="182"/>
        <v/>
      </c>
      <c r="Z815" s="266"/>
    </row>
    <row r="816" spans="1:26" ht="27" hidden="1" customHeight="1">
      <c r="A816" s="70" t="str">
        <f t="shared" si="178"/>
        <v/>
      </c>
      <c r="B816" s="70" t="str">
        <f t="shared" si="179"/>
        <v/>
      </c>
      <c r="C816" s="204" t="str" cm="1">
        <f t="array" ref="C816">IF(D816="","",
    IF(AND(ISNUMBER(D816), D816=INT(D816)),
        $V$6 &amp; " " &amp; (IFERROR(MAX($Y$12:$Y815), 0) + 1),
        IF(ISNUMBER(SEARCH(".", D816)), "", INDEX($C$12:$C816, MATCH(2, 1/($C$12:$C816 &lt;&gt; ""))))
    )
)</f>
        <v/>
      </c>
      <c r="D816" s="206"/>
      <c r="E816" s="206" t="str">
        <f>IF(AA816 = "", "",
    IF(ISNUMBER(SEARCH("Kiện", C816)),
       " GÓI " &amp; COUNTIF($C$13:C816, "*Kiện*") &amp; "/" &amp; COUNTIF($C$13:$C$1000, "*Kiện*") &amp; " " &amp; AA816,
       AA816)
)</f>
        <v/>
      </c>
      <c r="F816" s="206"/>
      <c r="G816" s="206"/>
      <c r="H816" s="206"/>
      <c r="I816" s="206"/>
      <c r="J816" s="206" t="str">
        <f t="shared" si="181"/>
        <v/>
      </c>
      <c r="K816" s="206" t="str">
        <f t="shared" si="183"/>
        <v/>
      </c>
      <c r="L816" s="206" t="str">
        <f t="shared" si="184"/>
        <v/>
      </c>
      <c r="M816" s="206" t="str">
        <f t="shared" si="185"/>
        <v/>
      </c>
      <c r="N816" s="206" t="str">
        <f t="shared" si="186"/>
        <v/>
      </c>
      <c r="O816" s="206" t="str">
        <f t="shared" si="187"/>
        <v/>
      </c>
      <c r="P816" s="84" t="str">
        <f t="shared" si="188"/>
        <v/>
      </c>
      <c r="Q816" s="205"/>
      <c r="R816" s="70" t="str">
        <f>IF(S816="IN",'BOM_Phan II'!$Y$3,"")</f>
        <v/>
      </c>
      <c r="S816" s="69" t="str">
        <f t="shared" si="180"/>
        <v/>
      </c>
      <c r="T816">
        <f t="shared" si="189"/>
        <v>3</v>
      </c>
      <c r="U816" t="str">
        <f t="shared" si="177"/>
        <v>KIỆN 14</v>
      </c>
      <c r="V816" t="str">
        <f t="shared" si="190"/>
        <v/>
      </c>
      <c r="W816" s="266"/>
      <c r="X816" s="266"/>
      <c r="Y816" s="266" t="str">
        <f t="shared" si="182"/>
        <v/>
      </c>
      <c r="Z816" s="266"/>
    </row>
    <row r="817" spans="1:26" ht="27" hidden="1" customHeight="1">
      <c r="A817" s="70" t="str">
        <f t="shared" si="178"/>
        <v/>
      </c>
      <c r="B817" s="70" t="str">
        <f t="shared" si="179"/>
        <v/>
      </c>
      <c r="C817" s="204" t="str" cm="1">
        <f t="array" ref="C817">IF(D817="","",
    IF(AND(ISNUMBER(D817), D817=INT(D817)),
        $V$6 &amp; " " &amp; (IFERROR(MAX($Y$12:$Y816), 0) + 1),
        IF(ISNUMBER(SEARCH(".", D817)), "", INDEX($C$12:$C817, MATCH(2, 1/($C$12:$C817 &lt;&gt; ""))))
    )
)</f>
        <v/>
      </c>
      <c r="D817" s="206"/>
      <c r="E817" s="206" t="str">
        <f>IF(AA817 = "", "",
    IF(ISNUMBER(SEARCH("Kiện", C817)),
       " GÓI " &amp; COUNTIF($C$13:C817, "*Kiện*") &amp; "/" &amp; COUNTIF($C$13:$C$1000, "*Kiện*") &amp; " " &amp; AA817,
       AA817)
)</f>
        <v/>
      </c>
      <c r="F817" s="206"/>
      <c r="G817" s="206"/>
      <c r="H817" s="206"/>
      <c r="I817" s="206"/>
      <c r="J817" s="206" t="str">
        <f t="shared" si="181"/>
        <v/>
      </c>
      <c r="K817" s="206" t="str">
        <f t="shared" si="183"/>
        <v/>
      </c>
      <c r="L817" s="206" t="str">
        <f t="shared" si="184"/>
        <v/>
      </c>
      <c r="M817" s="206" t="str">
        <f t="shared" si="185"/>
        <v/>
      </c>
      <c r="N817" s="206" t="str">
        <f t="shared" si="186"/>
        <v/>
      </c>
      <c r="O817" s="206" t="str">
        <f t="shared" si="187"/>
        <v/>
      </c>
      <c r="P817" s="84" t="str">
        <f t="shared" si="188"/>
        <v/>
      </c>
      <c r="Q817" s="205"/>
      <c r="R817" s="70" t="str">
        <f>IF(S817="IN",'BOM_Phan II'!$Y$3,"")</f>
        <v/>
      </c>
      <c r="S817" s="69" t="str">
        <f t="shared" si="180"/>
        <v/>
      </c>
      <c r="T817">
        <f t="shared" si="189"/>
        <v>3</v>
      </c>
      <c r="U817" t="str">
        <f t="shared" si="177"/>
        <v>KIỆN 14</v>
      </c>
      <c r="V817" t="str">
        <f t="shared" si="190"/>
        <v/>
      </c>
      <c r="W817" s="266"/>
      <c r="X817" s="266"/>
      <c r="Y817" s="266" t="str">
        <f t="shared" si="182"/>
        <v/>
      </c>
      <c r="Z817" s="266"/>
    </row>
    <row r="818" spans="1:26" ht="27" hidden="1" customHeight="1">
      <c r="A818" s="70" t="str">
        <f t="shared" si="178"/>
        <v/>
      </c>
      <c r="B818" s="70" t="str">
        <f t="shared" si="179"/>
        <v/>
      </c>
      <c r="C818" s="204" t="str" cm="1">
        <f t="array" ref="C818">IF(D818="","",
    IF(AND(ISNUMBER(D818), D818=INT(D818)),
        $V$6 &amp; " " &amp; (IFERROR(MAX($Y$12:$Y817), 0) + 1),
        IF(ISNUMBER(SEARCH(".", D818)), "", INDEX($C$12:$C818, MATCH(2, 1/($C$12:$C818 &lt;&gt; ""))))
    )
)</f>
        <v/>
      </c>
      <c r="D818" s="206"/>
      <c r="E818" s="206" t="str">
        <f>IF(AA818 = "", "",
    IF(ISNUMBER(SEARCH("Kiện", C818)),
       " GÓI " &amp; COUNTIF($C$13:C818, "*Kiện*") &amp; "/" &amp; COUNTIF($C$13:$C$1000, "*Kiện*") &amp; " " &amp; AA818,
       AA818)
)</f>
        <v/>
      </c>
      <c r="F818" s="206"/>
      <c r="G818" s="206"/>
      <c r="H818" s="206"/>
      <c r="I818" s="206"/>
      <c r="J818" s="206" t="str">
        <f t="shared" si="181"/>
        <v/>
      </c>
      <c r="K818" s="206" t="str">
        <f t="shared" si="183"/>
        <v/>
      </c>
      <c r="L818" s="206" t="str">
        <f t="shared" si="184"/>
        <v/>
      </c>
      <c r="M818" s="206" t="str">
        <f t="shared" si="185"/>
        <v/>
      </c>
      <c r="N818" s="206" t="str">
        <f t="shared" si="186"/>
        <v/>
      </c>
      <c r="O818" s="206" t="str">
        <f t="shared" si="187"/>
        <v/>
      </c>
      <c r="P818" s="84" t="str">
        <f t="shared" si="188"/>
        <v/>
      </c>
      <c r="Q818" s="205"/>
      <c r="R818" s="70" t="str">
        <f>IF(S818="IN",'BOM_Phan II'!$Y$3,"")</f>
        <v/>
      </c>
      <c r="S818" s="69" t="str">
        <f t="shared" si="180"/>
        <v/>
      </c>
      <c r="T818">
        <f t="shared" si="189"/>
        <v>3</v>
      </c>
      <c r="U818" t="str">
        <f t="shared" si="177"/>
        <v>KIỆN 14</v>
      </c>
      <c r="V818" t="str">
        <f t="shared" si="190"/>
        <v/>
      </c>
      <c r="W818" s="266"/>
      <c r="X818" s="266"/>
      <c r="Y818" s="266" t="str">
        <f t="shared" si="182"/>
        <v/>
      </c>
      <c r="Z818" s="266"/>
    </row>
    <row r="819" spans="1:26" ht="27" hidden="1" customHeight="1">
      <c r="A819" s="70" t="str">
        <f t="shared" si="178"/>
        <v/>
      </c>
      <c r="B819" s="70" t="str">
        <f t="shared" si="179"/>
        <v/>
      </c>
      <c r="C819" s="204" t="str" cm="1">
        <f t="array" ref="C819">IF(D819="","",
    IF(AND(ISNUMBER(D819), D819=INT(D819)),
        $V$6 &amp; " " &amp; (IFERROR(MAX($Y$12:$Y818), 0) + 1),
        IF(ISNUMBER(SEARCH(".", D819)), "", INDEX($C$12:$C819, MATCH(2, 1/($C$12:$C819 &lt;&gt; ""))))
    )
)</f>
        <v/>
      </c>
      <c r="D819" s="206"/>
      <c r="E819" s="206" t="str">
        <f>IF(AA819 = "", "",
    IF(ISNUMBER(SEARCH("Kiện", C819)),
       " GÓI " &amp; COUNTIF($C$13:C819, "*Kiện*") &amp; "/" &amp; COUNTIF($C$13:$C$1000, "*Kiện*") &amp; " " &amp; AA819,
       AA819)
)</f>
        <v/>
      </c>
      <c r="F819" s="206"/>
      <c r="G819" s="206"/>
      <c r="H819" s="206"/>
      <c r="I819" s="206"/>
      <c r="J819" s="206" t="str">
        <f t="shared" si="181"/>
        <v/>
      </c>
      <c r="K819" s="206" t="str">
        <f t="shared" si="183"/>
        <v/>
      </c>
      <c r="L819" s="206" t="str">
        <f t="shared" si="184"/>
        <v/>
      </c>
      <c r="M819" s="206" t="str">
        <f t="shared" si="185"/>
        <v/>
      </c>
      <c r="N819" s="206" t="str">
        <f t="shared" si="186"/>
        <v/>
      </c>
      <c r="O819" s="206" t="str">
        <f t="shared" si="187"/>
        <v/>
      </c>
      <c r="P819" s="84" t="str">
        <f t="shared" si="188"/>
        <v/>
      </c>
      <c r="Q819" s="205"/>
      <c r="R819" s="70" t="str">
        <f>IF(S819="IN",'BOM_Phan II'!$Y$3,"")</f>
        <v/>
      </c>
      <c r="S819" s="69" t="str">
        <f t="shared" si="180"/>
        <v/>
      </c>
      <c r="T819">
        <f t="shared" si="189"/>
        <v>3</v>
      </c>
      <c r="U819" t="str">
        <f t="shared" si="177"/>
        <v>KIỆN 14</v>
      </c>
      <c r="V819" t="str">
        <f t="shared" si="190"/>
        <v/>
      </c>
      <c r="W819" s="266"/>
      <c r="X819" s="266"/>
      <c r="Y819" s="266" t="str">
        <f t="shared" si="182"/>
        <v/>
      </c>
      <c r="Z819" s="266"/>
    </row>
    <row r="820" spans="1:26" ht="27" hidden="1" customHeight="1">
      <c r="A820" s="70" t="str">
        <f t="shared" si="178"/>
        <v/>
      </c>
      <c r="B820" s="70" t="str">
        <f t="shared" si="179"/>
        <v/>
      </c>
      <c r="C820" s="204" t="str" cm="1">
        <f t="array" ref="C820">IF(D820="","",
    IF(AND(ISNUMBER(D820), D820=INT(D820)),
        $V$6 &amp; " " &amp; (IFERROR(MAX($Y$12:$Y819), 0) + 1),
        IF(ISNUMBER(SEARCH(".", D820)), "", INDEX($C$12:$C820, MATCH(2, 1/($C$12:$C820 &lt;&gt; ""))))
    )
)</f>
        <v/>
      </c>
      <c r="D820" s="206"/>
      <c r="E820" s="206" t="str">
        <f>IF(AA820 = "", "",
    IF(ISNUMBER(SEARCH("Kiện", C820)),
       " GÓI " &amp; COUNTIF($C$13:C820, "*Kiện*") &amp; "/" &amp; COUNTIF($C$13:$C$1000, "*Kiện*") &amp; " " &amp; AA820,
       AA820)
)</f>
        <v/>
      </c>
      <c r="F820" s="206"/>
      <c r="G820" s="206"/>
      <c r="H820" s="206"/>
      <c r="I820" s="206"/>
      <c r="J820" s="206" t="str">
        <f t="shared" si="181"/>
        <v/>
      </c>
      <c r="K820" s="206" t="str">
        <f t="shared" si="183"/>
        <v/>
      </c>
      <c r="L820" s="206" t="str">
        <f t="shared" si="184"/>
        <v/>
      </c>
      <c r="M820" s="206" t="str">
        <f t="shared" si="185"/>
        <v/>
      </c>
      <c r="N820" s="206" t="str">
        <f t="shared" si="186"/>
        <v/>
      </c>
      <c r="O820" s="206" t="str">
        <f t="shared" si="187"/>
        <v/>
      </c>
      <c r="P820" s="84" t="str">
        <f t="shared" si="188"/>
        <v/>
      </c>
      <c r="Q820" s="205"/>
      <c r="R820" s="70" t="str">
        <f>IF(S820="IN",'BOM_Phan II'!$Y$3,"")</f>
        <v/>
      </c>
      <c r="S820" s="69" t="str">
        <f t="shared" si="180"/>
        <v/>
      </c>
      <c r="T820">
        <f t="shared" si="189"/>
        <v>3</v>
      </c>
      <c r="U820" t="str">
        <f t="shared" si="177"/>
        <v>KIỆN 14</v>
      </c>
      <c r="V820" t="str">
        <f t="shared" si="190"/>
        <v/>
      </c>
      <c r="W820" s="266"/>
      <c r="X820" s="266"/>
      <c r="Y820" s="266" t="str">
        <f t="shared" si="182"/>
        <v/>
      </c>
      <c r="Z820" s="266"/>
    </row>
    <row r="821" spans="1:26" ht="27" hidden="1" customHeight="1">
      <c r="A821" s="70" t="str">
        <f t="shared" si="178"/>
        <v/>
      </c>
      <c r="B821" s="70" t="str">
        <f t="shared" si="179"/>
        <v/>
      </c>
      <c r="C821" s="204" t="str" cm="1">
        <f t="array" ref="C821">IF(D821="","",
    IF(AND(ISNUMBER(D821), D821=INT(D821)),
        $V$6 &amp; " " &amp; (IFERROR(MAX($Y$12:$Y820), 0) + 1),
        IF(ISNUMBER(SEARCH(".", D821)), "", INDEX($C$12:$C821, MATCH(2, 1/($C$12:$C821 &lt;&gt; ""))))
    )
)</f>
        <v/>
      </c>
      <c r="D821" s="206"/>
      <c r="E821" s="206" t="str">
        <f>IF(AA821 = "", "",
    IF(ISNUMBER(SEARCH("Kiện", C821)),
       " GÓI " &amp; COUNTIF($C$13:C821, "*Kiện*") &amp; "/" &amp; COUNTIF($C$13:$C$1000, "*Kiện*") &amp; " " &amp; AA821,
       AA821)
)</f>
        <v/>
      </c>
      <c r="F821" s="206"/>
      <c r="G821" s="206"/>
      <c r="H821" s="206"/>
      <c r="I821" s="206"/>
      <c r="J821" s="206" t="str">
        <f t="shared" si="181"/>
        <v/>
      </c>
      <c r="K821" s="206" t="str">
        <f t="shared" si="183"/>
        <v/>
      </c>
      <c r="L821" s="206" t="str">
        <f t="shared" si="184"/>
        <v/>
      </c>
      <c r="M821" s="206" t="str">
        <f t="shared" si="185"/>
        <v/>
      </c>
      <c r="N821" s="206" t="str">
        <f t="shared" si="186"/>
        <v/>
      </c>
      <c r="O821" s="206" t="str">
        <f t="shared" si="187"/>
        <v/>
      </c>
      <c r="P821" s="84" t="str">
        <f t="shared" si="188"/>
        <v/>
      </c>
      <c r="Q821" s="205"/>
      <c r="R821" s="70" t="str">
        <f>IF(S821="IN",'BOM_Phan II'!$Y$3,"")</f>
        <v/>
      </c>
      <c r="S821" s="69" t="str">
        <f t="shared" si="180"/>
        <v/>
      </c>
      <c r="T821">
        <f t="shared" si="189"/>
        <v>3</v>
      </c>
      <c r="U821" t="str">
        <f t="shared" si="177"/>
        <v>KIỆN 14</v>
      </c>
      <c r="V821" t="str">
        <f t="shared" si="190"/>
        <v/>
      </c>
      <c r="W821" s="266"/>
      <c r="X821" s="266"/>
      <c r="Y821" s="266" t="str">
        <f t="shared" si="182"/>
        <v/>
      </c>
      <c r="Z821" s="266"/>
    </row>
    <row r="822" spans="1:26" ht="27" hidden="1" customHeight="1">
      <c r="A822" s="70" t="str">
        <f t="shared" si="178"/>
        <v/>
      </c>
      <c r="B822" s="70" t="str">
        <f t="shared" si="179"/>
        <v/>
      </c>
      <c r="C822" s="204" t="str" cm="1">
        <f t="array" ref="C822">IF(D822="","",
    IF(AND(ISNUMBER(D822), D822=INT(D822)),
        $V$6 &amp; " " &amp; (IFERROR(MAX($Y$12:$Y821), 0) + 1),
        IF(ISNUMBER(SEARCH(".", D822)), "", INDEX($C$12:$C822, MATCH(2, 1/($C$12:$C822 &lt;&gt; ""))))
    )
)</f>
        <v/>
      </c>
      <c r="D822" s="206"/>
      <c r="E822" s="206" t="str">
        <f>IF(AA822 = "", "",
    IF(ISNUMBER(SEARCH("Kiện", C822)),
       " GÓI " &amp; COUNTIF($C$13:C822, "*Kiện*") &amp; "/" &amp; COUNTIF($C$13:$C$1000, "*Kiện*") &amp; " " &amp; AA822,
       AA822)
)</f>
        <v/>
      </c>
      <c r="F822" s="206"/>
      <c r="G822" s="206"/>
      <c r="H822" s="206"/>
      <c r="I822" s="206"/>
      <c r="J822" s="206" t="str">
        <f t="shared" si="181"/>
        <v/>
      </c>
      <c r="K822" s="206" t="str">
        <f t="shared" si="183"/>
        <v/>
      </c>
      <c r="L822" s="206" t="str">
        <f t="shared" si="184"/>
        <v/>
      </c>
      <c r="M822" s="206" t="str">
        <f t="shared" si="185"/>
        <v/>
      </c>
      <c r="N822" s="206" t="str">
        <f t="shared" si="186"/>
        <v/>
      </c>
      <c r="O822" s="206" t="str">
        <f t="shared" si="187"/>
        <v/>
      </c>
      <c r="P822" s="84" t="str">
        <f t="shared" si="188"/>
        <v/>
      </c>
      <c r="Q822" s="205"/>
      <c r="R822" s="70" t="str">
        <f>IF(S822="IN",'BOM_Phan II'!$Y$3,"")</f>
        <v/>
      </c>
      <c r="S822" s="69" t="str">
        <f t="shared" si="180"/>
        <v/>
      </c>
      <c r="T822">
        <f t="shared" si="189"/>
        <v>3</v>
      </c>
      <c r="U822" t="str">
        <f t="shared" si="177"/>
        <v>KIỆN 14</v>
      </c>
      <c r="V822" t="str">
        <f t="shared" si="190"/>
        <v/>
      </c>
      <c r="W822" s="266"/>
      <c r="X822" s="266"/>
      <c r="Y822" s="266" t="str">
        <f t="shared" si="182"/>
        <v/>
      </c>
      <c r="Z822" s="266"/>
    </row>
    <row r="823" spans="1:26" ht="27" hidden="1" customHeight="1">
      <c r="A823" s="70" t="str">
        <f t="shared" si="178"/>
        <v/>
      </c>
      <c r="B823" s="70" t="str">
        <f t="shared" si="179"/>
        <v/>
      </c>
      <c r="C823" s="204" t="str" cm="1">
        <f t="array" ref="C823">IF(D823="","",
    IF(AND(ISNUMBER(D823), D823=INT(D823)),
        $V$6 &amp; " " &amp; (IFERROR(MAX($Y$12:$Y822), 0) + 1),
        IF(ISNUMBER(SEARCH(".", D823)), "", INDEX($C$12:$C823, MATCH(2, 1/($C$12:$C823 &lt;&gt; ""))))
    )
)</f>
        <v/>
      </c>
      <c r="D823" s="206"/>
      <c r="E823" s="206" t="str">
        <f>IF(AA823 = "", "",
    IF(ISNUMBER(SEARCH("Kiện", C823)),
       " GÓI " &amp; COUNTIF($C$13:C823, "*Kiện*") &amp; "/" &amp; COUNTIF($C$13:$C$1000, "*Kiện*") &amp; " " &amp; AA823,
       AA823)
)</f>
        <v/>
      </c>
      <c r="F823" s="206"/>
      <c r="G823" s="206"/>
      <c r="H823" s="206"/>
      <c r="I823" s="206"/>
      <c r="J823" s="206" t="str">
        <f t="shared" si="181"/>
        <v/>
      </c>
      <c r="K823" s="206" t="str">
        <f t="shared" si="183"/>
        <v/>
      </c>
      <c r="L823" s="206" t="str">
        <f t="shared" si="184"/>
        <v/>
      </c>
      <c r="M823" s="206" t="str">
        <f t="shared" si="185"/>
        <v/>
      </c>
      <c r="N823" s="206" t="str">
        <f t="shared" si="186"/>
        <v/>
      </c>
      <c r="O823" s="206" t="str">
        <f t="shared" si="187"/>
        <v/>
      </c>
      <c r="P823" s="84" t="str">
        <f t="shared" si="188"/>
        <v/>
      </c>
      <c r="Q823" s="205"/>
      <c r="R823" s="70" t="str">
        <f>IF(S823="IN",'BOM_Phan II'!$Y$3,"")</f>
        <v/>
      </c>
      <c r="S823" s="69" t="str">
        <f t="shared" si="180"/>
        <v/>
      </c>
      <c r="T823">
        <f t="shared" si="189"/>
        <v>3</v>
      </c>
      <c r="U823" t="str">
        <f t="shared" si="177"/>
        <v>KIỆN 14</v>
      </c>
      <c r="V823" t="str">
        <f t="shared" si="190"/>
        <v/>
      </c>
      <c r="W823" s="266"/>
      <c r="X823" s="266"/>
      <c r="Y823" s="266" t="str">
        <f t="shared" si="182"/>
        <v/>
      </c>
      <c r="Z823" s="266"/>
    </row>
    <row r="824" spans="1:26" ht="27" hidden="1" customHeight="1">
      <c r="A824" s="70" t="str">
        <f t="shared" si="178"/>
        <v/>
      </c>
      <c r="B824" s="70" t="str">
        <f t="shared" si="179"/>
        <v/>
      </c>
      <c r="C824" s="204" t="str" cm="1">
        <f t="array" ref="C824">IF(D824="","",
    IF(AND(ISNUMBER(D824), D824=INT(D824)),
        $V$6 &amp; " " &amp; (IFERROR(MAX($Y$12:$Y823), 0) + 1),
        IF(ISNUMBER(SEARCH(".", D824)), "", INDEX($C$12:$C824, MATCH(2, 1/($C$12:$C824 &lt;&gt; ""))))
    )
)</f>
        <v/>
      </c>
      <c r="D824" s="206"/>
      <c r="E824" s="206" t="str">
        <f>IF(AA824 = "", "",
    IF(ISNUMBER(SEARCH("Kiện", C824)),
       " GÓI " &amp; COUNTIF($C$13:C824, "*Kiện*") &amp; "/" &amp; COUNTIF($C$13:$C$1000, "*Kiện*") &amp; " " &amp; AA824,
       AA824)
)</f>
        <v/>
      </c>
      <c r="F824" s="206"/>
      <c r="G824" s="206"/>
      <c r="H824" s="206"/>
      <c r="I824" s="206"/>
      <c r="J824" s="206" t="str">
        <f t="shared" si="181"/>
        <v/>
      </c>
      <c r="K824" s="206" t="str">
        <f t="shared" si="183"/>
        <v/>
      </c>
      <c r="L824" s="206" t="str">
        <f t="shared" si="184"/>
        <v/>
      </c>
      <c r="M824" s="206" t="str">
        <f t="shared" si="185"/>
        <v/>
      </c>
      <c r="N824" s="206" t="str">
        <f t="shared" si="186"/>
        <v/>
      </c>
      <c r="O824" s="206" t="str">
        <f t="shared" si="187"/>
        <v/>
      </c>
      <c r="P824" s="84" t="str">
        <f t="shared" si="188"/>
        <v/>
      </c>
      <c r="Q824" s="205"/>
      <c r="R824" s="70" t="str">
        <f>IF(S824="IN",'BOM_Phan II'!$Y$3,"")</f>
        <v/>
      </c>
      <c r="S824" s="69" t="str">
        <f t="shared" si="180"/>
        <v/>
      </c>
      <c r="T824">
        <f t="shared" si="189"/>
        <v>3</v>
      </c>
      <c r="U824" t="str">
        <f t="shared" si="177"/>
        <v>KIỆN 14</v>
      </c>
      <c r="V824" t="str">
        <f t="shared" si="190"/>
        <v/>
      </c>
      <c r="W824" s="266"/>
      <c r="X824" s="266"/>
      <c r="Y824" s="266" t="str">
        <f t="shared" si="182"/>
        <v/>
      </c>
      <c r="Z824" s="266"/>
    </row>
    <row r="825" spans="1:26" ht="27" hidden="1" customHeight="1">
      <c r="A825" s="70" t="str">
        <f t="shared" si="178"/>
        <v/>
      </c>
      <c r="B825" s="70" t="str">
        <f t="shared" si="179"/>
        <v/>
      </c>
      <c r="C825" s="204" t="str" cm="1">
        <f t="array" ref="C825">IF(D825="","",
    IF(AND(ISNUMBER(D825), D825=INT(D825)),
        $V$6 &amp; " " &amp; (IFERROR(MAX($Y$12:$Y824), 0) + 1),
        IF(ISNUMBER(SEARCH(".", D825)), "", INDEX($C$12:$C825, MATCH(2, 1/($C$12:$C825 &lt;&gt; ""))))
    )
)</f>
        <v/>
      </c>
      <c r="D825" s="206"/>
      <c r="E825" s="206" t="str">
        <f>IF(AA825 = "", "",
    IF(ISNUMBER(SEARCH("Kiện", C825)),
       " GÓI " &amp; COUNTIF($C$13:C825, "*Kiện*") &amp; "/" &amp; COUNTIF($C$13:$C$1000, "*Kiện*") &amp; " " &amp; AA825,
       AA825)
)</f>
        <v/>
      </c>
      <c r="F825" s="206"/>
      <c r="G825" s="206"/>
      <c r="H825" s="206"/>
      <c r="I825" s="206"/>
      <c r="J825" s="206" t="str">
        <f t="shared" si="181"/>
        <v/>
      </c>
      <c r="K825" s="206" t="str">
        <f t="shared" si="183"/>
        <v/>
      </c>
      <c r="L825" s="206" t="str">
        <f t="shared" si="184"/>
        <v/>
      </c>
      <c r="M825" s="206" t="str">
        <f t="shared" si="185"/>
        <v/>
      </c>
      <c r="N825" s="206" t="str">
        <f t="shared" si="186"/>
        <v/>
      </c>
      <c r="O825" s="206" t="str">
        <f t="shared" si="187"/>
        <v/>
      </c>
      <c r="P825" s="84" t="str">
        <f t="shared" si="188"/>
        <v/>
      </c>
      <c r="Q825" s="205"/>
      <c r="R825" s="70" t="str">
        <f>IF(S825="IN",'BOM_Phan II'!$Y$3,"")</f>
        <v/>
      </c>
      <c r="S825" s="69" t="str">
        <f t="shared" si="180"/>
        <v/>
      </c>
      <c r="T825">
        <f t="shared" si="189"/>
        <v>3</v>
      </c>
      <c r="U825" t="str">
        <f t="shared" si="177"/>
        <v>KIỆN 14</v>
      </c>
      <c r="V825" t="str">
        <f t="shared" si="190"/>
        <v/>
      </c>
      <c r="W825" s="266"/>
      <c r="X825" s="266"/>
      <c r="Y825" s="266" t="str">
        <f t="shared" si="182"/>
        <v/>
      </c>
      <c r="Z825" s="266"/>
    </row>
    <row r="826" spans="1:26" ht="27" hidden="1" customHeight="1">
      <c r="A826" s="70" t="str">
        <f t="shared" si="178"/>
        <v/>
      </c>
      <c r="B826" s="70" t="str">
        <f t="shared" si="179"/>
        <v/>
      </c>
      <c r="C826" s="204" t="str" cm="1">
        <f t="array" ref="C826">IF(D826="","",
    IF(AND(ISNUMBER(D826), D826=INT(D826)),
        $V$6 &amp; " " &amp; (IFERROR(MAX($Y$12:$Y825), 0) + 1),
        IF(ISNUMBER(SEARCH(".", D826)), "", INDEX($C$12:$C826, MATCH(2, 1/($C$12:$C826 &lt;&gt; ""))))
    )
)</f>
        <v/>
      </c>
      <c r="D826" s="206"/>
      <c r="E826" s="206" t="str">
        <f>IF(AA826 = "", "",
    IF(ISNUMBER(SEARCH("Kiện", C826)),
       " GÓI " &amp; COUNTIF($C$13:C826, "*Kiện*") &amp; "/" &amp; COUNTIF($C$13:$C$1000, "*Kiện*") &amp; " " &amp; AA826,
       AA826)
)</f>
        <v/>
      </c>
      <c r="F826" s="206"/>
      <c r="G826" s="206"/>
      <c r="H826" s="206"/>
      <c r="I826" s="206"/>
      <c r="J826" s="206" t="str">
        <f t="shared" si="181"/>
        <v/>
      </c>
      <c r="K826" s="206" t="str">
        <f t="shared" si="183"/>
        <v/>
      </c>
      <c r="L826" s="206" t="str">
        <f t="shared" si="184"/>
        <v/>
      </c>
      <c r="M826" s="206" t="str">
        <f t="shared" si="185"/>
        <v/>
      </c>
      <c r="N826" s="206" t="str">
        <f t="shared" si="186"/>
        <v/>
      </c>
      <c r="O826" s="206" t="str">
        <f t="shared" si="187"/>
        <v/>
      </c>
      <c r="P826" s="84" t="str">
        <f t="shared" si="188"/>
        <v/>
      </c>
      <c r="Q826" s="205"/>
      <c r="R826" s="70" t="str">
        <f>IF(S826="IN",'BOM_Phan II'!$Y$3,"")</f>
        <v/>
      </c>
      <c r="S826" s="69" t="str">
        <f t="shared" si="180"/>
        <v/>
      </c>
      <c r="T826">
        <f t="shared" si="189"/>
        <v>3</v>
      </c>
      <c r="U826" t="str">
        <f t="shared" si="177"/>
        <v>KIỆN 14</v>
      </c>
      <c r="V826" t="str">
        <f t="shared" si="190"/>
        <v/>
      </c>
      <c r="W826" s="266"/>
      <c r="X826" s="266"/>
      <c r="Y826" s="266" t="str">
        <f t="shared" si="182"/>
        <v/>
      </c>
      <c r="Z826" s="266"/>
    </row>
    <row r="827" spans="1:26" ht="27" hidden="1" customHeight="1">
      <c r="A827" s="70" t="str">
        <f t="shared" si="178"/>
        <v/>
      </c>
      <c r="B827" s="70" t="str">
        <f t="shared" si="179"/>
        <v/>
      </c>
      <c r="C827" s="204" t="str" cm="1">
        <f t="array" ref="C827">IF(D827="","",
    IF(AND(ISNUMBER(D827), D827=INT(D827)),
        $V$6 &amp; " " &amp; (IFERROR(MAX($Y$12:$Y826), 0) + 1),
        IF(ISNUMBER(SEARCH(".", D827)), "", INDEX($C$12:$C827, MATCH(2, 1/($C$12:$C827 &lt;&gt; ""))))
    )
)</f>
        <v/>
      </c>
      <c r="D827" s="206"/>
      <c r="E827" s="206" t="str">
        <f>IF(AA827 = "", "",
    IF(ISNUMBER(SEARCH("Kiện", C827)),
       " GÓI " &amp; COUNTIF($C$13:C827, "*Kiện*") &amp; "/" &amp; COUNTIF($C$13:$C$1000, "*Kiện*") &amp; " " &amp; AA827,
       AA827)
)</f>
        <v/>
      </c>
      <c r="F827" s="206"/>
      <c r="G827" s="206"/>
      <c r="H827" s="206"/>
      <c r="I827" s="206"/>
      <c r="J827" s="206" t="str">
        <f t="shared" si="181"/>
        <v/>
      </c>
      <c r="K827" s="206" t="str">
        <f t="shared" si="183"/>
        <v/>
      </c>
      <c r="L827" s="206" t="str">
        <f t="shared" si="184"/>
        <v/>
      </c>
      <c r="M827" s="206" t="str">
        <f t="shared" si="185"/>
        <v/>
      </c>
      <c r="N827" s="206" t="str">
        <f t="shared" si="186"/>
        <v/>
      </c>
      <c r="O827" s="206" t="str">
        <f t="shared" si="187"/>
        <v/>
      </c>
      <c r="P827" s="84" t="str">
        <f t="shared" si="188"/>
        <v/>
      </c>
      <c r="Q827" s="205"/>
      <c r="R827" s="70" t="str">
        <f>IF(S827="IN",'BOM_Phan II'!$Y$3,"")</f>
        <v/>
      </c>
      <c r="S827" s="69" t="str">
        <f t="shared" si="180"/>
        <v/>
      </c>
      <c r="T827">
        <f t="shared" si="189"/>
        <v>3</v>
      </c>
      <c r="U827" t="str">
        <f t="shared" si="177"/>
        <v>KIỆN 14</v>
      </c>
      <c r="V827" t="str">
        <f t="shared" si="190"/>
        <v/>
      </c>
      <c r="W827" s="266"/>
      <c r="X827" s="266"/>
      <c r="Y827" s="266" t="str">
        <f t="shared" si="182"/>
        <v/>
      </c>
      <c r="Z827" s="266"/>
    </row>
    <row r="828" spans="1:26" ht="27" hidden="1" customHeight="1">
      <c r="A828" s="70" t="str">
        <f t="shared" si="178"/>
        <v/>
      </c>
      <c r="B828" s="70" t="str">
        <f t="shared" si="179"/>
        <v/>
      </c>
      <c r="C828" s="204" t="str" cm="1">
        <f t="array" ref="C828">IF(D828="","",
    IF(AND(ISNUMBER(D828), D828=INT(D828)),
        $V$6 &amp; " " &amp; (IFERROR(MAX($Y$12:$Y827), 0) + 1),
        IF(ISNUMBER(SEARCH(".", D828)), "", INDEX($C$12:$C828, MATCH(2, 1/($C$12:$C828 &lt;&gt; ""))))
    )
)</f>
        <v/>
      </c>
      <c r="D828" s="206"/>
      <c r="E828" s="206" t="str">
        <f>IF(AA828 = "", "",
    IF(ISNUMBER(SEARCH("Kiện", C828)),
       " GÓI " &amp; COUNTIF($C$13:C828, "*Kiện*") &amp; "/" &amp; COUNTIF($C$13:$C$1000, "*Kiện*") &amp; " " &amp; AA828,
       AA828)
)</f>
        <v/>
      </c>
      <c r="F828" s="206"/>
      <c r="G828" s="206"/>
      <c r="H828" s="206"/>
      <c r="I828" s="206"/>
      <c r="J828" s="206" t="str">
        <f t="shared" si="181"/>
        <v/>
      </c>
      <c r="K828" s="206" t="str">
        <f t="shared" si="183"/>
        <v/>
      </c>
      <c r="L828" s="206" t="str">
        <f t="shared" si="184"/>
        <v/>
      </c>
      <c r="M828" s="206" t="str">
        <f t="shared" si="185"/>
        <v/>
      </c>
      <c r="N828" s="206" t="str">
        <f t="shared" si="186"/>
        <v/>
      </c>
      <c r="O828" s="206" t="str">
        <f t="shared" si="187"/>
        <v/>
      </c>
      <c r="P828" s="84" t="str">
        <f t="shared" si="188"/>
        <v/>
      </c>
      <c r="Q828" s="205"/>
      <c r="R828" s="70" t="str">
        <f>IF(S828="IN",'BOM_Phan II'!$Y$3,"")</f>
        <v/>
      </c>
      <c r="S828" s="69" t="str">
        <f t="shared" si="180"/>
        <v/>
      </c>
      <c r="T828">
        <f t="shared" si="189"/>
        <v>3</v>
      </c>
      <c r="U828" t="str">
        <f t="shared" si="177"/>
        <v>KIỆN 14</v>
      </c>
      <c r="V828" t="str">
        <f t="shared" si="190"/>
        <v/>
      </c>
      <c r="W828" s="266"/>
      <c r="X828" s="266"/>
      <c r="Y828" s="266" t="str">
        <f t="shared" si="182"/>
        <v/>
      </c>
      <c r="Z828" s="266"/>
    </row>
    <row r="829" spans="1:26" ht="27" hidden="1" customHeight="1">
      <c r="A829" s="70" t="str">
        <f t="shared" si="178"/>
        <v/>
      </c>
      <c r="B829" s="70" t="str">
        <f t="shared" si="179"/>
        <v/>
      </c>
      <c r="C829" s="204" t="str" cm="1">
        <f t="array" ref="C829">IF(D829="","",
    IF(AND(ISNUMBER(D829), D829=INT(D829)),
        $V$6 &amp; " " &amp; (IFERROR(MAX($Y$12:$Y828), 0) + 1),
        IF(ISNUMBER(SEARCH(".", D829)), "", INDEX($C$12:$C829, MATCH(2, 1/($C$12:$C829 &lt;&gt; ""))))
    )
)</f>
        <v/>
      </c>
      <c r="D829" s="206"/>
      <c r="E829" s="206" t="str">
        <f>IF(AA829 = "", "",
    IF(ISNUMBER(SEARCH("Kiện", C829)),
       " GÓI " &amp; COUNTIF($C$13:C829, "*Kiện*") &amp; "/" &amp; COUNTIF($C$13:$C$1000, "*Kiện*") &amp; " " &amp; AA829,
       AA829)
)</f>
        <v/>
      </c>
      <c r="F829" s="206"/>
      <c r="G829" s="206"/>
      <c r="H829" s="206"/>
      <c r="I829" s="206"/>
      <c r="J829" s="206" t="str">
        <f t="shared" si="181"/>
        <v/>
      </c>
      <c r="K829" s="206" t="str">
        <f t="shared" si="183"/>
        <v/>
      </c>
      <c r="L829" s="206" t="str">
        <f t="shared" si="184"/>
        <v/>
      </c>
      <c r="M829" s="206" t="str">
        <f t="shared" si="185"/>
        <v/>
      </c>
      <c r="N829" s="206" t="str">
        <f t="shared" si="186"/>
        <v/>
      </c>
      <c r="O829" s="206" t="str">
        <f t="shared" si="187"/>
        <v/>
      </c>
      <c r="P829" s="84" t="str">
        <f t="shared" si="188"/>
        <v/>
      </c>
      <c r="Q829" s="205"/>
      <c r="R829" s="70" t="str">
        <f>IF(S829="IN",'BOM_Phan II'!$Y$3,"")</f>
        <v/>
      </c>
      <c r="S829" s="69" t="str">
        <f t="shared" si="180"/>
        <v/>
      </c>
      <c r="T829">
        <f t="shared" si="189"/>
        <v>3</v>
      </c>
      <c r="U829" t="str">
        <f t="shared" si="177"/>
        <v>KIỆN 14</v>
      </c>
      <c r="V829" t="str">
        <f t="shared" si="190"/>
        <v/>
      </c>
      <c r="W829" s="266"/>
      <c r="X829" s="266"/>
      <c r="Y829" s="266" t="str">
        <f t="shared" si="182"/>
        <v/>
      </c>
      <c r="Z829" s="266"/>
    </row>
    <row r="830" spans="1:26" ht="27" hidden="1" customHeight="1">
      <c r="A830" s="70" t="str">
        <f t="shared" si="178"/>
        <v/>
      </c>
      <c r="B830" s="70" t="str">
        <f t="shared" si="179"/>
        <v/>
      </c>
      <c r="C830" s="204" t="str" cm="1">
        <f t="array" ref="C830">IF(D830="","",
    IF(AND(ISNUMBER(D830), D830=INT(D830)),
        $V$6 &amp; " " &amp; (IFERROR(MAX($Y$12:$Y829), 0) + 1),
        IF(ISNUMBER(SEARCH(".", D830)), "", INDEX($C$12:$C830, MATCH(2, 1/($C$12:$C830 &lt;&gt; ""))))
    )
)</f>
        <v/>
      </c>
      <c r="D830" s="206"/>
      <c r="E830" s="206" t="str">
        <f>IF(AA830 = "", "",
    IF(ISNUMBER(SEARCH("Kiện", C830)),
       " GÓI " &amp; COUNTIF($C$13:C830, "*Kiện*") &amp; "/" &amp; COUNTIF($C$13:$C$1000, "*Kiện*") &amp; " " &amp; AA830,
       AA830)
)</f>
        <v/>
      </c>
      <c r="F830" s="206"/>
      <c r="G830" s="206"/>
      <c r="H830" s="206"/>
      <c r="I830" s="206"/>
      <c r="J830" s="206" t="str">
        <f t="shared" si="181"/>
        <v/>
      </c>
      <c r="K830" s="206" t="str">
        <f t="shared" si="183"/>
        <v/>
      </c>
      <c r="L830" s="206" t="str">
        <f t="shared" si="184"/>
        <v/>
      </c>
      <c r="M830" s="206" t="str">
        <f t="shared" si="185"/>
        <v/>
      </c>
      <c r="N830" s="206" t="str">
        <f t="shared" si="186"/>
        <v/>
      </c>
      <c r="O830" s="206" t="str">
        <f t="shared" si="187"/>
        <v/>
      </c>
      <c r="P830" s="84" t="str">
        <f t="shared" si="188"/>
        <v/>
      </c>
      <c r="Q830" s="205"/>
      <c r="R830" s="70" t="str">
        <f>IF(S830="IN",'BOM_Phan II'!$Y$3,"")</f>
        <v/>
      </c>
      <c r="S830" s="69" t="str">
        <f t="shared" si="180"/>
        <v/>
      </c>
      <c r="T830">
        <f t="shared" si="189"/>
        <v>3</v>
      </c>
      <c r="U830" t="str">
        <f t="shared" si="177"/>
        <v>KIỆN 14</v>
      </c>
      <c r="V830" t="str">
        <f t="shared" si="190"/>
        <v/>
      </c>
      <c r="W830" s="266"/>
      <c r="X830" s="266"/>
      <c r="Y830" s="266" t="str">
        <f t="shared" si="182"/>
        <v/>
      </c>
      <c r="Z830" s="266"/>
    </row>
    <row r="831" spans="1:26" ht="27" hidden="1" customHeight="1">
      <c r="A831" s="70" t="str">
        <f t="shared" si="178"/>
        <v/>
      </c>
      <c r="B831" s="70" t="str">
        <f t="shared" si="179"/>
        <v/>
      </c>
      <c r="C831" s="204" t="str" cm="1">
        <f t="array" ref="C831">IF(D831="","",
    IF(AND(ISNUMBER(D831), D831=INT(D831)),
        $V$6 &amp; " " &amp; (IFERROR(MAX($Y$12:$Y830), 0) + 1),
        IF(ISNUMBER(SEARCH(".", D831)), "", INDEX($C$12:$C831, MATCH(2, 1/($C$12:$C831 &lt;&gt; ""))))
    )
)</f>
        <v/>
      </c>
      <c r="D831" s="206"/>
      <c r="E831" s="206" t="str">
        <f>IF(AA831 = "", "",
    IF(ISNUMBER(SEARCH("Kiện", C831)),
       " GÓI " &amp; COUNTIF($C$13:C831, "*Kiện*") &amp; "/" &amp; COUNTIF($C$13:$C$1000, "*Kiện*") &amp; " " &amp; AA831,
       AA831)
)</f>
        <v/>
      </c>
      <c r="F831" s="206"/>
      <c r="G831" s="206"/>
      <c r="H831" s="206"/>
      <c r="I831" s="206"/>
      <c r="J831" s="206" t="str">
        <f t="shared" si="181"/>
        <v/>
      </c>
      <c r="K831" s="206" t="str">
        <f t="shared" si="183"/>
        <v/>
      </c>
      <c r="L831" s="206" t="str">
        <f t="shared" si="184"/>
        <v/>
      </c>
      <c r="M831" s="206" t="str">
        <f t="shared" si="185"/>
        <v/>
      </c>
      <c r="N831" s="206" t="str">
        <f t="shared" si="186"/>
        <v/>
      </c>
      <c r="O831" s="206" t="str">
        <f t="shared" si="187"/>
        <v/>
      </c>
      <c r="P831" s="84" t="str">
        <f t="shared" si="188"/>
        <v/>
      </c>
      <c r="Q831" s="205"/>
      <c r="R831" s="70" t="str">
        <f>IF(S831="IN",'BOM_Phan II'!$Y$3,"")</f>
        <v/>
      </c>
      <c r="S831" s="69" t="str">
        <f t="shared" si="180"/>
        <v/>
      </c>
      <c r="T831">
        <f t="shared" si="189"/>
        <v>3</v>
      </c>
      <c r="U831" t="str">
        <f t="shared" si="177"/>
        <v>KIỆN 14</v>
      </c>
      <c r="V831" t="str">
        <f t="shared" si="190"/>
        <v/>
      </c>
      <c r="W831" s="266"/>
      <c r="X831" s="266"/>
      <c r="Y831" s="266" t="str">
        <f t="shared" si="182"/>
        <v/>
      </c>
      <c r="Z831" s="266"/>
    </row>
    <row r="832" spans="1:26" ht="27" hidden="1" customHeight="1">
      <c r="A832" s="70" t="str">
        <f t="shared" si="178"/>
        <v/>
      </c>
      <c r="B832" s="70" t="str">
        <f t="shared" si="179"/>
        <v/>
      </c>
      <c r="C832" s="204" t="str" cm="1">
        <f t="array" ref="C832">IF(D832="","",
    IF(AND(ISNUMBER(D832), D832=INT(D832)),
        $V$6 &amp; " " &amp; (IFERROR(MAX($Y$12:$Y831), 0) + 1),
        IF(ISNUMBER(SEARCH(".", D832)), "", INDEX($C$12:$C832, MATCH(2, 1/($C$12:$C832 &lt;&gt; ""))))
    )
)</f>
        <v/>
      </c>
      <c r="D832" s="206"/>
      <c r="E832" s="206" t="str">
        <f>IF(AA832 = "", "",
    IF(ISNUMBER(SEARCH("Kiện", C832)),
       " GÓI " &amp; COUNTIF($C$13:C832, "*Kiện*") &amp; "/" &amp; COUNTIF($C$13:$C$1000, "*Kiện*") &amp; " " &amp; AA832,
       AA832)
)</f>
        <v/>
      </c>
      <c r="F832" s="206"/>
      <c r="G832" s="206"/>
      <c r="H832" s="206"/>
      <c r="I832" s="206"/>
      <c r="J832" s="206" t="str">
        <f t="shared" si="181"/>
        <v/>
      </c>
      <c r="K832" s="206" t="str">
        <f t="shared" si="183"/>
        <v/>
      </c>
      <c r="L832" s="206" t="str">
        <f t="shared" si="184"/>
        <v/>
      </c>
      <c r="M832" s="206" t="str">
        <f t="shared" si="185"/>
        <v/>
      </c>
      <c r="N832" s="206" t="str">
        <f t="shared" si="186"/>
        <v/>
      </c>
      <c r="O832" s="206" t="str">
        <f t="shared" si="187"/>
        <v/>
      </c>
      <c r="P832" s="84" t="str">
        <f t="shared" si="188"/>
        <v/>
      </c>
      <c r="Q832" s="205"/>
      <c r="R832" s="70" t="str">
        <f>IF(S832="IN",'BOM_Phan II'!$Y$3,"")</f>
        <v/>
      </c>
      <c r="S832" s="69" t="str">
        <f t="shared" si="180"/>
        <v/>
      </c>
      <c r="T832">
        <f t="shared" si="189"/>
        <v>3</v>
      </c>
      <c r="U832" t="str">
        <f t="shared" si="177"/>
        <v>KIỆN 14</v>
      </c>
      <c r="V832" t="str">
        <f t="shared" si="190"/>
        <v/>
      </c>
      <c r="W832" s="266"/>
      <c r="X832" s="266"/>
      <c r="Y832" s="266" t="str">
        <f t="shared" si="182"/>
        <v/>
      </c>
      <c r="Z832" s="266"/>
    </row>
    <row r="833" spans="1:26" ht="27" hidden="1" customHeight="1">
      <c r="A833" s="70" t="str">
        <f t="shared" si="178"/>
        <v/>
      </c>
      <c r="B833" s="70" t="str">
        <f t="shared" si="179"/>
        <v/>
      </c>
      <c r="C833" s="204" t="str" cm="1">
        <f t="array" ref="C833">IF(D833="","",
    IF(AND(ISNUMBER(D833), D833=INT(D833)),
        $V$6 &amp; " " &amp; (IFERROR(MAX($Y$12:$Y832), 0) + 1),
        IF(ISNUMBER(SEARCH(".", D833)), "", INDEX($C$12:$C833, MATCH(2, 1/($C$12:$C833 &lt;&gt; ""))))
    )
)</f>
        <v/>
      </c>
      <c r="D833" s="206"/>
      <c r="E833" s="206" t="str">
        <f>IF(AA833 = "", "",
    IF(ISNUMBER(SEARCH("Kiện", C833)),
       " GÓI " &amp; COUNTIF($C$13:C833, "*Kiện*") &amp; "/" &amp; COUNTIF($C$13:$C$1000, "*Kiện*") &amp; " " &amp; AA833,
       AA833)
)</f>
        <v/>
      </c>
      <c r="F833" s="206"/>
      <c r="G833" s="206"/>
      <c r="H833" s="206"/>
      <c r="I833" s="206"/>
      <c r="J833" s="206" t="str">
        <f t="shared" si="181"/>
        <v/>
      </c>
      <c r="K833" s="206" t="str">
        <f t="shared" si="183"/>
        <v/>
      </c>
      <c r="L833" s="206" t="str">
        <f t="shared" si="184"/>
        <v/>
      </c>
      <c r="M833" s="206" t="str">
        <f t="shared" si="185"/>
        <v/>
      </c>
      <c r="N833" s="206" t="str">
        <f t="shared" si="186"/>
        <v/>
      </c>
      <c r="O833" s="206" t="str">
        <f t="shared" si="187"/>
        <v/>
      </c>
      <c r="P833" s="84" t="str">
        <f t="shared" si="188"/>
        <v/>
      </c>
      <c r="Q833" s="205"/>
      <c r="R833" s="70" t="str">
        <f>IF(S833="IN",'BOM_Phan II'!$Y$3,"")</f>
        <v/>
      </c>
      <c r="S833" s="69" t="str">
        <f t="shared" si="180"/>
        <v/>
      </c>
      <c r="T833">
        <f t="shared" si="189"/>
        <v>3</v>
      </c>
      <c r="U833" t="str">
        <f t="shared" si="177"/>
        <v>KIỆN 14</v>
      </c>
      <c r="V833" t="str">
        <f t="shared" si="190"/>
        <v/>
      </c>
      <c r="W833" s="266"/>
      <c r="X833" s="266"/>
      <c r="Y833" s="266" t="str">
        <f t="shared" si="182"/>
        <v/>
      </c>
      <c r="Z833" s="266"/>
    </row>
    <row r="834" spans="1:26" ht="27" hidden="1" customHeight="1">
      <c r="A834" s="70" t="str">
        <f t="shared" si="178"/>
        <v/>
      </c>
      <c r="B834" s="70" t="str">
        <f t="shared" si="179"/>
        <v/>
      </c>
      <c r="C834" s="204" t="str" cm="1">
        <f t="array" ref="C834">IF(D834="","",
    IF(AND(ISNUMBER(D834), D834=INT(D834)),
        $V$6 &amp; " " &amp; (IFERROR(MAX($Y$12:$Y833), 0) + 1),
        IF(ISNUMBER(SEARCH(".", D834)), "", INDEX($C$12:$C834, MATCH(2, 1/($C$12:$C834 &lt;&gt; ""))))
    )
)</f>
        <v/>
      </c>
      <c r="D834" s="206"/>
      <c r="E834" s="206" t="str">
        <f>IF(AA834 = "", "",
    IF(ISNUMBER(SEARCH("Kiện", C834)),
       " GÓI " &amp; COUNTIF($C$13:C834, "*Kiện*") &amp; "/" &amp; COUNTIF($C$13:$C$1000, "*Kiện*") &amp; " " &amp; AA834,
       AA834)
)</f>
        <v/>
      </c>
      <c r="F834" s="206"/>
      <c r="G834" s="206"/>
      <c r="H834" s="206"/>
      <c r="I834" s="206"/>
      <c r="J834" s="206" t="str">
        <f t="shared" si="181"/>
        <v/>
      </c>
      <c r="K834" s="206" t="str">
        <f t="shared" si="183"/>
        <v/>
      </c>
      <c r="L834" s="206" t="str">
        <f t="shared" si="184"/>
        <v/>
      </c>
      <c r="M834" s="206" t="str">
        <f t="shared" si="185"/>
        <v/>
      </c>
      <c r="N834" s="206" t="str">
        <f t="shared" si="186"/>
        <v/>
      </c>
      <c r="O834" s="206" t="str">
        <f t="shared" si="187"/>
        <v/>
      </c>
      <c r="P834" s="84" t="str">
        <f t="shared" si="188"/>
        <v/>
      </c>
      <c r="Q834" s="205"/>
      <c r="R834" s="70" t="str">
        <f>IF(S834="IN",'BOM_Phan II'!$Y$3,"")</f>
        <v/>
      </c>
      <c r="S834" s="69" t="str">
        <f t="shared" si="180"/>
        <v/>
      </c>
      <c r="T834">
        <f t="shared" si="189"/>
        <v>3</v>
      </c>
      <c r="U834" t="str">
        <f t="shared" si="177"/>
        <v>KIỆN 14</v>
      </c>
      <c r="V834" t="str">
        <f t="shared" si="190"/>
        <v/>
      </c>
      <c r="W834" s="266"/>
      <c r="X834" s="266"/>
      <c r="Y834" s="266" t="str">
        <f t="shared" si="182"/>
        <v/>
      </c>
      <c r="Z834" s="266"/>
    </row>
    <row r="835" spans="1:26" ht="27" hidden="1" customHeight="1">
      <c r="A835" s="70" t="str">
        <f t="shared" si="178"/>
        <v/>
      </c>
      <c r="B835" s="70" t="str">
        <f t="shared" si="179"/>
        <v/>
      </c>
      <c r="C835" s="204" t="str" cm="1">
        <f t="array" ref="C835">IF(D835="","",
    IF(AND(ISNUMBER(D835), D835=INT(D835)),
        $V$6 &amp; " " &amp; (IFERROR(MAX($Y$12:$Y834), 0) + 1),
        IF(ISNUMBER(SEARCH(".", D835)), "", INDEX($C$12:$C835, MATCH(2, 1/($C$12:$C835 &lt;&gt; ""))))
    )
)</f>
        <v/>
      </c>
      <c r="D835" s="206"/>
      <c r="E835" s="206" t="str">
        <f>IF(AA835 = "", "",
    IF(ISNUMBER(SEARCH("Kiện", C835)),
       " GÓI " &amp; COUNTIF($C$13:C835, "*Kiện*") &amp; "/" &amp; COUNTIF($C$13:$C$1000, "*Kiện*") &amp; " " &amp; AA835,
       AA835)
)</f>
        <v/>
      </c>
      <c r="F835" s="206"/>
      <c r="G835" s="206"/>
      <c r="H835" s="206"/>
      <c r="I835" s="206"/>
      <c r="J835" s="206" t="str">
        <f t="shared" si="181"/>
        <v/>
      </c>
      <c r="K835" s="206" t="str">
        <f t="shared" si="183"/>
        <v/>
      </c>
      <c r="L835" s="206" t="str">
        <f t="shared" si="184"/>
        <v/>
      </c>
      <c r="M835" s="206" t="str">
        <f t="shared" si="185"/>
        <v/>
      </c>
      <c r="N835" s="206" t="str">
        <f t="shared" si="186"/>
        <v/>
      </c>
      <c r="O835" s="206" t="str">
        <f t="shared" si="187"/>
        <v/>
      </c>
      <c r="P835" s="84" t="str">
        <f t="shared" si="188"/>
        <v/>
      </c>
      <c r="Q835" s="205"/>
      <c r="R835" s="70" t="str">
        <f>IF(S835="IN",'BOM_Phan II'!$Y$3,"")</f>
        <v/>
      </c>
      <c r="S835" s="69" t="str">
        <f t="shared" si="180"/>
        <v/>
      </c>
      <c r="T835">
        <f t="shared" si="189"/>
        <v>3</v>
      </c>
      <c r="U835" t="str">
        <f t="shared" ref="U835:U898" si="191">IF(C835="",U834,C835)</f>
        <v>KIỆN 14</v>
      </c>
      <c r="V835" t="str">
        <f t="shared" si="190"/>
        <v/>
      </c>
      <c r="W835" s="266"/>
      <c r="X835" s="266"/>
      <c r="Y835" s="266" t="str">
        <f t="shared" si="182"/>
        <v/>
      </c>
      <c r="Z835" s="266"/>
    </row>
    <row r="836" spans="1:26" ht="27" hidden="1" customHeight="1">
      <c r="A836" s="70" t="str">
        <f t="shared" si="178"/>
        <v/>
      </c>
      <c r="B836" s="70" t="str">
        <f t="shared" si="179"/>
        <v/>
      </c>
      <c r="C836" s="204" t="str" cm="1">
        <f t="array" ref="C836">IF(D836="","",
    IF(AND(ISNUMBER(D836), D836=INT(D836)),
        $V$6 &amp; " " &amp; (IFERROR(MAX($Y$12:$Y835), 0) + 1),
        IF(ISNUMBER(SEARCH(".", D836)), "", INDEX($C$12:$C836, MATCH(2, 1/($C$12:$C836 &lt;&gt; ""))))
    )
)</f>
        <v/>
      </c>
      <c r="D836" s="206"/>
      <c r="E836" s="206" t="str">
        <f>IF(AA836 = "", "",
    IF(ISNUMBER(SEARCH("Kiện", C836)),
       " GÓI " &amp; COUNTIF($C$13:C836, "*Kiện*") &amp; "/" &amp; COUNTIF($C$13:$C$1000, "*Kiện*") &amp; " " &amp; AA836,
       AA836)
)</f>
        <v/>
      </c>
      <c r="F836" s="206"/>
      <c r="G836" s="206"/>
      <c r="H836" s="206"/>
      <c r="I836" s="206"/>
      <c r="J836" s="206" t="str">
        <f t="shared" si="181"/>
        <v/>
      </c>
      <c r="K836" s="206" t="str">
        <f t="shared" si="183"/>
        <v/>
      </c>
      <c r="L836" s="206" t="str">
        <f t="shared" si="184"/>
        <v/>
      </c>
      <c r="M836" s="206" t="str">
        <f t="shared" si="185"/>
        <v/>
      </c>
      <c r="N836" s="206" t="str">
        <f t="shared" si="186"/>
        <v/>
      </c>
      <c r="O836" s="206" t="str">
        <f t="shared" si="187"/>
        <v/>
      </c>
      <c r="P836" s="84" t="str">
        <f t="shared" si="188"/>
        <v/>
      </c>
      <c r="Q836" s="205"/>
      <c r="R836" s="70" t="str">
        <f>IF(S836="IN",'BOM_Phan II'!$Y$3,"")</f>
        <v/>
      </c>
      <c r="S836" s="69" t="str">
        <f t="shared" si="180"/>
        <v/>
      </c>
      <c r="T836">
        <f t="shared" si="189"/>
        <v>3</v>
      </c>
      <c r="U836" t="str">
        <f t="shared" si="191"/>
        <v>KIỆN 14</v>
      </c>
      <c r="V836" t="str">
        <f t="shared" si="190"/>
        <v/>
      </c>
      <c r="W836" s="266"/>
      <c r="X836" s="266"/>
      <c r="Y836" s="266" t="str">
        <f t="shared" si="182"/>
        <v/>
      </c>
      <c r="Z836" s="266"/>
    </row>
    <row r="837" spans="1:26" ht="27" hidden="1" customHeight="1">
      <c r="A837" s="70" t="str">
        <f t="shared" si="178"/>
        <v/>
      </c>
      <c r="B837" s="70" t="str">
        <f t="shared" si="179"/>
        <v/>
      </c>
      <c r="C837" s="204" t="str" cm="1">
        <f t="array" ref="C837">IF(D837="","",
    IF(AND(ISNUMBER(D837), D837=INT(D837)),
        $V$6 &amp; " " &amp; (IFERROR(MAX($Y$12:$Y836), 0) + 1),
        IF(ISNUMBER(SEARCH(".", D837)), "", INDEX($C$12:$C837, MATCH(2, 1/($C$12:$C837 &lt;&gt; ""))))
    )
)</f>
        <v/>
      </c>
      <c r="D837" s="206"/>
      <c r="E837" s="206" t="str">
        <f>IF(AA837 = "", "",
    IF(ISNUMBER(SEARCH("Kiện", C837)),
       " GÓI " &amp; COUNTIF($C$13:C837, "*Kiện*") &amp; "/" &amp; COUNTIF($C$13:$C$1000, "*Kiện*") &amp; " " &amp; AA837,
       AA837)
)</f>
        <v/>
      </c>
      <c r="F837" s="206"/>
      <c r="G837" s="206"/>
      <c r="H837" s="206"/>
      <c r="I837" s="206"/>
      <c r="J837" s="206" t="str">
        <f t="shared" si="181"/>
        <v/>
      </c>
      <c r="K837" s="206" t="str">
        <f t="shared" si="183"/>
        <v/>
      </c>
      <c r="L837" s="206" t="str">
        <f t="shared" si="184"/>
        <v/>
      </c>
      <c r="M837" s="206" t="str">
        <f t="shared" si="185"/>
        <v/>
      </c>
      <c r="N837" s="206" t="str">
        <f t="shared" si="186"/>
        <v/>
      </c>
      <c r="O837" s="206" t="str">
        <f t="shared" si="187"/>
        <v/>
      </c>
      <c r="P837" s="84" t="str">
        <f t="shared" si="188"/>
        <v/>
      </c>
      <c r="Q837" s="205"/>
      <c r="R837" s="70" t="str">
        <f>IF(S837="IN",'BOM_Phan II'!$Y$3,"")</f>
        <v/>
      </c>
      <c r="S837" s="69" t="str">
        <f t="shared" si="180"/>
        <v/>
      </c>
      <c r="T837">
        <f t="shared" si="189"/>
        <v>3</v>
      </c>
      <c r="U837" t="str">
        <f t="shared" si="191"/>
        <v>KIỆN 14</v>
      </c>
      <c r="V837" t="str">
        <f t="shared" si="190"/>
        <v/>
      </c>
      <c r="W837" s="266"/>
      <c r="X837" s="266"/>
      <c r="Y837" s="266" t="str">
        <f t="shared" si="182"/>
        <v/>
      </c>
      <c r="Z837" s="266"/>
    </row>
    <row r="838" spans="1:26" ht="27" hidden="1" customHeight="1">
      <c r="A838" s="70" t="str">
        <f t="shared" si="178"/>
        <v/>
      </c>
      <c r="B838" s="70" t="str">
        <f t="shared" si="179"/>
        <v/>
      </c>
      <c r="C838" s="204" t="str" cm="1">
        <f t="array" ref="C838">IF(D838="","",
    IF(AND(ISNUMBER(D838), D838=INT(D838)),
        $V$6 &amp; " " &amp; (IFERROR(MAX($Y$12:$Y837), 0) + 1),
        IF(ISNUMBER(SEARCH(".", D838)), "", INDEX($C$12:$C838, MATCH(2, 1/($C$12:$C838 &lt;&gt; ""))))
    )
)</f>
        <v/>
      </c>
      <c r="D838" s="206"/>
      <c r="E838" s="206" t="str">
        <f>IF(AA838 = "", "",
    IF(ISNUMBER(SEARCH("Kiện", C838)),
       " GÓI " &amp; COUNTIF($C$13:C838, "*Kiện*") &amp; "/" &amp; COUNTIF($C$13:$C$1000, "*Kiện*") &amp; " " &amp; AA838,
       AA838)
)</f>
        <v/>
      </c>
      <c r="F838" s="206"/>
      <c r="G838" s="206"/>
      <c r="H838" s="206"/>
      <c r="I838" s="206"/>
      <c r="J838" s="206" t="str">
        <f t="shared" si="181"/>
        <v/>
      </c>
      <c r="K838" s="206" t="str">
        <f t="shared" si="183"/>
        <v/>
      </c>
      <c r="L838" s="206" t="str">
        <f t="shared" si="184"/>
        <v/>
      </c>
      <c r="M838" s="206" t="str">
        <f t="shared" si="185"/>
        <v/>
      </c>
      <c r="N838" s="206" t="str">
        <f t="shared" si="186"/>
        <v/>
      </c>
      <c r="O838" s="206" t="str">
        <f t="shared" si="187"/>
        <v/>
      </c>
      <c r="P838" s="84" t="str">
        <f t="shared" si="188"/>
        <v/>
      </c>
      <c r="Q838" s="205"/>
      <c r="R838" s="70" t="str">
        <f>IF(S838="IN",'BOM_Phan II'!$Y$3,"")</f>
        <v/>
      </c>
      <c r="S838" s="69" t="str">
        <f t="shared" si="180"/>
        <v/>
      </c>
      <c r="T838">
        <f t="shared" si="189"/>
        <v>3</v>
      </c>
      <c r="U838" t="str">
        <f t="shared" si="191"/>
        <v>KIỆN 14</v>
      </c>
      <c r="V838" t="str">
        <f t="shared" si="190"/>
        <v/>
      </c>
      <c r="W838" s="266"/>
      <c r="X838" s="266"/>
      <c r="Y838" s="266" t="str">
        <f t="shared" si="182"/>
        <v/>
      </c>
      <c r="Z838" s="266"/>
    </row>
    <row r="839" spans="1:26" ht="27" hidden="1" customHeight="1">
      <c r="A839" s="70" t="str">
        <f t="shared" si="178"/>
        <v/>
      </c>
      <c r="B839" s="70" t="str">
        <f t="shared" si="179"/>
        <v/>
      </c>
      <c r="C839" s="204" t="str" cm="1">
        <f t="array" ref="C839">IF(D839="","",
    IF(AND(ISNUMBER(D839), D839=INT(D839)),
        $V$6 &amp; " " &amp; (IFERROR(MAX($Y$12:$Y838), 0) + 1),
        IF(ISNUMBER(SEARCH(".", D839)), "", INDEX($C$12:$C839, MATCH(2, 1/($C$12:$C839 &lt;&gt; ""))))
    )
)</f>
        <v/>
      </c>
      <c r="D839" s="206"/>
      <c r="E839" s="206" t="str">
        <f>IF(AA839 = "", "",
    IF(ISNUMBER(SEARCH("Kiện", C839)),
       " GÓI " &amp; COUNTIF($C$13:C839, "*Kiện*") &amp; "/" &amp; COUNTIF($C$13:$C$1000, "*Kiện*") &amp; " " &amp; AA839,
       AA839)
)</f>
        <v/>
      </c>
      <c r="F839" s="206"/>
      <c r="G839" s="206"/>
      <c r="H839" s="206"/>
      <c r="I839" s="206"/>
      <c r="J839" s="206" t="str">
        <f t="shared" si="181"/>
        <v/>
      </c>
      <c r="K839" s="206" t="str">
        <f t="shared" si="183"/>
        <v/>
      </c>
      <c r="L839" s="206" t="str">
        <f t="shared" si="184"/>
        <v/>
      </c>
      <c r="M839" s="206" t="str">
        <f t="shared" si="185"/>
        <v/>
      </c>
      <c r="N839" s="206" t="str">
        <f t="shared" si="186"/>
        <v/>
      </c>
      <c r="O839" s="206" t="str">
        <f t="shared" si="187"/>
        <v/>
      </c>
      <c r="P839" s="84" t="str">
        <f t="shared" si="188"/>
        <v/>
      </c>
      <c r="Q839" s="205"/>
      <c r="R839" s="70" t="str">
        <f>IF(S839="IN",'BOM_Phan II'!$Y$3,"")</f>
        <v/>
      </c>
      <c r="S839" s="69" t="str">
        <f t="shared" si="180"/>
        <v/>
      </c>
      <c r="T839">
        <f t="shared" si="189"/>
        <v>3</v>
      </c>
      <c r="U839" t="str">
        <f t="shared" si="191"/>
        <v>KIỆN 14</v>
      </c>
      <c r="V839" t="str">
        <f t="shared" si="190"/>
        <v/>
      </c>
      <c r="W839" s="266"/>
      <c r="X839" s="266"/>
      <c r="Y839" s="266" t="str">
        <f t="shared" si="182"/>
        <v/>
      </c>
      <c r="Z839" s="266"/>
    </row>
    <row r="840" spans="1:26" ht="27" hidden="1" customHeight="1">
      <c r="A840" s="70" t="str">
        <f t="shared" si="178"/>
        <v/>
      </c>
      <c r="B840" s="70" t="str">
        <f t="shared" si="179"/>
        <v/>
      </c>
      <c r="C840" s="204" t="str" cm="1">
        <f t="array" ref="C840">IF(D840="","",
    IF(AND(ISNUMBER(D840), D840=INT(D840)),
        $V$6 &amp; " " &amp; (IFERROR(MAX($Y$12:$Y839), 0) + 1),
        IF(ISNUMBER(SEARCH(".", D840)), "", INDEX($C$12:$C840, MATCH(2, 1/($C$12:$C840 &lt;&gt; ""))))
    )
)</f>
        <v/>
      </c>
      <c r="D840" s="206"/>
      <c r="E840" s="206" t="str">
        <f>IF(AA840 = "", "",
    IF(ISNUMBER(SEARCH("Kiện", C840)),
       " GÓI " &amp; COUNTIF($C$13:C840, "*Kiện*") &amp; "/" &amp; COUNTIF($C$13:$C$1000, "*Kiện*") &amp; " " &amp; AA840,
       AA840)
)</f>
        <v/>
      </c>
      <c r="F840" s="206"/>
      <c r="G840" s="206"/>
      <c r="H840" s="206"/>
      <c r="I840" s="206"/>
      <c r="J840" s="206" t="str">
        <f t="shared" si="181"/>
        <v/>
      </c>
      <c r="K840" s="206" t="str">
        <f t="shared" si="183"/>
        <v/>
      </c>
      <c r="L840" s="206" t="str">
        <f t="shared" si="184"/>
        <v/>
      </c>
      <c r="M840" s="206" t="str">
        <f t="shared" si="185"/>
        <v/>
      </c>
      <c r="N840" s="206" t="str">
        <f t="shared" si="186"/>
        <v/>
      </c>
      <c r="O840" s="206" t="str">
        <f t="shared" si="187"/>
        <v/>
      </c>
      <c r="P840" s="84" t="str">
        <f t="shared" si="188"/>
        <v/>
      </c>
      <c r="Q840" s="205"/>
      <c r="R840" s="70" t="str">
        <f>IF(S840="IN",'BOM_Phan II'!$Y$3,"")</f>
        <v/>
      </c>
      <c r="S840" s="69" t="str">
        <f t="shared" si="180"/>
        <v/>
      </c>
      <c r="T840">
        <f t="shared" si="189"/>
        <v>3</v>
      </c>
      <c r="U840" t="str">
        <f t="shared" si="191"/>
        <v>KIỆN 14</v>
      </c>
      <c r="V840" t="str">
        <f t="shared" si="190"/>
        <v/>
      </c>
      <c r="W840" s="266"/>
      <c r="X840" s="266"/>
      <c r="Y840" s="266" t="str">
        <f t="shared" si="182"/>
        <v/>
      </c>
      <c r="Z840" s="266"/>
    </row>
    <row r="841" spans="1:26" ht="27" hidden="1" customHeight="1">
      <c r="A841" s="70" t="str">
        <f t="shared" si="178"/>
        <v/>
      </c>
      <c r="B841" s="70" t="str">
        <f t="shared" si="179"/>
        <v/>
      </c>
      <c r="C841" s="204" t="str" cm="1">
        <f t="array" ref="C841">IF(D841="","",
    IF(AND(ISNUMBER(D841), D841=INT(D841)),
        $V$6 &amp; " " &amp; (IFERROR(MAX($Y$12:$Y840), 0) + 1),
        IF(ISNUMBER(SEARCH(".", D841)), "", INDEX($C$12:$C841, MATCH(2, 1/($C$12:$C841 &lt;&gt; ""))))
    )
)</f>
        <v/>
      </c>
      <c r="D841" s="206"/>
      <c r="E841" s="206" t="str">
        <f>IF(AA841 = "", "",
    IF(ISNUMBER(SEARCH("Kiện", C841)),
       " GÓI " &amp; COUNTIF($C$13:C841, "*Kiện*") &amp; "/" &amp; COUNTIF($C$13:$C$1000, "*Kiện*") &amp; " " &amp; AA841,
       AA841)
)</f>
        <v/>
      </c>
      <c r="F841" s="206"/>
      <c r="G841" s="206"/>
      <c r="H841" s="206"/>
      <c r="I841" s="206"/>
      <c r="J841" s="206" t="str">
        <f t="shared" si="181"/>
        <v/>
      </c>
      <c r="K841" s="206" t="str">
        <f t="shared" si="183"/>
        <v/>
      </c>
      <c r="L841" s="206" t="str">
        <f t="shared" si="184"/>
        <v/>
      </c>
      <c r="M841" s="206" t="str">
        <f t="shared" si="185"/>
        <v/>
      </c>
      <c r="N841" s="206" t="str">
        <f t="shared" si="186"/>
        <v/>
      </c>
      <c r="O841" s="206" t="str">
        <f t="shared" si="187"/>
        <v/>
      </c>
      <c r="P841" s="84" t="str">
        <f t="shared" si="188"/>
        <v/>
      </c>
      <c r="Q841" s="205"/>
      <c r="R841" s="70" t="str">
        <f>IF(S841="IN",'BOM_Phan II'!$Y$3,"")</f>
        <v/>
      </c>
      <c r="S841" s="69" t="str">
        <f t="shared" si="180"/>
        <v/>
      </c>
      <c r="T841">
        <f t="shared" si="189"/>
        <v>3</v>
      </c>
      <c r="U841" t="str">
        <f t="shared" si="191"/>
        <v>KIỆN 14</v>
      </c>
      <c r="V841" t="str">
        <f t="shared" si="190"/>
        <v/>
      </c>
      <c r="W841" s="266"/>
      <c r="X841" s="266"/>
      <c r="Y841" s="266" t="str">
        <f t="shared" si="182"/>
        <v/>
      </c>
      <c r="Z841" s="266"/>
    </row>
    <row r="842" spans="1:26" ht="27" hidden="1" customHeight="1">
      <c r="A842" s="70" t="str">
        <f t="shared" si="178"/>
        <v/>
      </c>
      <c r="B842" s="70" t="str">
        <f t="shared" si="179"/>
        <v/>
      </c>
      <c r="C842" s="204" t="str" cm="1">
        <f t="array" ref="C842">IF(D842="","",
    IF(AND(ISNUMBER(D842), D842=INT(D842)),
        $V$6 &amp; " " &amp; (IFERROR(MAX($Y$12:$Y841), 0) + 1),
        IF(ISNUMBER(SEARCH(".", D842)), "", INDEX($C$12:$C842, MATCH(2, 1/($C$12:$C842 &lt;&gt; ""))))
    )
)</f>
        <v/>
      </c>
      <c r="D842" s="206"/>
      <c r="E842" s="206" t="str">
        <f>IF(AA842 = "", "",
    IF(ISNUMBER(SEARCH("Kiện", C842)),
       " GÓI " &amp; COUNTIF($C$13:C842, "*Kiện*") &amp; "/" &amp; COUNTIF($C$13:$C$1000, "*Kiện*") &amp; " " &amp; AA842,
       AA842)
)</f>
        <v/>
      </c>
      <c r="F842" s="206"/>
      <c r="G842" s="206"/>
      <c r="H842" s="206"/>
      <c r="I842" s="206"/>
      <c r="J842" s="206" t="str">
        <f t="shared" si="181"/>
        <v/>
      </c>
      <c r="K842" s="206" t="str">
        <f t="shared" si="183"/>
        <v/>
      </c>
      <c r="L842" s="206" t="str">
        <f t="shared" si="184"/>
        <v/>
      </c>
      <c r="M842" s="206" t="str">
        <f t="shared" si="185"/>
        <v/>
      </c>
      <c r="N842" s="206" t="str">
        <f t="shared" si="186"/>
        <v/>
      </c>
      <c r="O842" s="206" t="str">
        <f t="shared" si="187"/>
        <v/>
      </c>
      <c r="P842" s="84" t="str">
        <f t="shared" si="188"/>
        <v/>
      </c>
      <c r="Q842" s="205"/>
      <c r="R842" s="70" t="str">
        <f>IF(S842="IN",'BOM_Phan II'!$Y$3,"")</f>
        <v/>
      </c>
      <c r="S842" s="69" t="str">
        <f t="shared" si="180"/>
        <v/>
      </c>
      <c r="T842">
        <f t="shared" si="189"/>
        <v>3</v>
      </c>
      <c r="U842" t="str">
        <f t="shared" si="191"/>
        <v>KIỆN 14</v>
      </c>
      <c r="V842" t="str">
        <f t="shared" si="190"/>
        <v/>
      </c>
      <c r="W842" s="266"/>
      <c r="X842" s="266"/>
      <c r="Y842" s="266" t="str">
        <f t="shared" si="182"/>
        <v/>
      </c>
      <c r="Z842" s="266"/>
    </row>
    <row r="843" spans="1:26" ht="27" hidden="1" customHeight="1">
      <c r="A843" s="70" t="str">
        <f t="shared" si="178"/>
        <v/>
      </c>
      <c r="B843" s="70" t="str">
        <f t="shared" si="179"/>
        <v/>
      </c>
      <c r="C843" s="204" t="str" cm="1">
        <f t="array" ref="C843">IF(D843="","",
    IF(AND(ISNUMBER(D843), D843=INT(D843)),
        $V$6 &amp; " " &amp; (IFERROR(MAX($Y$12:$Y842), 0) + 1),
        IF(ISNUMBER(SEARCH(".", D843)), "", INDEX($C$12:$C843, MATCH(2, 1/($C$12:$C843 &lt;&gt; ""))))
    )
)</f>
        <v/>
      </c>
      <c r="D843" s="206"/>
      <c r="E843" s="206" t="str">
        <f>IF(AA843 = "", "",
    IF(ISNUMBER(SEARCH("Kiện", C843)),
       " GÓI " &amp; COUNTIF($C$13:C843, "*Kiện*") &amp; "/" &amp; COUNTIF($C$13:$C$1000, "*Kiện*") &amp; " " &amp; AA843,
       AA843)
)</f>
        <v/>
      </c>
      <c r="F843" s="206"/>
      <c r="G843" s="206"/>
      <c r="H843" s="206"/>
      <c r="I843" s="206"/>
      <c r="J843" s="206" t="str">
        <f t="shared" si="181"/>
        <v/>
      </c>
      <c r="K843" s="206" t="str">
        <f t="shared" si="183"/>
        <v/>
      </c>
      <c r="L843" s="206" t="str">
        <f t="shared" si="184"/>
        <v/>
      </c>
      <c r="M843" s="206" t="str">
        <f t="shared" si="185"/>
        <v/>
      </c>
      <c r="N843" s="206" t="str">
        <f t="shared" si="186"/>
        <v/>
      </c>
      <c r="O843" s="206" t="str">
        <f t="shared" si="187"/>
        <v/>
      </c>
      <c r="P843" s="84" t="str">
        <f t="shared" si="188"/>
        <v/>
      </c>
      <c r="Q843" s="205"/>
      <c r="R843" s="70" t="str">
        <f>IF(S843="IN",'BOM_Phan II'!$Y$3,"")</f>
        <v/>
      </c>
      <c r="S843" s="69" t="str">
        <f t="shared" si="180"/>
        <v/>
      </c>
      <c r="T843">
        <f t="shared" si="189"/>
        <v>3</v>
      </c>
      <c r="U843" t="str">
        <f t="shared" si="191"/>
        <v>KIỆN 14</v>
      </c>
      <c r="V843" t="str">
        <f t="shared" si="190"/>
        <v/>
      </c>
      <c r="W843" s="266"/>
      <c r="X843" s="266"/>
      <c r="Y843" s="266" t="str">
        <f t="shared" si="182"/>
        <v/>
      </c>
      <c r="Z843" s="266"/>
    </row>
    <row r="844" spans="1:26" ht="27" hidden="1" customHeight="1">
      <c r="A844" s="70" t="str">
        <f t="shared" ref="A844:A907" si="192">IF(S844="IN",$E$6,"")</f>
        <v/>
      </c>
      <c r="B844" s="70" t="str">
        <f t="shared" ref="B844:B907" si="193">IF(S844="IN","Muc "&amp;$E$7,"")</f>
        <v/>
      </c>
      <c r="C844" s="204" t="str" cm="1">
        <f t="array" ref="C844">IF(D844="","",
    IF(AND(ISNUMBER(D844), D844=INT(D844)),
        $V$6 &amp; " " &amp; (IFERROR(MAX($Y$12:$Y843), 0) + 1),
        IF(ISNUMBER(SEARCH(".", D844)), "", INDEX($C$12:$C844, MATCH(2, 1/($C$12:$C844 &lt;&gt; ""))))
    )
)</f>
        <v/>
      </c>
      <c r="D844" s="206"/>
      <c r="E844" s="206" t="str">
        <f>IF(AA844 = "", "",
    IF(ISNUMBER(SEARCH("Kiện", C844)),
       " GÓI " &amp; COUNTIF($C$13:C844, "*Kiện*") &amp; "/" &amp; COUNTIF($C$13:$C$1000, "*Kiện*") &amp; " " &amp; AA844,
       AA844)
)</f>
        <v/>
      </c>
      <c r="F844" s="206"/>
      <c r="G844" s="206"/>
      <c r="H844" s="206"/>
      <c r="I844" s="206"/>
      <c r="J844" s="206" t="str">
        <f t="shared" si="181"/>
        <v/>
      </c>
      <c r="K844" s="206" t="str">
        <f t="shared" si="183"/>
        <v/>
      </c>
      <c r="L844" s="206" t="str">
        <f t="shared" si="184"/>
        <v/>
      </c>
      <c r="M844" s="206" t="str">
        <f t="shared" si="185"/>
        <v/>
      </c>
      <c r="N844" s="206" t="str">
        <f t="shared" si="186"/>
        <v/>
      </c>
      <c r="O844" s="206" t="str">
        <f t="shared" si="187"/>
        <v/>
      </c>
      <c r="P844" s="84" t="str">
        <f t="shared" si="188"/>
        <v/>
      </c>
      <c r="Q844" s="205"/>
      <c r="R844" s="70" t="str">
        <f>IF(S844="IN",'BOM_Phan II'!$Y$3,"")</f>
        <v/>
      </c>
      <c r="S844" s="69" t="str">
        <f t="shared" ref="S844:S907" si="194">IF(OR(E844&lt;&gt;"",D844&lt;&gt;""),"IN","")</f>
        <v/>
      </c>
      <c r="T844">
        <f t="shared" si="189"/>
        <v>3</v>
      </c>
      <c r="U844" t="str">
        <f t="shared" si="191"/>
        <v>KIỆN 14</v>
      </c>
      <c r="V844" t="str">
        <f t="shared" si="190"/>
        <v/>
      </c>
      <c r="W844" s="266"/>
      <c r="X844" s="266"/>
      <c r="Y844" s="266" t="str">
        <f t="shared" si="182"/>
        <v/>
      </c>
      <c r="Z844" s="266"/>
    </row>
    <row r="845" spans="1:26" ht="27" hidden="1" customHeight="1">
      <c r="A845" s="70" t="str">
        <f t="shared" si="192"/>
        <v/>
      </c>
      <c r="B845" s="70" t="str">
        <f t="shared" si="193"/>
        <v/>
      </c>
      <c r="C845" s="204" t="str" cm="1">
        <f t="array" ref="C845">IF(D845="","",
    IF(AND(ISNUMBER(D845), D845=INT(D845)),
        $V$6 &amp; " " &amp; (IFERROR(MAX($Y$12:$Y844), 0) + 1),
        IF(ISNUMBER(SEARCH(".", D845)), "", INDEX($C$12:$C845, MATCH(2, 1/($C$12:$C845 &lt;&gt; ""))))
    )
)</f>
        <v/>
      </c>
      <c r="D845" s="206"/>
      <c r="E845" s="206" t="str">
        <f>IF(AA845 = "", "",
    IF(ISNUMBER(SEARCH("Kiện", C845)),
       " GÓI " &amp; COUNTIF($C$13:C845, "*Kiện*") &amp; "/" &amp; COUNTIF($C$13:$C$1000, "*Kiện*") &amp; " " &amp; AA845,
       AA845)
)</f>
        <v/>
      </c>
      <c r="F845" s="206"/>
      <c r="G845" s="206"/>
      <c r="H845" s="206"/>
      <c r="I845" s="206"/>
      <c r="J845" s="206" t="str">
        <f t="shared" ref="J845:J908" si="195">IF(C845&lt;&gt;"",C845&amp;"_"&amp;$E$6,"")</f>
        <v/>
      </c>
      <c r="K845" s="206" t="str">
        <f t="shared" si="183"/>
        <v/>
      </c>
      <c r="L845" s="206" t="str">
        <f t="shared" si="184"/>
        <v/>
      </c>
      <c r="M845" s="206" t="str">
        <f t="shared" si="185"/>
        <v/>
      </c>
      <c r="N845" s="206" t="str">
        <f t="shared" si="186"/>
        <v/>
      </c>
      <c r="O845" s="206" t="str">
        <f t="shared" si="187"/>
        <v/>
      </c>
      <c r="P845" s="84" t="str">
        <f t="shared" si="188"/>
        <v/>
      </c>
      <c r="Q845" s="205"/>
      <c r="R845" s="70" t="str">
        <f>IF(S845="IN",'BOM_Phan II'!$Y$3,"")</f>
        <v/>
      </c>
      <c r="S845" s="69" t="str">
        <f t="shared" si="194"/>
        <v/>
      </c>
      <c r="T845">
        <f t="shared" si="189"/>
        <v>3</v>
      </c>
      <c r="U845" t="str">
        <f t="shared" si="191"/>
        <v>KIỆN 14</v>
      </c>
      <c r="V845" t="str">
        <f t="shared" si="190"/>
        <v/>
      </c>
      <c r="W845" s="266"/>
      <c r="X845" s="266"/>
      <c r="Y845" s="266" t="str">
        <f t="shared" ref="Y845:Y908" si="196">IFERROR(VALUE(RIGHT(C845,LEN(C845)-5)),"")</f>
        <v/>
      </c>
      <c r="Z845" s="266"/>
    </row>
    <row r="846" spans="1:26" ht="27" hidden="1" customHeight="1">
      <c r="A846" s="70" t="str">
        <f t="shared" si="192"/>
        <v/>
      </c>
      <c r="B846" s="70" t="str">
        <f t="shared" si="193"/>
        <v/>
      </c>
      <c r="C846" s="204" t="str" cm="1">
        <f t="array" ref="C846">IF(D846="","",
    IF(AND(ISNUMBER(D846), D846=INT(D846)),
        $V$6 &amp; " " &amp; (IFERROR(MAX($Y$12:$Y845), 0) + 1),
        IF(ISNUMBER(SEARCH(".", D846)), "", INDEX($C$12:$C846, MATCH(2, 1/($C$12:$C846 &lt;&gt; ""))))
    )
)</f>
        <v/>
      </c>
      <c r="D846" s="206"/>
      <c r="E846" s="206" t="str">
        <f>IF(AA846 = "", "",
    IF(ISNUMBER(SEARCH("Kiện", C846)),
       " GÓI " &amp; COUNTIF($C$13:C846, "*Kiện*") &amp; "/" &amp; COUNTIF($C$13:$C$1000, "*Kiện*") &amp; " " &amp; AA846,
       AA846)
)</f>
        <v/>
      </c>
      <c r="F846" s="206"/>
      <c r="G846" s="206"/>
      <c r="H846" s="206"/>
      <c r="I846" s="206"/>
      <c r="J846" s="206" t="str">
        <f t="shared" si="195"/>
        <v/>
      </c>
      <c r="K846" s="206" t="str">
        <f t="shared" ref="K846:K909" si="197">IFERROR(IF($C846&lt;&gt;"",IF($T$13=1,F846+20,IF($T$13=2,F846+20,IF($T$13=3,F846+50,IF($T$13=4,F846+40,IF($T$13=5,F846+50,IF($T$13=51,F846+50,IF($T$13=6,F846+50,IF($T$13=7,F846+50,"")))))))),""),"")</f>
        <v/>
      </c>
      <c r="L846" s="206" t="str">
        <f t="shared" ref="L846:L909" si="198">IFERROR(IF($C846&lt;&gt;"",IF($T$13=1,G846+20,IF($T$13=2,G846+20,IF($T$13=3,G846+50,IF($T$13=4,G846+40,IF($T$13=5,G846+50,IF($T$13=51,G846+50,IF($T$13=6,G846+50,IF($T$13=7,G846+50,"")))))))),""),"")</f>
        <v/>
      </c>
      <c r="M846" s="206" t="str">
        <f t="shared" ref="M846:M909" si="199">IFERROR(IF($C846&lt;&gt;"",IF($T$13=1,H846+20,IF($T$13=2,H846+20,IF($T$13=3,H846+70,IF($T$13=4,H846+40,IF($T$13=5,H846+50,IF($T$13=51,H846+150,IF($T$13=6,H846+50,IF($T$13=7,H846+50,"")))))))),""),"")</f>
        <v/>
      </c>
      <c r="N846" s="206" t="str">
        <f t="shared" ref="N846:N909" si="200">IF(C846&lt;&gt;"",I846,"")</f>
        <v/>
      </c>
      <c r="O846" s="206" t="str">
        <f t="shared" ref="O846:O909" si="201">IF(C846&lt;&gt;"",$O$13,"")</f>
        <v/>
      </c>
      <c r="P846" s="84" t="str">
        <f t="shared" ref="P846:P909" si="202">IFERROR(IF(C846&lt;&gt;"",SUMIFS($V$13:$V$969,$U$13:$U$969,C846)*$S$6,V846*$S$6),"")</f>
        <v/>
      </c>
      <c r="Q846" s="205"/>
      <c r="R846" s="70" t="str">
        <f>IF(S846="IN",'BOM_Phan II'!$Y$3,"")</f>
        <v/>
      </c>
      <c r="S846" s="69" t="str">
        <f t="shared" si="194"/>
        <v/>
      </c>
      <c r="T846">
        <f t="shared" ref="T846:T909" si="203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3</v>
      </c>
      <c r="U846" t="str">
        <f t="shared" si="191"/>
        <v>KIỆN 14</v>
      </c>
      <c r="V846" t="str">
        <f t="shared" ref="V846:V909" si="204">IFERROR(IF(AND(C846="", OR($W846="1", $W846="2")), IF(I846="", "", F846*G846*H846*I846/10^9), ""), "")</f>
        <v/>
      </c>
      <c r="W846" s="266"/>
      <c r="X846" s="266"/>
      <c r="Y846" s="266" t="str">
        <f t="shared" si="196"/>
        <v/>
      </c>
      <c r="Z846" s="266"/>
    </row>
    <row r="847" spans="1:26" ht="27" hidden="1" customHeight="1">
      <c r="A847" s="70" t="str">
        <f t="shared" si="192"/>
        <v/>
      </c>
      <c r="B847" s="70" t="str">
        <f t="shared" si="193"/>
        <v/>
      </c>
      <c r="C847" s="204" t="str" cm="1">
        <f t="array" ref="C847">IF(D847="","",
    IF(AND(ISNUMBER(D847), D847=INT(D847)),
        $V$6 &amp; " " &amp; (IFERROR(MAX($Y$12:$Y846), 0) + 1),
        IF(ISNUMBER(SEARCH(".", D847)), "", INDEX($C$12:$C847, MATCH(2, 1/($C$12:$C847 &lt;&gt; ""))))
    )
)</f>
        <v/>
      </c>
      <c r="D847" s="206"/>
      <c r="E847" s="206" t="str">
        <f>IF(AA847 = "", "",
    IF(ISNUMBER(SEARCH("Kiện", C847)),
       " GÓI " &amp; COUNTIF($C$13:C847, "*Kiện*") &amp; "/" &amp; COUNTIF($C$13:$C$1000, "*Kiện*") &amp; " " &amp; AA847,
       AA847)
)</f>
        <v/>
      </c>
      <c r="F847" s="206"/>
      <c r="G847" s="206"/>
      <c r="H847" s="206"/>
      <c r="I847" s="206"/>
      <c r="J847" s="206" t="str">
        <f t="shared" si="195"/>
        <v/>
      </c>
      <c r="K847" s="206" t="str">
        <f t="shared" si="197"/>
        <v/>
      </c>
      <c r="L847" s="206" t="str">
        <f t="shared" si="198"/>
        <v/>
      </c>
      <c r="M847" s="206" t="str">
        <f t="shared" si="199"/>
        <v/>
      </c>
      <c r="N847" s="206" t="str">
        <f t="shared" si="200"/>
        <v/>
      </c>
      <c r="O847" s="206" t="str">
        <f t="shared" si="201"/>
        <v/>
      </c>
      <c r="P847" s="84" t="str">
        <f t="shared" si="202"/>
        <v/>
      </c>
      <c r="Q847" s="205"/>
      <c r="R847" s="70" t="str">
        <f>IF(S847="IN",'BOM_Phan II'!$Y$3,"")</f>
        <v/>
      </c>
      <c r="S847" s="69" t="str">
        <f t="shared" si="194"/>
        <v/>
      </c>
      <c r="T847">
        <f t="shared" si="203"/>
        <v>3</v>
      </c>
      <c r="U847" t="str">
        <f t="shared" si="191"/>
        <v>KIỆN 14</v>
      </c>
      <c r="V847" t="str">
        <f t="shared" si="204"/>
        <v/>
      </c>
      <c r="W847" s="266"/>
      <c r="X847" s="266"/>
      <c r="Y847" s="266" t="str">
        <f t="shared" si="196"/>
        <v/>
      </c>
      <c r="Z847" s="266"/>
    </row>
    <row r="848" spans="1:26" ht="27" hidden="1" customHeight="1">
      <c r="A848" s="70" t="str">
        <f t="shared" si="192"/>
        <v/>
      </c>
      <c r="B848" s="70" t="str">
        <f t="shared" si="193"/>
        <v/>
      </c>
      <c r="C848" s="204" t="str" cm="1">
        <f t="array" ref="C848">IF(D848="","",
    IF(AND(ISNUMBER(D848), D848=INT(D848)),
        $V$6 &amp; " " &amp; (IFERROR(MAX($Y$12:$Y847), 0) + 1),
        IF(ISNUMBER(SEARCH(".", D848)), "", INDEX($C$12:$C848, MATCH(2, 1/($C$12:$C848 &lt;&gt; ""))))
    )
)</f>
        <v/>
      </c>
      <c r="D848" s="206"/>
      <c r="E848" s="206" t="str">
        <f>IF(AA848 = "", "",
    IF(ISNUMBER(SEARCH("Kiện", C848)),
       " GÓI " &amp; COUNTIF($C$13:C848, "*Kiện*") &amp; "/" &amp; COUNTIF($C$13:$C$1000, "*Kiện*") &amp; " " &amp; AA848,
       AA848)
)</f>
        <v/>
      </c>
      <c r="F848" s="206"/>
      <c r="G848" s="206"/>
      <c r="H848" s="206"/>
      <c r="I848" s="206"/>
      <c r="J848" s="206" t="str">
        <f t="shared" si="195"/>
        <v/>
      </c>
      <c r="K848" s="206" t="str">
        <f t="shared" si="197"/>
        <v/>
      </c>
      <c r="L848" s="206" t="str">
        <f t="shared" si="198"/>
        <v/>
      </c>
      <c r="M848" s="206" t="str">
        <f t="shared" si="199"/>
        <v/>
      </c>
      <c r="N848" s="206" t="str">
        <f t="shared" si="200"/>
        <v/>
      </c>
      <c r="O848" s="206" t="str">
        <f t="shared" si="201"/>
        <v/>
      </c>
      <c r="P848" s="84" t="str">
        <f t="shared" si="202"/>
        <v/>
      </c>
      <c r="Q848" s="205"/>
      <c r="R848" s="70" t="str">
        <f>IF(S848="IN",'BOM_Phan II'!$Y$3,"")</f>
        <v/>
      </c>
      <c r="S848" s="69" t="str">
        <f t="shared" si="194"/>
        <v/>
      </c>
      <c r="T848">
        <f t="shared" si="203"/>
        <v>3</v>
      </c>
      <c r="U848" t="str">
        <f t="shared" si="191"/>
        <v>KIỆN 14</v>
      </c>
      <c r="V848" t="str">
        <f t="shared" si="204"/>
        <v/>
      </c>
      <c r="W848" s="266"/>
      <c r="X848" s="266"/>
      <c r="Y848" s="266" t="str">
        <f t="shared" si="196"/>
        <v/>
      </c>
      <c r="Z848" s="266"/>
    </row>
    <row r="849" spans="1:26" ht="27" hidden="1" customHeight="1">
      <c r="A849" s="70" t="str">
        <f t="shared" si="192"/>
        <v/>
      </c>
      <c r="B849" s="70" t="str">
        <f t="shared" si="193"/>
        <v/>
      </c>
      <c r="C849" s="204" t="str" cm="1">
        <f t="array" ref="C849">IF(D849="","",
    IF(AND(ISNUMBER(D849), D849=INT(D849)),
        $V$6 &amp; " " &amp; (IFERROR(MAX($Y$12:$Y848), 0) + 1),
        IF(ISNUMBER(SEARCH(".", D849)), "", INDEX($C$12:$C849, MATCH(2, 1/($C$12:$C849 &lt;&gt; ""))))
    )
)</f>
        <v/>
      </c>
      <c r="D849" s="206"/>
      <c r="E849" s="206" t="str">
        <f>IF(AA849 = "", "",
    IF(ISNUMBER(SEARCH("Kiện", C849)),
       " GÓI " &amp; COUNTIF($C$13:C849, "*Kiện*") &amp; "/" &amp; COUNTIF($C$13:$C$1000, "*Kiện*") &amp; " " &amp; AA849,
       AA849)
)</f>
        <v/>
      </c>
      <c r="F849" s="206"/>
      <c r="G849" s="206"/>
      <c r="H849" s="206"/>
      <c r="I849" s="206"/>
      <c r="J849" s="206" t="str">
        <f t="shared" si="195"/>
        <v/>
      </c>
      <c r="K849" s="206" t="str">
        <f t="shared" si="197"/>
        <v/>
      </c>
      <c r="L849" s="206" t="str">
        <f t="shared" si="198"/>
        <v/>
      </c>
      <c r="M849" s="206" t="str">
        <f t="shared" si="199"/>
        <v/>
      </c>
      <c r="N849" s="206" t="str">
        <f t="shared" si="200"/>
        <v/>
      </c>
      <c r="O849" s="206" t="str">
        <f t="shared" si="201"/>
        <v/>
      </c>
      <c r="P849" s="84" t="str">
        <f t="shared" si="202"/>
        <v/>
      </c>
      <c r="Q849" s="205"/>
      <c r="R849" s="70" t="str">
        <f>IF(S849="IN",'BOM_Phan II'!$Y$3,"")</f>
        <v/>
      </c>
      <c r="S849" s="69" t="str">
        <f t="shared" si="194"/>
        <v/>
      </c>
      <c r="T849">
        <f t="shared" si="203"/>
        <v>3</v>
      </c>
      <c r="U849" t="str">
        <f t="shared" si="191"/>
        <v>KIỆN 14</v>
      </c>
      <c r="V849" t="str">
        <f t="shared" si="204"/>
        <v/>
      </c>
      <c r="W849" s="266"/>
      <c r="X849" s="266"/>
      <c r="Y849" s="266" t="str">
        <f t="shared" si="196"/>
        <v/>
      </c>
      <c r="Z849" s="266"/>
    </row>
    <row r="850" spans="1:26" ht="27" hidden="1" customHeight="1">
      <c r="A850" s="70" t="str">
        <f t="shared" si="192"/>
        <v/>
      </c>
      <c r="B850" s="70" t="str">
        <f t="shared" si="193"/>
        <v/>
      </c>
      <c r="C850" s="204" t="str" cm="1">
        <f t="array" ref="C850">IF(D850="","",
    IF(AND(ISNUMBER(D850), D850=INT(D850)),
        $V$6 &amp; " " &amp; (IFERROR(MAX($Y$12:$Y849), 0) + 1),
        IF(ISNUMBER(SEARCH(".", D850)), "", INDEX($C$12:$C850, MATCH(2, 1/($C$12:$C850 &lt;&gt; ""))))
    )
)</f>
        <v/>
      </c>
      <c r="D850" s="206"/>
      <c r="E850" s="206" t="str">
        <f>IF(AA850 = "", "",
    IF(ISNUMBER(SEARCH("Kiện", C850)),
       " GÓI " &amp; COUNTIF($C$13:C850, "*Kiện*") &amp; "/" &amp; COUNTIF($C$13:$C$1000, "*Kiện*") &amp; " " &amp; AA850,
       AA850)
)</f>
        <v/>
      </c>
      <c r="F850" s="206"/>
      <c r="G850" s="206"/>
      <c r="H850" s="206"/>
      <c r="I850" s="206"/>
      <c r="J850" s="206" t="str">
        <f t="shared" si="195"/>
        <v/>
      </c>
      <c r="K850" s="206" t="str">
        <f t="shared" si="197"/>
        <v/>
      </c>
      <c r="L850" s="206" t="str">
        <f t="shared" si="198"/>
        <v/>
      </c>
      <c r="M850" s="206" t="str">
        <f t="shared" si="199"/>
        <v/>
      </c>
      <c r="N850" s="206" t="str">
        <f t="shared" si="200"/>
        <v/>
      </c>
      <c r="O850" s="206" t="str">
        <f t="shared" si="201"/>
        <v/>
      </c>
      <c r="P850" s="84" t="str">
        <f t="shared" si="202"/>
        <v/>
      </c>
      <c r="Q850" s="205"/>
      <c r="R850" s="70" t="str">
        <f>IF(S850="IN",'BOM_Phan II'!$Y$3,"")</f>
        <v/>
      </c>
      <c r="S850" s="69" t="str">
        <f t="shared" si="194"/>
        <v/>
      </c>
      <c r="T850">
        <f t="shared" si="203"/>
        <v>3</v>
      </c>
      <c r="U850" t="str">
        <f t="shared" si="191"/>
        <v>KIỆN 14</v>
      </c>
      <c r="V850" t="str">
        <f t="shared" si="204"/>
        <v/>
      </c>
      <c r="W850" s="266"/>
      <c r="X850" s="266"/>
      <c r="Y850" s="266" t="str">
        <f t="shared" si="196"/>
        <v/>
      </c>
      <c r="Z850" s="266"/>
    </row>
    <row r="851" spans="1:26" ht="27" hidden="1" customHeight="1">
      <c r="A851" s="70" t="str">
        <f t="shared" si="192"/>
        <v/>
      </c>
      <c r="B851" s="70" t="str">
        <f t="shared" si="193"/>
        <v/>
      </c>
      <c r="C851" s="204" t="str" cm="1">
        <f t="array" ref="C851">IF(D851="","",
    IF(AND(ISNUMBER(D851), D851=INT(D851)),
        $V$6 &amp; " " &amp; (IFERROR(MAX($Y$12:$Y850), 0) + 1),
        IF(ISNUMBER(SEARCH(".", D851)), "", INDEX($C$12:$C851, MATCH(2, 1/($C$12:$C851 &lt;&gt; ""))))
    )
)</f>
        <v/>
      </c>
      <c r="D851" s="206"/>
      <c r="E851" s="206" t="str">
        <f>IF(AA851 = "", "",
    IF(ISNUMBER(SEARCH("Kiện", C851)),
       " GÓI " &amp; COUNTIF($C$13:C851, "*Kiện*") &amp; "/" &amp; COUNTIF($C$13:$C$1000, "*Kiện*") &amp; " " &amp; AA851,
       AA851)
)</f>
        <v/>
      </c>
      <c r="F851" s="206"/>
      <c r="G851" s="206"/>
      <c r="H851" s="206"/>
      <c r="I851" s="206"/>
      <c r="J851" s="206" t="str">
        <f t="shared" si="195"/>
        <v/>
      </c>
      <c r="K851" s="206" t="str">
        <f t="shared" si="197"/>
        <v/>
      </c>
      <c r="L851" s="206" t="str">
        <f t="shared" si="198"/>
        <v/>
      </c>
      <c r="M851" s="206" t="str">
        <f t="shared" si="199"/>
        <v/>
      </c>
      <c r="N851" s="206" t="str">
        <f t="shared" si="200"/>
        <v/>
      </c>
      <c r="O851" s="206" t="str">
        <f t="shared" si="201"/>
        <v/>
      </c>
      <c r="P851" s="84" t="str">
        <f t="shared" si="202"/>
        <v/>
      </c>
      <c r="Q851" s="205"/>
      <c r="R851" s="70" t="str">
        <f>IF(S851="IN",'BOM_Phan II'!$Y$3,"")</f>
        <v/>
      </c>
      <c r="S851" s="69" t="str">
        <f t="shared" si="194"/>
        <v/>
      </c>
      <c r="T851">
        <f t="shared" si="203"/>
        <v>3</v>
      </c>
      <c r="U851" t="str">
        <f t="shared" si="191"/>
        <v>KIỆN 14</v>
      </c>
      <c r="V851" t="str">
        <f t="shared" si="204"/>
        <v/>
      </c>
      <c r="W851" s="266"/>
      <c r="X851" s="266"/>
      <c r="Y851" s="266" t="str">
        <f t="shared" si="196"/>
        <v/>
      </c>
      <c r="Z851" s="266"/>
    </row>
    <row r="852" spans="1:26" ht="27" hidden="1" customHeight="1">
      <c r="A852" s="70" t="str">
        <f t="shared" si="192"/>
        <v/>
      </c>
      <c r="B852" s="70" t="str">
        <f t="shared" si="193"/>
        <v/>
      </c>
      <c r="C852" s="204" t="str" cm="1">
        <f t="array" ref="C852">IF(D852="","",
    IF(AND(ISNUMBER(D852), D852=INT(D852)),
        $V$6 &amp; " " &amp; (IFERROR(MAX($Y$12:$Y851), 0) + 1),
        IF(ISNUMBER(SEARCH(".", D852)), "", INDEX($C$12:$C852, MATCH(2, 1/($C$12:$C852 &lt;&gt; ""))))
    )
)</f>
        <v/>
      </c>
      <c r="D852" s="206"/>
      <c r="E852" s="206" t="str">
        <f>IF(AA852 = "", "",
    IF(ISNUMBER(SEARCH("Kiện", C852)),
       " GÓI " &amp; COUNTIF($C$13:C852, "*Kiện*") &amp; "/" &amp; COUNTIF($C$13:$C$1000, "*Kiện*") &amp; " " &amp; AA852,
       AA852)
)</f>
        <v/>
      </c>
      <c r="F852" s="206"/>
      <c r="G852" s="206"/>
      <c r="H852" s="206"/>
      <c r="I852" s="206"/>
      <c r="J852" s="206" t="str">
        <f t="shared" si="195"/>
        <v/>
      </c>
      <c r="K852" s="206" t="str">
        <f t="shared" si="197"/>
        <v/>
      </c>
      <c r="L852" s="206" t="str">
        <f t="shared" si="198"/>
        <v/>
      </c>
      <c r="M852" s="206" t="str">
        <f t="shared" si="199"/>
        <v/>
      </c>
      <c r="N852" s="206" t="str">
        <f t="shared" si="200"/>
        <v/>
      </c>
      <c r="O852" s="206" t="str">
        <f t="shared" si="201"/>
        <v/>
      </c>
      <c r="P852" s="84" t="str">
        <f t="shared" si="202"/>
        <v/>
      </c>
      <c r="Q852" s="205"/>
      <c r="R852" s="70" t="str">
        <f>IF(S852="IN",'BOM_Phan II'!$Y$3,"")</f>
        <v/>
      </c>
      <c r="S852" s="69" t="str">
        <f t="shared" si="194"/>
        <v/>
      </c>
      <c r="T852">
        <f t="shared" si="203"/>
        <v>3</v>
      </c>
      <c r="U852" t="str">
        <f t="shared" si="191"/>
        <v>KIỆN 14</v>
      </c>
      <c r="V852" t="str">
        <f t="shared" si="204"/>
        <v/>
      </c>
      <c r="W852" s="266"/>
      <c r="X852" s="266"/>
      <c r="Y852" s="266" t="str">
        <f t="shared" si="196"/>
        <v/>
      </c>
      <c r="Z852" s="266"/>
    </row>
    <row r="853" spans="1:26" ht="27" hidden="1" customHeight="1">
      <c r="A853" s="70" t="str">
        <f t="shared" si="192"/>
        <v/>
      </c>
      <c r="B853" s="70" t="str">
        <f t="shared" si="193"/>
        <v/>
      </c>
      <c r="C853" s="204" t="str" cm="1">
        <f t="array" ref="C853">IF(D853="","",
    IF(AND(ISNUMBER(D853), D853=INT(D853)),
        $V$6 &amp; " " &amp; (IFERROR(MAX($Y$12:$Y852), 0) + 1),
        IF(ISNUMBER(SEARCH(".", D853)), "", INDEX($C$12:$C853, MATCH(2, 1/($C$12:$C853 &lt;&gt; ""))))
    )
)</f>
        <v/>
      </c>
      <c r="D853" s="206"/>
      <c r="E853" s="206" t="str">
        <f>IF(AA853 = "", "",
    IF(ISNUMBER(SEARCH("Kiện", C853)),
       " GÓI " &amp; COUNTIF($C$13:C853, "*Kiện*") &amp; "/" &amp; COUNTIF($C$13:$C$1000, "*Kiện*") &amp; " " &amp; AA853,
       AA853)
)</f>
        <v/>
      </c>
      <c r="F853" s="206"/>
      <c r="G853" s="206"/>
      <c r="H853" s="206"/>
      <c r="I853" s="206"/>
      <c r="J853" s="206" t="str">
        <f t="shared" si="195"/>
        <v/>
      </c>
      <c r="K853" s="206" t="str">
        <f t="shared" si="197"/>
        <v/>
      </c>
      <c r="L853" s="206" t="str">
        <f t="shared" si="198"/>
        <v/>
      </c>
      <c r="M853" s="206" t="str">
        <f t="shared" si="199"/>
        <v/>
      </c>
      <c r="N853" s="206" t="str">
        <f t="shared" si="200"/>
        <v/>
      </c>
      <c r="O853" s="206" t="str">
        <f t="shared" si="201"/>
        <v/>
      </c>
      <c r="P853" s="84" t="str">
        <f t="shared" si="202"/>
        <v/>
      </c>
      <c r="Q853" s="205"/>
      <c r="R853" s="70" t="str">
        <f>IF(S853="IN",'BOM_Phan II'!$Y$3,"")</f>
        <v/>
      </c>
      <c r="S853" s="69" t="str">
        <f t="shared" si="194"/>
        <v/>
      </c>
      <c r="T853">
        <f t="shared" si="203"/>
        <v>3</v>
      </c>
      <c r="U853" t="str">
        <f t="shared" si="191"/>
        <v>KIỆN 14</v>
      </c>
      <c r="V853" t="str">
        <f t="shared" si="204"/>
        <v/>
      </c>
      <c r="W853" s="266"/>
      <c r="X853" s="266"/>
      <c r="Y853" s="266" t="str">
        <f t="shared" si="196"/>
        <v/>
      </c>
      <c r="Z853" s="266"/>
    </row>
    <row r="854" spans="1:26" ht="27" hidden="1" customHeight="1">
      <c r="A854" s="70" t="str">
        <f t="shared" si="192"/>
        <v/>
      </c>
      <c r="B854" s="70" t="str">
        <f t="shared" si="193"/>
        <v/>
      </c>
      <c r="C854" s="204" t="str" cm="1">
        <f t="array" ref="C854">IF(D854="","",
    IF(AND(ISNUMBER(D854), D854=INT(D854)),
        $V$6 &amp; " " &amp; (IFERROR(MAX($Y$12:$Y853), 0) + 1),
        IF(ISNUMBER(SEARCH(".", D854)), "", INDEX($C$12:$C854, MATCH(2, 1/($C$12:$C854 &lt;&gt; ""))))
    )
)</f>
        <v/>
      </c>
      <c r="D854" s="206"/>
      <c r="E854" s="206" t="str">
        <f>IF(AA854 = "", "",
    IF(ISNUMBER(SEARCH("Kiện", C854)),
       " GÓI " &amp; COUNTIF($C$13:C854, "*Kiện*") &amp; "/" &amp; COUNTIF($C$13:$C$1000, "*Kiện*") &amp; " " &amp; AA854,
       AA854)
)</f>
        <v/>
      </c>
      <c r="F854" s="206"/>
      <c r="G854" s="206"/>
      <c r="H854" s="206"/>
      <c r="I854" s="206"/>
      <c r="J854" s="206" t="str">
        <f t="shared" si="195"/>
        <v/>
      </c>
      <c r="K854" s="206" t="str">
        <f t="shared" si="197"/>
        <v/>
      </c>
      <c r="L854" s="206" t="str">
        <f t="shared" si="198"/>
        <v/>
      </c>
      <c r="M854" s="206" t="str">
        <f t="shared" si="199"/>
        <v/>
      </c>
      <c r="N854" s="206" t="str">
        <f t="shared" si="200"/>
        <v/>
      </c>
      <c r="O854" s="206" t="str">
        <f t="shared" si="201"/>
        <v/>
      </c>
      <c r="P854" s="84" t="str">
        <f t="shared" si="202"/>
        <v/>
      </c>
      <c r="Q854" s="205"/>
      <c r="R854" s="70" t="str">
        <f>IF(S854="IN",'BOM_Phan II'!$Y$3,"")</f>
        <v/>
      </c>
      <c r="S854" s="69" t="str">
        <f t="shared" si="194"/>
        <v/>
      </c>
      <c r="T854">
        <f t="shared" si="203"/>
        <v>3</v>
      </c>
      <c r="U854" t="str">
        <f t="shared" si="191"/>
        <v>KIỆN 14</v>
      </c>
      <c r="V854" t="str">
        <f t="shared" si="204"/>
        <v/>
      </c>
      <c r="W854" s="266"/>
      <c r="X854" s="266"/>
      <c r="Y854" s="266" t="str">
        <f t="shared" si="196"/>
        <v/>
      </c>
      <c r="Z854" s="266"/>
    </row>
    <row r="855" spans="1:26" ht="27" hidden="1" customHeight="1">
      <c r="A855" s="70" t="str">
        <f t="shared" si="192"/>
        <v/>
      </c>
      <c r="B855" s="70" t="str">
        <f t="shared" si="193"/>
        <v/>
      </c>
      <c r="C855" s="204" t="str" cm="1">
        <f t="array" ref="C855">IF(D855="","",
    IF(AND(ISNUMBER(D855), D855=INT(D855)),
        $V$6 &amp; " " &amp; (IFERROR(MAX($Y$12:$Y854), 0) + 1),
        IF(ISNUMBER(SEARCH(".", D855)), "", INDEX($C$12:$C855, MATCH(2, 1/($C$12:$C855 &lt;&gt; ""))))
    )
)</f>
        <v/>
      </c>
      <c r="D855" s="206"/>
      <c r="E855" s="206" t="str">
        <f>IF(AA855 = "", "",
    IF(ISNUMBER(SEARCH("Kiện", C855)),
       " GÓI " &amp; COUNTIF($C$13:C855, "*Kiện*") &amp; "/" &amp; COUNTIF($C$13:$C$1000, "*Kiện*") &amp; " " &amp; AA855,
       AA855)
)</f>
        <v/>
      </c>
      <c r="F855" s="206"/>
      <c r="G855" s="206"/>
      <c r="H855" s="206"/>
      <c r="I855" s="206"/>
      <c r="J855" s="206" t="str">
        <f t="shared" si="195"/>
        <v/>
      </c>
      <c r="K855" s="206" t="str">
        <f t="shared" si="197"/>
        <v/>
      </c>
      <c r="L855" s="206" t="str">
        <f t="shared" si="198"/>
        <v/>
      </c>
      <c r="M855" s="206" t="str">
        <f t="shared" si="199"/>
        <v/>
      </c>
      <c r="N855" s="206" t="str">
        <f t="shared" si="200"/>
        <v/>
      </c>
      <c r="O855" s="206" t="str">
        <f t="shared" si="201"/>
        <v/>
      </c>
      <c r="P855" s="84" t="str">
        <f t="shared" si="202"/>
        <v/>
      </c>
      <c r="Q855" s="205"/>
      <c r="R855" s="70" t="str">
        <f>IF(S855="IN",'BOM_Phan II'!$Y$3,"")</f>
        <v/>
      </c>
      <c r="S855" s="69" t="str">
        <f t="shared" si="194"/>
        <v/>
      </c>
      <c r="T855">
        <f t="shared" si="203"/>
        <v>3</v>
      </c>
      <c r="U855" t="str">
        <f t="shared" si="191"/>
        <v>KIỆN 14</v>
      </c>
      <c r="V855" t="str">
        <f t="shared" si="204"/>
        <v/>
      </c>
      <c r="W855" s="266"/>
      <c r="X855" s="266"/>
      <c r="Y855" s="266" t="str">
        <f t="shared" si="196"/>
        <v/>
      </c>
      <c r="Z855" s="266"/>
    </row>
    <row r="856" spans="1:26" ht="27" hidden="1" customHeight="1">
      <c r="A856" s="70" t="str">
        <f t="shared" si="192"/>
        <v/>
      </c>
      <c r="B856" s="70" t="str">
        <f t="shared" si="193"/>
        <v/>
      </c>
      <c r="C856" s="204" t="str" cm="1">
        <f t="array" ref="C856">IF(D856="","",
    IF(AND(ISNUMBER(D856), D856=INT(D856)),
        $V$6 &amp; " " &amp; (IFERROR(MAX($Y$12:$Y855), 0) + 1),
        IF(ISNUMBER(SEARCH(".", D856)), "", INDEX($C$12:$C856, MATCH(2, 1/($C$12:$C856 &lt;&gt; ""))))
    )
)</f>
        <v/>
      </c>
      <c r="D856" s="206"/>
      <c r="E856" s="206" t="str">
        <f>IF(AA856 = "", "",
    IF(ISNUMBER(SEARCH("Kiện", C856)),
       " GÓI " &amp; COUNTIF($C$13:C856, "*Kiện*") &amp; "/" &amp; COUNTIF($C$13:$C$1000, "*Kiện*") &amp; " " &amp; AA856,
       AA856)
)</f>
        <v/>
      </c>
      <c r="F856" s="206"/>
      <c r="G856" s="206"/>
      <c r="H856" s="206"/>
      <c r="I856" s="206"/>
      <c r="J856" s="206" t="str">
        <f t="shared" si="195"/>
        <v/>
      </c>
      <c r="K856" s="206" t="str">
        <f t="shared" si="197"/>
        <v/>
      </c>
      <c r="L856" s="206" t="str">
        <f t="shared" si="198"/>
        <v/>
      </c>
      <c r="M856" s="206" t="str">
        <f t="shared" si="199"/>
        <v/>
      </c>
      <c r="N856" s="206" t="str">
        <f t="shared" si="200"/>
        <v/>
      </c>
      <c r="O856" s="206" t="str">
        <f t="shared" si="201"/>
        <v/>
      </c>
      <c r="P856" s="84" t="str">
        <f t="shared" si="202"/>
        <v/>
      </c>
      <c r="Q856" s="205"/>
      <c r="R856" s="70" t="str">
        <f>IF(S856="IN",'BOM_Phan II'!$Y$3,"")</f>
        <v/>
      </c>
      <c r="S856" s="69" t="str">
        <f t="shared" si="194"/>
        <v/>
      </c>
      <c r="T856">
        <f t="shared" si="203"/>
        <v>3</v>
      </c>
      <c r="U856" t="str">
        <f t="shared" si="191"/>
        <v>KIỆN 14</v>
      </c>
      <c r="V856" t="str">
        <f t="shared" si="204"/>
        <v/>
      </c>
      <c r="W856" s="266"/>
      <c r="X856" s="266"/>
      <c r="Y856" s="266" t="str">
        <f t="shared" si="196"/>
        <v/>
      </c>
      <c r="Z856" s="266"/>
    </row>
    <row r="857" spans="1:26" ht="27" hidden="1" customHeight="1">
      <c r="A857" s="70" t="str">
        <f t="shared" si="192"/>
        <v/>
      </c>
      <c r="B857" s="70" t="str">
        <f t="shared" si="193"/>
        <v/>
      </c>
      <c r="C857" s="204" t="str" cm="1">
        <f t="array" ref="C857">IF(D857="","",
    IF(AND(ISNUMBER(D857), D857=INT(D857)),
        $V$6 &amp; " " &amp; (IFERROR(MAX($Y$12:$Y856), 0) + 1),
        IF(ISNUMBER(SEARCH(".", D857)), "", INDEX($C$12:$C857, MATCH(2, 1/($C$12:$C857 &lt;&gt; ""))))
    )
)</f>
        <v/>
      </c>
      <c r="D857" s="206"/>
      <c r="E857" s="206" t="str">
        <f>IF(AA857 = "", "",
    IF(ISNUMBER(SEARCH("Kiện", C857)),
       " GÓI " &amp; COUNTIF($C$13:C857, "*Kiện*") &amp; "/" &amp; COUNTIF($C$13:$C$1000, "*Kiện*") &amp; " " &amp; AA857,
       AA857)
)</f>
        <v/>
      </c>
      <c r="F857" s="206"/>
      <c r="G857" s="206"/>
      <c r="H857" s="206"/>
      <c r="I857" s="206"/>
      <c r="J857" s="206" t="str">
        <f t="shared" si="195"/>
        <v/>
      </c>
      <c r="K857" s="206" t="str">
        <f t="shared" si="197"/>
        <v/>
      </c>
      <c r="L857" s="206" t="str">
        <f t="shared" si="198"/>
        <v/>
      </c>
      <c r="M857" s="206" t="str">
        <f t="shared" si="199"/>
        <v/>
      </c>
      <c r="N857" s="206" t="str">
        <f t="shared" si="200"/>
        <v/>
      </c>
      <c r="O857" s="206" t="str">
        <f t="shared" si="201"/>
        <v/>
      </c>
      <c r="P857" s="84" t="str">
        <f t="shared" si="202"/>
        <v/>
      </c>
      <c r="Q857" s="205"/>
      <c r="R857" s="70" t="str">
        <f>IF(S857="IN",'BOM_Phan II'!$Y$3,"")</f>
        <v/>
      </c>
      <c r="S857" s="69" t="str">
        <f t="shared" si="194"/>
        <v/>
      </c>
      <c r="T857">
        <f t="shared" si="203"/>
        <v>3</v>
      </c>
      <c r="U857" t="str">
        <f t="shared" si="191"/>
        <v>KIỆN 14</v>
      </c>
      <c r="V857" t="str">
        <f t="shared" si="204"/>
        <v/>
      </c>
      <c r="W857" s="266"/>
      <c r="X857" s="266"/>
      <c r="Y857" s="266" t="str">
        <f t="shared" si="196"/>
        <v/>
      </c>
      <c r="Z857" s="266"/>
    </row>
    <row r="858" spans="1:26" ht="27" hidden="1" customHeight="1">
      <c r="A858" s="70" t="str">
        <f t="shared" si="192"/>
        <v/>
      </c>
      <c r="B858" s="70" t="str">
        <f t="shared" si="193"/>
        <v/>
      </c>
      <c r="C858" s="204" t="str" cm="1">
        <f t="array" ref="C858">IF(D858="","",
    IF(AND(ISNUMBER(D858), D858=INT(D858)),
        $V$6 &amp; " " &amp; (IFERROR(MAX($Y$12:$Y857), 0) + 1),
        IF(ISNUMBER(SEARCH(".", D858)), "", INDEX($C$12:$C858, MATCH(2, 1/($C$12:$C858 &lt;&gt; ""))))
    )
)</f>
        <v/>
      </c>
      <c r="D858" s="206"/>
      <c r="E858" s="206" t="str">
        <f>IF(AA858 = "", "",
    IF(ISNUMBER(SEARCH("Kiện", C858)),
       " GÓI " &amp; COUNTIF($C$13:C858, "*Kiện*") &amp; "/" &amp; COUNTIF($C$13:$C$1000, "*Kiện*") &amp; " " &amp; AA858,
       AA858)
)</f>
        <v/>
      </c>
      <c r="F858" s="206"/>
      <c r="G858" s="206"/>
      <c r="H858" s="206"/>
      <c r="I858" s="206"/>
      <c r="J858" s="206" t="str">
        <f t="shared" si="195"/>
        <v/>
      </c>
      <c r="K858" s="206" t="str">
        <f t="shared" si="197"/>
        <v/>
      </c>
      <c r="L858" s="206" t="str">
        <f t="shared" si="198"/>
        <v/>
      </c>
      <c r="M858" s="206" t="str">
        <f t="shared" si="199"/>
        <v/>
      </c>
      <c r="N858" s="206" t="str">
        <f t="shared" si="200"/>
        <v/>
      </c>
      <c r="O858" s="206" t="str">
        <f t="shared" si="201"/>
        <v/>
      </c>
      <c r="P858" s="84" t="str">
        <f t="shared" si="202"/>
        <v/>
      </c>
      <c r="Q858" s="205"/>
      <c r="R858" s="70" t="str">
        <f>IF(S858="IN",'BOM_Phan II'!$Y$3,"")</f>
        <v/>
      </c>
      <c r="S858" s="69" t="str">
        <f t="shared" si="194"/>
        <v/>
      </c>
      <c r="T858">
        <f t="shared" si="203"/>
        <v>3</v>
      </c>
      <c r="U858" t="str">
        <f t="shared" si="191"/>
        <v>KIỆN 14</v>
      </c>
      <c r="V858" t="str">
        <f t="shared" si="204"/>
        <v/>
      </c>
      <c r="W858" s="266"/>
      <c r="X858" s="266"/>
      <c r="Y858" s="266" t="str">
        <f t="shared" si="196"/>
        <v/>
      </c>
      <c r="Z858" s="266"/>
    </row>
    <row r="859" spans="1:26" ht="27" hidden="1" customHeight="1">
      <c r="A859" s="70" t="str">
        <f t="shared" si="192"/>
        <v/>
      </c>
      <c r="B859" s="70" t="str">
        <f t="shared" si="193"/>
        <v/>
      </c>
      <c r="C859" s="204" t="str" cm="1">
        <f t="array" ref="C859">IF(D859="","",
    IF(AND(ISNUMBER(D859), D859=INT(D859)),
        $V$6 &amp; " " &amp; (IFERROR(MAX($Y$12:$Y858), 0) + 1),
        IF(ISNUMBER(SEARCH(".", D859)), "", INDEX($C$12:$C859, MATCH(2, 1/($C$12:$C859 &lt;&gt; ""))))
    )
)</f>
        <v/>
      </c>
      <c r="D859" s="206"/>
      <c r="E859" s="206" t="str">
        <f>IF(AA859 = "", "",
    IF(ISNUMBER(SEARCH("Kiện", C859)),
       " GÓI " &amp; COUNTIF($C$13:C859, "*Kiện*") &amp; "/" &amp; COUNTIF($C$13:$C$1000, "*Kiện*") &amp; " " &amp; AA859,
       AA859)
)</f>
        <v/>
      </c>
      <c r="F859" s="206"/>
      <c r="G859" s="206"/>
      <c r="H859" s="206"/>
      <c r="I859" s="206"/>
      <c r="J859" s="206" t="str">
        <f t="shared" si="195"/>
        <v/>
      </c>
      <c r="K859" s="206" t="str">
        <f t="shared" si="197"/>
        <v/>
      </c>
      <c r="L859" s="206" t="str">
        <f t="shared" si="198"/>
        <v/>
      </c>
      <c r="M859" s="206" t="str">
        <f t="shared" si="199"/>
        <v/>
      </c>
      <c r="N859" s="206" t="str">
        <f t="shared" si="200"/>
        <v/>
      </c>
      <c r="O859" s="206" t="str">
        <f t="shared" si="201"/>
        <v/>
      </c>
      <c r="P859" s="84" t="str">
        <f t="shared" si="202"/>
        <v/>
      </c>
      <c r="Q859" s="205"/>
      <c r="R859" s="70" t="str">
        <f>IF(S859="IN",'BOM_Phan II'!$Y$3,"")</f>
        <v/>
      </c>
      <c r="S859" s="69" t="str">
        <f t="shared" si="194"/>
        <v/>
      </c>
      <c r="T859">
        <f t="shared" si="203"/>
        <v>3</v>
      </c>
      <c r="U859" t="str">
        <f t="shared" si="191"/>
        <v>KIỆN 14</v>
      </c>
      <c r="V859" t="str">
        <f t="shared" si="204"/>
        <v/>
      </c>
      <c r="W859" s="266"/>
      <c r="X859" s="266"/>
      <c r="Y859" s="266" t="str">
        <f t="shared" si="196"/>
        <v/>
      </c>
      <c r="Z859" s="266"/>
    </row>
    <row r="860" spans="1:26" ht="27" hidden="1" customHeight="1">
      <c r="A860" s="70" t="str">
        <f t="shared" si="192"/>
        <v/>
      </c>
      <c r="B860" s="70" t="str">
        <f t="shared" si="193"/>
        <v/>
      </c>
      <c r="C860" s="204" t="str" cm="1">
        <f t="array" ref="C860">IF(D860="","",
    IF(AND(ISNUMBER(D860), D860=INT(D860)),
        $V$6 &amp; " " &amp; (IFERROR(MAX($Y$12:$Y859), 0) + 1),
        IF(ISNUMBER(SEARCH(".", D860)), "", INDEX($C$12:$C860, MATCH(2, 1/($C$12:$C860 &lt;&gt; ""))))
    )
)</f>
        <v/>
      </c>
      <c r="D860" s="206"/>
      <c r="E860" s="206" t="str">
        <f>IF(AA860 = "", "",
    IF(ISNUMBER(SEARCH("Kiện", C860)),
       " GÓI " &amp; COUNTIF($C$13:C860, "*Kiện*") &amp; "/" &amp; COUNTIF($C$13:$C$1000, "*Kiện*") &amp; " " &amp; AA860,
       AA860)
)</f>
        <v/>
      </c>
      <c r="F860" s="206"/>
      <c r="G860" s="206"/>
      <c r="H860" s="206"/>
      <c r="I860" s="206"/>
      <c r="J860" s="206" t="str">
        <f t="shared" si="195"/>
        <v/>
      </c>
      <c r="K860" s="206" t="str">
        <f t="shared" si="197"/>
        <v/>
      </c>
      <c r="L860" s="206" t="str">
        <f t="shared" si="198"/>
        <v/>
      </c>
      <c r="M860" s="206" t="str">
        <f t="shared" si="199"/>
        <v/>
      </c>
      <c r="N860" s="206" t="str">
        <f t="shared" si="200"/>
        <v/>
      </c>
      <c r="O860" s="206" t="str">
        <f t="shared" si="201"/>
        <v/>
      </c>
      <c r="P860" s="84" t="str">
        <f t="shared" si="202"/>
        <v/>
      </c>
      <c r="Q860" s="205"/>
      <c r="R860" s="70" t="str">
        <f>IF(S860="IN",'BOM_Phan II'!$Y$3,"")</f>
        <v/>
      </c>
      <c r="S860" s="69" t="str">
        <f t="shared" si="194"/>
        <v/>
      </c>
      <c r="T860">
        <f t="shared" si="203"/>
        <v>3</v>
      </c>
      <c r="U860" t="str">
        <f t="shared" si="191"/>
        <v>KIỆN 14</v>
      </c>
      <c r="V860" t="str">
        <f t="shared" si="204"/>
        <v/>
      </c>
      <c r="W860" s="266"/>
      <c r="X860" s="266"/>
      <c r="Y860" s="266" t="str">
        <f t="shared" si="196"/>
        <v/>
      </c>
      <c r="Z860" s="266"/>
    </row>
    <row r="861" spans="1:26" ht="27" hidden="1" customHeight="1">
      <c r="A861" s="70" t="str">
        <f t="shared" si="192"/>
        <v/>
      </c>
      <c r="B861" s="70" t="str">
        <f t="shared" si="193"/>
        <v/>
      </c>
      <c r="C861" s="204" t="str" cm="1">
        <f t="array" ref="C861">IF(D861="","",
    IF(AND(ISNUMBER(D861), D861=INT(D861)),
        $V$6 &amp; " " &amp; (IFERROR(MAX($Y$12:$Y860), 0) + 1),
        IF(ISNUMBER(SEARCH(".", D861)), "", INDEX($C$12:$C861, MATCH(2, 1/($C$12:$C861 &lt;&gt; ""))))
    )
)</f>
        <v/>
      </c>
      <c r="D861" s="206"/>
      <c r="E861" s="206" t="str">
        <f>IF(AA861 = "", "",
    IF(ISNUMBER(SEARCH("Kiện", C861)),
       " GÓI " &amp; COUNTIF($C$13:C861, "*Kiện*") &amp; "/" &amp; COUNTIF($C$13:$C$1000, "*Kiện*") &amp; " " &amp; AA861,
       AA861)
)</f>
        <v/>
      </c>
      <c r="F861" s="206"/>
      <c r="G861" s="206"/>
      <c r="H861" s="206"/>
      <c r="I861" s="206"/>
      <c r="J861" s="206" t="str">
        <f t="shared" si="195"/>
        <v/>
      </c>
      <c r="K861" s="206" t="str">
        <f t="shared" si="197"/>
        <v/>
      </c>
      <c r="L861" s="206" t="str">
        <f t="shared" si="198"/>
        <v/>
      </c>
      <c r="M861" s="206" t="str">
        <f t="shared" si="199"/>
        <v/>
      </c>
      <c r="N861" s="206" t="str">
        <f t="shared" si="200"/>
        <v/>
      </c>
      <c r="O861" s="206" t="str">
        <f t="shared" si="201"/>
        <v/>
      </c>
      <c r="P861" s="84" t="str">
        <f t="shared" si="202"/>
        <v/>
      </c>
      <c r="Q861" s="205"/>
      <c r="R861" s="70" t="str">
        <f>IF(S861="IN",'BOM_Phan II'!$Y$3,"")</f>
        <v/>
      </c>
      <c r="S861" s="69" t="str">
        <f t="shared" si="194"/>
        <v/>
      </c>
      <c r="T861">
        <f t="shared" si="203"/>
        <v>3</v>
      </c>
      <c r="U861" t="str">
        <f t="shared" si="191"/>
        <v>KIỆN 14</v>
      </c>
      <c r="V861" t="str">
        <f t="shared" si="204"/>
        <v/>
      </c>
      <c r="W861" s="266"/>
      <c r="X861" s="266"/>
      <c r="Y861" s="266" t="str">
        <f t="shared" si="196"/>
        <v/>
      </c>
      <c r="Z861" s="266"/>
    </row>
    <row r="862" spans="1:26" ht="27" hidden="1" customHeight="1">
      <c r="A862" s="70" t="str">
        <f t="shared" si="192"/>
        <v/>
      </c>
      <c r="B862" s="70" t="str">
        <f t="shared" si="193"/>
        <v/>
      </c>
      <c r="C862" s="204" t="str" cm="1">
        <f t="array" ref="C862">IF(D862="","",
    IF(AND(ISNUMBER(D862), D862=INT(D862)),
        $V$6 &amp; " " &amp; (IFERROR(MAX($Y$12:$Y861), 0) + 1),
        IF(ISNUMBER(SEARCH(".", D862)), "", INDEX($C$12:$C862, MATCH(2, 1/($C$12:$C862 &lt;&gt; ""))))
    )
)</f>
        <v/>
      </c>
      <c r="D862" s="206"/>
      <c r="E862" s="206" t="str">
        <f>IF(AA862 = "", "",
    IF(ISNUMBER(SEARCH("Kiện", C862)),
       " GÓI " &amp; COUNTIF($C$13:C862, "*Kiện*") &amp; "/" &amp; COUNTIF($C$13:$C$1000, "*Kiện*") &amp; " " &amp; AA862,
       AA862)
)</f>
        <v/>
      </c>
      <c r="F862" s="206"/>
      <c r="G862" s="206"/>
      <c r="H862" s="206"/>
      <c r="I862" s="206"/>
      <c r="J862" s="206" t="str">
        <f t="shared" si="195"/>
        <v/>
      </c>
      <c r="K862" s="206" t="str">
        <f t="shared" si="197"/>
        <v/>
      </c>
      <c r="L862" s="206" t="str">
        <f t="shared" si="198"/>
        <v/>
      </c>
      <c r="M862" s="206" t="str">
        <f t="shared" si="199"/>
        <v/>
      </c>
      <c r="N862" s="206" t="str">
        <f t="shared" si="200"/>
        <v/>
      </c>
      <c r="O862" s="206" t="str">
        <f t="shared" si="201"/>
        <v/>
      </c>
      <c r="P862" s="84" t="str">
        <f t="shared" si="202"/>
        <v/>
      </c>
      <c r="Q862" s="205"/>
      <c r="R862" s="70" t="str">
        <f>IF(S862="IN",'BOM_Phan II'!$Y$3,"")</f>
        <v/>
      </c>
      <c r="S862" s="69" t="str">
        <f t="shared" si="194"/>
        <v/>
      </c>
      <c r="T862">
        <f t="shared" si="203"/>
        <v>3</v>
      </c>
      <c r="U862" t="str">
        <f t="shared" si="191"/>
        <v>KIỆN 14</v>
      </c>
      <c r="V862" t="str">
        <f t="shared" si="204"/>
        <v/>
      </c>
      <c r="W862" s="266"/>
      <c r="X862" s="266"/>
      <c r="Y862" s="266" t="str">
        <f t="shared" si="196"/>
        <v/>
      </c>
      <c r="Z862" s="266"/>
    </row>
    <row r="863" spans="1:26" ht="27" hidden="1" customHeight="1">
      <c r="A863" s="70" t="str">
        <f t="shared" si="192"/>
        <v/>
      </c>
      <c r="B863" s="70" t="str">
        <f t="shared" si="193"/>
        <v/>
      </c>
      <c r="C863" s="204" t="str" cm="1">
        <f t="array" ref="C863">IF(D863="","",
    IF(AND(ISNUMBER(D863), D863=INT(D863)),
        $V$6 &amp; " " &amp; (IFERROR(MAX($Y$12:$Y862), 0) + 1),
        IF(ISNUMBER(SEARCH(".", D863)), "", INDEX($C$12:$C863, MATCH(2, 1/($C$12:$C863 &lt;&gt; ""))))
    )
)</f>
        <v/>
      </c>
      <c r="D863" s="206"/>
      <c r="E863" s="206" t="str">
        <f>IF(AA863 = "", "",
    IF(ISNUMBER(SEARCH("Kiện", C863)),
       " GÓI " &amp; COUNTIF($C$13:C863, "*Kiện*") &amp; "/" &amp; COUNTIF($C$13:$C$1000, "*Kiện*") &amp; " " &amp; AA863,
       AA863)
)</f>
        <v/>
      </c>
      <c r="F863" s="206"/>
      <c r="G863" s="206"/>
      <c r="H863" s="206"/>
      <c r="I863" s="206"/>
      <c r="J863" s="206" t="str">
        <f t="shared" si="195"/>
        <v/>
      </c>
      <c r="K863" s="206" t="str">
        <f t="shared" si="197"/>
        <v/>
      </c>
      <c r="L863" s="206" t="str">
        <f t="shared" si="198"/>
        <v/>
      </c>
      <c r="M863" s="206" t="str">
        <f t="shared" si="199"/>
        <v/>
      </c>
      <c r="N863" s="206" t="str">
        <f t="shared" si="200"/>
        <v/>
      </c>
      <c r="O863" s="206" t="str">
        <f t="shared" si="201"/>
        <v/>
      </c>
      <c r="P863" s="84" t="str">
        <f t="shared" si="202"/>
        <v/>
      </c>
      <c r="Q863" s="205"/>
      <c r="R863" s="70" t="str">
        <f>IF(S863="IN",'BOM_Phan II'!$Y$3,"")</f>
        <v/>
      </c>
      <c r="S863" s="69" t="str">
        <f t="shared" si="194"/>
        <v/>
      </c>
      <c r="T863">
        <f t="shared" si="203"/>
        <v>3</v>
      </c>
      <c r="U863" t="str">
        <f t="shared" si="191"/>
        <v>KIỆN 14</v>
      </c>
      <c r="V863" t="str">
        <f t="shared" si="204"/>
        <v/>
      </c>
      <c r="W863" s="266"/>
      <c r="X863" s="266"/>
      <c r="Y863" s="266" t="str">
        <f t="shared" si="196"/>
        <v/>
      </c>
      <c r="Z863" s="266"/>
    </row>
    <row r="864" spans="1:26" ht="27" hidden="1" customHeight="1">
      <c r="A864" s="70" t="str">
        <f t="shared" si="192"/>
        <v/>
      </c>
      <c r="B864" s="70" t="str">
        <f t="shared" si="193"/>
        <v/>
      </c>
      <c r="C864" s="204" t="str" cm="1">
        <f t="array" ref="C864">IF(D864="","",
    IF(AND(ISNUMBER(D864), D864=INT(D864)),
        $V$6 &amp; " " &amp; (IFERROR(MAX($Y$12:$Y863), 0) + 1),
        IF(ISNUMBER(SEARCH(".", D864)), "", INDEX($C$12:$C864, MATCH(2, 1/($C$12:$C864 &lt;&gt; ""))))
    )
)</f>
        <v/>
      </c>
      <c r="D864" s="206"/>
      <c r="E864" s="206" t="str">
        <f>IF(AA864 = "", "",
    IF(ISNUMBER(SEARCH("Kiện", C864)),
       " GÓI " &amp; COUNTIF($C$13:C864, "*Kiện*") &amp; "/" &amp; COUNTIF($C$13:$C$1000, "*Kiện*") &amp; " " &amp; AA864,
       AA864)
)</f>
        <v/>
      </c>
      <c r="F864" s="206"/>
      <c r="G864" s="206"/>
      <c r="H864" s="206"/>
      <c r="I864" s="206"/>
      <c r="J864" s="206" t="str">
        <f t="shared" si="195"/>
        <v/>
      </c>
      <c r="K864" s="206" t="str">
        <f t="shared" si="197"/>
        <v/>
      </c>
      <c r="L864" s="206" t="str">
        <f t="shared" si="198"/>
        <v/>
      </c>
      <c r="M864" s="206" t="str">
        <f t="shared" si="199"/>
        <v/>
      </c>
      <c r="N864" s="206" t="str">
        <f t="shared" si="200"/>
        <v/>
      </c>
      <c r="O864" s="206" t="str">
        <f t="shared" si="201"/>
        <v/>
      </c>
      <c r="P864" s="84" t="str">
        <f t="shared" si="202"/>
        <v/>
      </c>
      <c r="Q864" s="205"/>
      <c r="R864" s="70" t="str">
        <f>IF(S864="IN",'BOM_Phan II'!$Y$3,"")</f>
        <v/>
      </c>
      <c r="S864" s="69" t="str">
        <f t="shared" si="194"/>
        <v/>
      </c>
      <c r="T864">
        <f t="shared" si="203"/>
        <v>3</v>
      </c>
      <c r="U864" t="str">
        <f t="shared" si="191"/>
        <v>KIỆN 14</v>
      </c>
      <c r="V864" t="str">
        <f t="shared" si="204"/>
        <v/>
      </c>
      <c r="W864" s="266"/>
      <c r="X864" s="266"/>
      <c r="Y864" s="266" t="str">
        <f t="shared" si="196"/>
        <v/>
      </c>
      <c r="Z864" s="266"/>
    </row>
    <row r="865" spans="1:26" ht="27" hidden="1" customHeight="1">
      <c r="A865" s="70" t="str">
        <f t="shared" si="192"/>
        <v/>
      </c>
      <c r="B865" s="70" t="str">
        <f t="shared" si="193"/>
        <v/>
      </c>
      <c r="C865" s="204" t="str" cm="1">
        <f t="array" ref="C865">IF(D865="","",
    IF(AND(ISNUMBER(D865), D865=INT(D865)),
        $V$6 &amp; " " &amp; (IFERROR(MAX($Y$12:$Y864), 0) + 1),
        IF(ISNUMBER(SEARCH(".", D865)), "", INDEX($C$12:$C865, MATCH(2, 1/($C$12:$C865 &lt;&gt; ""))))
    )
)</f>
        <v/>
      </c>
      <c r="D865" s="206"/>
      <c r="E865" s="206" t="str">
        <f>IF(AA865 = "", "",
    IF(ISNUMBER(SEARCH("Kiện", C865)),
       " GÓI " &amp; COUNTIF($C$13:C865, "*Kiện*") &amp; "/" &amp; COUNTIF($C$13:$C$1000, "*Kiện*") &amp; " " &amp; AA865,
       AA865)
)</f>
        <v/>
      </c>
      <c r="F865" s="206"/>
      <c r="G865" s="206"/>
      <c r="H865" s="206"/>
      <c r="I865" s="206"/>
      <c r="J865" s="206" t="str">
        <f t="shared" si="195"/>
        <v/>
      </c>
      <c r="K865" s="206" t="str">
        <f t="shared" si="197"/>
        <v/>
      </c>
      <c r="L865" s="206" t="str">
        <f t="shared" si="198"/>
        <v/>
      </c>
      <c r="M865" s="206" t="str">
        <f t="shared" si="199"/>
        <v/>
      </c>
      <c r="N865" s="206" t="str">
        <f t="shared" si="200"/>
        <v/>
      </c>
      <c r="O865" s="206" t="str">
        <f t="shared" si="201"/>
        <v/>
      </c>
      <c r="P865" s="84" t="str">
        <f t="shared" si="202"/>
        <v/>
      </c>
      <c r="Q865" s="205"/>
      <c r="R865" s="70" t="str">
        <f>IF(S865="IN",'BOM_Phan II'!$Y$3,"")</f>
        <v/>
      </c>
      <c r="S865" s="69" t="str">
        <f t="shared" si="194"/>
        <v/>
      </c>
      <c r="T865">
        <f t="shared" si="203"/>
        <v>3</v>
      </c>
      <c r="U865" t="str">
        <f t="shared" si="191"/>
        <v>KIỆN 14</v>
      </c>
      <c r="V865" t="str">
        <f t="shared" si="204"/>
        <v/>
      </c>
      <c r="W865" s="266"/>
      <c r="X865" s="266"/>
      <c r="Y865" s="266" t="str">
        <f t="shared" si="196"/>
        <v/>
      </c>
      <c r="Z865" s="266"/>
    </row>
    <row r="866" spans="1:26" ht="27" hidden="1" customHeight="1">
      <c r="A866" s="70" t="str">
        <f t="shared" si="192"/>
        <v/>
      </c>
      <c r="B866" s="70" t="str">
        <f t="shared" si="193"/>
        <v/>
      </c>
      <c r="C866" s="204" t="str" cm="1">
        <f t="array" ref="C866">IF(D866="","",
    IF(AND(ISNUMBER(D866), D866=INT(D866)),
        $V$6 &amp; " " &amp; (IFERROR(MAX($Y$12:$Y865), 0) + 1),
        IF(ISNUMBER(SEARCH(".", D866)), "", INDEX($C$12:$C866, MATCH(2, 1/($C$12:$C866 &lt;&gt; ""))))
    )
)</f>
        <v/>
      </c>
      <c r="D866" s="206"/>
      <c r="E866" s="206" t="str">
        <f>IF(AA866 = "", "",
    IF(ISNUMBER(SEARCH("Kiện", C866)),
       " GÓI " &amp; COUNTIF($C$13:C866, "*Kiện*") &amp; "/" &amp; COUNTIF($C$13:$C$1000, "*Kiện*") &amp; " " &amp; AA866,
       AA866)
)</f>
        <v/>
      </c>
      <c r="F866" s="206"/>
      <c r="G866" s="206"/>
      <c r="H866" s="206"/>
      <c r="I866" s="206"/>
      <c r="J866" s="206" t="str">
        <f t="shared" si="195"/>
        <v/>
      </c>
      <c r="K866" s="206" t="str">
        <f t="shared" si="197"/>
        <v/>
      </c>
      <c r="L866" s="206" t="str">
        <f t="shared" si="198"/>
        <v/>
      </c>
      <c r="M866" s="206" t="str">
        <f t="shared" si="199"/>
        <v/>
      </c>
      <c r="N866" s="206" t="str">
        <f t="shared" si="200"/>
        <v/>
      </c>
      <c r="O866" s="206" t="str">
        <f t="shared" si="201"/>
        <v/>
      </c>
      <c r="P866" s="84" t="str">
        <f t="shared" si="202"/>
        <v/>
      </c>
      <c r="Q866" s="205"/>
      <c r="R866" s="70" t="str">
        <f>IF(S866="IN",'BOM_Phan II'!$Y$3,"")</f>
        <v/>
      </c>
      <c r="S866" s="69" t="str">
        <f t="shared" si="194"/>
        <v/>
      </c>
      <c r="T866">
        <f t="shared" si="203"/>
        <v>3</v>
      </c>
      <c r="U866" t="str">
        <f t="shared" si="191"/>
        <v>KIỆN 14</v>
      </c>
      <c r="V866" t="str">
        <f t="shared" si="204"/>
        <v/>
      </c>
      <c r="W866" s="266"/>
      <c r="X866" s="266"/>
      <c r="Y866" s="266" t="str">
        <f t="shared" si="196"/>
        <v/>
      </c>
      <c r="Z866" s="266"/>
    </row>
    <row r="867" spans="1:26" ht="27" hidden="1" customHeight="1">
      <c r="A867" s="70" t="str">
        <f t="shared" si="192"/>
        <v/>
      </c>
      <c r="B867" s="70" t="str">
        <f t="shared" si="193"/>
        <v/>
      </c>
      <c r="C867" s="204" t="str" cm="1">
        <f t="array" ref="C867">IF(D867="","",
    IF(AND(ISNUMBER(D867), D867=INT(D867)),
        $V$6 &amp; " " &amp; (IFERROR(MAX($Y$12:$Y866), 0) + 1),
        IF(ISNUMBER(SEARCH(".", D867)), "", INDEX($C$12:$C867, MATCH(2, 1/($C$12:$C867 &lt;&gt; ""))))
    )
)</f>
        <v/>
      </c>
      <c r="D867" s="206"/>
      <c r="E867" s="206" t="str">
        <f>IF(AA867 = "", "",
    IF(ISNUMBER(SEARCH("Kiện", C867)),
       " GÓI " &amp; COUNTIF($C$13:C867, "*Kiện*") &amp; "/" &amp; COUNTIF($C$13:$C$1000, "*Kiện*") &amp; " " &amp; AA867,
       AA867)
)</f>
        <v/>
      </c>
      <c r="F867" s="206"/>
      <c r="G867" s="206"/>
      <c r="H867" s="206"/>
      <c r="I867" s="206"/>
      <c r="J867" s="206" t="str">
        <f t="shared" si="195"/>
        <v/>
      </c>
      <c r="K867" s="206" t="str">
        <f t="shared" si="197"/>
        <v/>
      </c>
      <c r="L867" s="206" t="str">
        <f t="shared" si="198"/>
        <v/>
      </c>
      <c r="M867" s="206" t="str">
        <f t="shared" si="199"/>
        <v/>
      </c>
      <c r="N867" s="206" t="str">
        <f t="shared" si="200"/>
        <v/>
      </c>
      <c r="O867" s="206" t="str">
        <f t="shared" si="201"/>
        <v/>
      </c>
      <c r="P867" s="84" t="str">
        <f t="shared" si="202"/>
        <v/>
      </c>
      <c r="Q867" s="205"/>
      <c r="R867" s="70" t="str">
        <f>IF(S867="IN",'BOM_Phan II'!$Y$3,"")</f>
        <v/>
      </c>
      <c r="S867" s="69" t="str">
        <f t="shared" si="194"/>
        <v/>
      </c>
      <c r="T867">
        <f t="shared" si="203"/>
        <v>3</v>
      </c>
      <c r="U867" t="str">
        <f t="shared" si="191"/>
        <v>KIỆN 14</v>
      </c>
      <c r="V867" t="str">
        <f t="shared" si="204"/>
        <v/>
      </c>
      <c r="W867" s="266"/>
      <c r="X867" s="266"/>
      <c r="Y867" s="266" t="str">
        <f t="shared" si="196"/>
        <v/>
      </c>
      <c r="Z867" s="266"/>
    </row>
    <row r="868" spans="1:26" ht="27" hidden="1" customHeight="1">
      <c r="A868" s="70" t="str">
        <f t="shared" si="192"/>
        <v/>
      </c>
      <c r="B868" s="70" t="str">
        <f t="shared" si="193"/>
        <v/>
      </c>
      <c r="C868" s="204" t="str" cm="1">
        <f t="array" ref="C868">IF(D868="","",
    IF(AND(ISNUMBER(D868), D868=INT(D868)),
        $V$6 &amp; " " &amp; (IFERROR(MAX($Y$12:$Y867), 0) + 1),
        IF(ISNUMBER(SEARCH(".", D868)), "", INDEX($C$12:$C868, MATCH(2, 1/($C$12:$C868 &lt;&gt; ""))))
    )
)</f>
        <v/>
      </c>
      <c r="D868" s="206"/>
      <c r="E868" s="206" t="str">
        <f>IF(AA868 = "", "",
    IF(ISNUMBER(SEARCH("Kiện", C868)),
       " GÓI " &amp; COUNTIF($C$13:C868, "*Kiện*") &amp; "/" &amp; COUNTIF($C$13:$C$1000, "*Kiện*") &amp; " " &amp; AA868,
       AA868)
)</f>
        <v/>
      </c>
      <c r="F868" s="206"/>
      <c r="G868" s="206"/>
      <c r="H868" s="206"/>
      <c r="I868" s="206"/>
      <c r="J868" s="206" t="str">
        <f t="shared" si="195"/>
        <v/>
      </c>
      <c r="K868" s="206" t="str">
        <f t="shared" si="197"/>
        <v/>
      </c>
      <c r="L868" s="206" t="str">
        <f t="shared" si="198"/>
        <v/>
      </c>
      <c r="M868" s="206" t="str">
        <f t="shared" si="199"/>
        <v/>
      </c>
      <c r="N868" s="206" t="str">
        <f t="shared" si="200"/>
        <v/>
      </c>
      <c r="O868" s="206" t="str">
        <f t="shared" si="201"/>
        <v/>
      </c>
      <c r="P868" s="84" t="str">
        <f t="shared" si="202"/>
        <v/>
      </c>
      <c r="Q868" s="205"/>
      <c r="R868" s="70" t="str">
        <f>IF(S868="IN",'BOM_Phan II'!$Y$3,"")</f>
        <v/>
      </c>
      <c r="S868" s="69" t="str">
        <f t="shared" si="194"/>
        <v/>
      </c>
      <c r="T868">
        <f t="shared" si="203"/>
        <v>3</v>
      </c>
      <c r="U868" t="str">
        <f t="shared" si="191"/>
        <v>KIỆN 14</v>
      </c>
      <c r="V868" t="str">
        <f t="shared" si="204"/>
        <v/>
      </c>
      <c r="W868" s="266"/>
      <c r="X868" s="266"/>
      <c r="Y868" s="266" t="str">
        <f t="shared" si="196"/>
        <v/>
      </c>
      <c r="Z868" s="266"/>
    </row>
    <row r="869" spans="1:26" ht="27" hidden="1" customHeight="1">
      <c r="A869" s="70" t="str">
        <f t="shared" si="192"/>
        <v/>
      </c>
      <c r="B869" s="70" t="str">
        <f t="shared" si="193"/>
        <v/>
      </c>
      <c r="C869" s="204" t="str" cm="1">
        <f t="array" ref="C869">IF(D869="","",
    IF(AND(ISNUMBER(D869), D869=INT(D869)),
        $V$6 &amp; " " &amp; (IFERROR(MAX($Y$12:$Y868), 0) + 1),
        IF(ISNUMBER(SEARCH(".", D869)), "", INDEX($C$12:$C869, MATCH(2, 1/($C$12:$C869 &lt;&gt; ""))))
    )
)</f>
        <v/>
      </c>
      <c r="D869" s="206"/>
      <c r="E869" s="206" t="str">
        <f>IF(AA869 = "", "",
    IF(ISNUMBER(SEARCH("Kiện", C869)),
       " GÓI " &amp; COUNTIF($C$13:C869, "*Kiện*") &amp; "/" &amp; COUNTIF($C$13:$C$1000, "*Kiện*") &amp; " " &amp; AA869,
       AA869)
)</f>
        <v/>
      </c>
      <c r="F869" s="206"/>
      <c r="G869" s="206"/>
      <c r="H869" s="206"/>
      <c r="I869" s="206"/>
      <c r="J869" s="206" t="str">
        <f t="shared" si="195"/>
        <v/>
      </c>
      <c r="K869" s="206" t="str">
        <f t="shared" si="197"/>
        <v/>
      </c>
      <c r="L869" s="206" t="str">
        <f t="shared" si="198"/>
        <v/>
      </c>
      <c r="M869" s="206" t="str">
        <f t="shared" si="199"/>
        <v/>
      </c>
      <c r="N869" s="206" t="str">
        <f t="shared" si="200"/>
        <v/>
      </c>
      <c r="O869" s="206" t="str">
        <f t="shared" si="201"/>
        <v/>
      </c>
      <c r="P869" s="84" t="str">
        <f t="shared" si="202"/>
        <v/>
      </c>
      <c r="Q869" s="205"/>
      <c r="R869" s="70" t="str">
        <f>IF(S869="IN",'BOM_Phan II'!$Y$3,"")</f>
        <v/>
      </c>
      <c r="S869" s="69" t="str">
        <f t="shared" si="194"/>
        <v/>
      </c>
      <c r="T869">
        <f t="shared" si="203"/>
        <v>3</v>
      </c>
      <c r="U869" t="str">
        <f t="shared" si="191"/>
        <v>KIỆN 14</v>
      </c>
      <c r="V869" t="str">
        <f t="shared" si="204"/>
        <v/>
      </c>
      <c r="W869" s="266"/>
      <c r="X869" s="266"/>
      <c r="Y869" s="266" t="str">
        <f t="shared" si="196"/>
        <v/>
      </c>
      <c r="Z869" s="266"/>
    </row>
    <row r="870" spans="1:26" ht="27" hidden="1" customHeight="1">
      <c r="A870" s="70" t="str">
        <f t="shared" si="192"/>
        <v/>
      </c>
      <c r="B870" s="70" t="str">
        <f t="shared" si="193"/>
        <v/>
      </c>
      <c r="C870" s="204" t="str" cm="1">
        <f t="array" ref="C870">IF(D870="","",
    IF(AND(ISNUMBER(D870), D870=INT(D870)),
        $V$6 &amp; " " &amp; (IFERROR(MAX($Y$12:$Y869), 0) + 1),
        IF(ISNUMBER(SEARCH(".", D870)), "", INDEX($C$12:$C870, MATCH(2, 1/($C$12:$C870 &lt;&gt; ""))))
    )
)</f>
        <v/>
      </c>
      <c r="D870" s="206"/>
      <c r="E870" s="206" t="str">
        <f>IF(AA870 = "", "",
    IF(ISNUMBER(SEARCH("Kiện", C870)),
       " GÓI " &amp; COUNTIF($C$13:C870, "*Kiện*") &amp; "/" &amp; COUNTIF($C$13:$C$1000, "*Kiện*") &amp; " " &amp; AA870,
       AA870)
)</f>
        <v/>
      </c>
      <c r="F870" s="206"/>
      <c r="G870" s="206"/>
      <c r="H870" s="206"/>
      <c r="I870" s="206"/>
      <c r="J870" s="206" t="str">
        <f t="shared" si="195"/>
        <v/>
      </c>
      <c r="K870" s="206" t="str">
        <f t="shared" si="197"/>
        <v/>
      </c>
      <c r="L870" s="206" t="str">
        <f t="shared" si="198"/>
        <v/>
      </c>
      <c r="M870" s="206" t="str">
        <f t="shared" si="199"/>
        <v/>
      </c>
      <c r="N870" s="206" t="str">
        <f t="shared" si="200"/>
        <v/>
      </c>
      <c r="O870" s="206" t="str">
        <f t="shared" si="201"/>
        <v/>
      </c>
      <c r="P870" s="84" t="str">
        <f t="shared" si="202"/>
        <v/>
      </c>
      <c r="Q870" s="205"/>
      <c r="R870" s="70" t="str">
        <f>IF(S870="IN",'BOM_Phan II'!$Y$3,"")</f>
        <v/>
      </c>
      <c r="S870" s="69" t="str">
        <f t="shared" si="194"/>
        <v/>
      </c>
      <c r="T870">
        <f t="shared" si="203"/>
        <v>3</v>
      </c>
      <c r="U870" t="str">
        <f t="shared" si="191"/>
        <v>KIỆN 14</v>
      </c>
      <c r="V870" t="str">
        <f t="shared" si="204"/>
        <v/>
      </c>
      <c r="W870" s="266"/>
      <c r="X870" s="266"/>
      <c r="Y870" s="266" t="str">
        <f t="shared" si="196"/>
        <v/>
      </c>
      <c r="Z870" s="266"/>
    </row>
    <row r="871" spans="1:26" ht="27" hidden="1" customHeight="1">
      <c r="A871" s="70" t="str">
        <f t="shared" si="192"/>
        <v/>
      </c>
      <c r="B871" s="70" t="str">
        <f t="shared" si="193"/>
        <v/>
      </c>
      <c r="C871" s="204" t="str" cm="1">
        <f t="array" ref="C871">IF(D871="","",
    IF(AND(ISNUMBER(D871), D871=INT(D871)),
        $V$6 &amp; " " &amp; (IFERROR(MAX($Y$12:$Y870), 0) + 1),
        IF(ISNUMBER(SEARCH(".", D871)), "", INDEX($C$12:$C871, MATCH(2, 1/($C$12:$C871 &lt;&gt; ""))))
    )
)</f>
        <v/>
      </c>
      <c r="D871" s="206"/>
      <c r="E871" s="206" t="str">
        <f>IF(AA871 = "", "",
    IF(ISNUMBER(SEARCH("Kiện", C871)),
       " GÓI " &amp; COUNTIF($C$13:C871, "*Kiện*") &amp; "/" &amp; COUNTIF($C$13:$C$1000, "*Kiện*") &amp; " " &amp; AA871,
       AA871)
)</f>
        <v/>
      </c>
      <c r="F871" s="206"/>
      <c r="G871" s="206"/>
      <c r="H871" s="206"/>
      <c r="I871" s="206"/>
      <c r="J871" s="206" t="str">
        <f t="shared" si="195"/>
        <v/>
      </c>
      <c r="K871" s="206" t="str">
        <f t="shared" si="197"/>
        <v/>
      </c>
      <c r="L871" s="206" t="str">
        <f t="shared" si="198"/>
        <v/>
      </c>
      <c r="M871" s="206" t="str">
        <f t="shared" si="199"/>
        <v/>
      </c>
      <c r="N871" s="206" t="str">
        <f t="shared" si="200"/>
        <v/>
      </c>
      <c r="O871" s="206" t="str">
        <f t="shared" si="201"/>
        <v/>
      </c>
      <c r="P871" s="84" t="str">
        <f t="shared" si="202"/>
        <v/>
      </c>
      <c r="Q871" s="205"/>
      <c r="R871" s="70" t="str">
        <f>IF(S871="IN",'BOM_Phan II'!$Y$3,"")</f>
        <v/>
      </c>
      <c r="S871" s="69" t="str">
        <f t="shared" si="194"/>
        <v/>
      </c>
      <c r="T871">
        <f t="shared" si="203"/>
        <v>3</v>
      </c>
      <c r="U871" t="str">
        <f t="shared" si="191"/>
        <v>KIỆN 14</v>
      </c>
      <c r="V871" t="str">
        <f t="shared" si="204"/>
        <v/>
      </c>
      <c r="W871" s="266"/>
      <c r="X871" s="266"/>
      <c r="Y871" s="266" t="str">
        <f t="shared" si="196"/>
        <v/>
      </c>
      <c r="Z871" s="266"/>
    </row>
    <row r="872" spans="1:26" ht="27" hidden="1" customHeight="1">
      <c r="A872" s="70" t="str">
        <f t="shared" si="192"/>
        <v/>
      </c>
      <c r="B872" s="70" t="str">
        <f t="shared" si="193"/>
        <v/>
      </c>
      <c r="C872" s="204" t="str" cm="1">
        <f t="array" ref="C872">IF(D872="","",
    IF(AND(ISNUMBER(D872), D872=INT(D872)),
        $V$6 &amp; " " &amp; (IFERROR(MAX($Y$12:$Y871), 0) + 1),
        IF(ISNUMBER(SEARCH(".", D872)), "", INDEX($C$12:$C872, MATCH(2, 1/($C$12:$C872 &lt;&gt; ""))))
    )
)</f>
        <v/>
      </c>
      <c r="D872" s="206"/>
      <c r="E872" s="206" t="str">
        <f>IF(AA872 = "", "",
    IF(ISNUMBER(SEARCH("Kiện", C872)),
       " GÓI " &amp; COUNTIF($C$13:C872, "*Kiện*") &amp; "/" &amp; COUNTIF($C$13:$C$1000, "*Kiện*") &amp; " " &amp; AA872,
       AA872)
)</f>
        <v/>
      </c>
      <c r="F872" s="206"/>
      <c r="G872" s="206"/>
      <c r="H872" s="206"/>
      <c r="I872" s="206"/>
      <c r="J872" s="206" t="str">
        <f t="shared" si="195"/>
        <v/>
      </c>
      <c r="K872" s="206" t="str">
        <f t="shared" si="197"/>
        <v/>
      </c>
      <c r="L872" s="206" t="str">
        <f t="shared" si="198"/>
        <v/>
      </c>
      <c r="M872" s="206" t="str">
        <f t="shared" si="199"/>
        <v/>
      </c>
      <c r="N872" s="206" t="str">
        <f t="shared" si="200"/>
        <v/>
      </c>
      <c r="O872" s="206" t="str">
        <f t="shared" si="201"/>
        <v/>
      </c>
      <c r="P872" s="84" t="str">
        <f t="shared" si="202"/>
        <v/>
      </c>
      <c r="Q872" s="205"/>
      <c r="R872" s="70" t="str">
        <f>IF(S872="IN",'BOM_Phan II'!$Y$3,"")</f>
        <v/>
      </c>
      <c r="S872" s="69" t="str">
        <f t="shared" si="194"/>
        <v/>
      </c>
      <c r="T872">
        <f t="shared" si="203"/>
        <v>3</v>
      </c>
      <c r="U872" t="str">
        <f t="shared" si="191"/>
        <v>KIỆN 14</v>
      </c>
      <c r="V872" t="str">
        <f t="shared" si="204"/>
        <v/>
      </c>
      <c r="W872" s="266"/>
      <c r="X872" s="266"/>
      <c r="Y872" s="266" t="str">
        <f t="shared" si="196"/>
        <v/>
      </c>
      <c r="Z872" s="266"/>
    </row>
    <row r="873" spans="1:26" ht="27" hidden="1" customHeight="1">
      <c r="A873" s="70" t="str">
        <f t="shared" si="192"/>
        <v/>
      </c>
      <c r="B873" s="70" t="str">
        <f t="shared" si="193"/>
        <v/>
      </c>
      <c r="C873" s="204" t="str" cm="1">
        <f t="array" ref="C873">IF(D873="","",
    IF(AND(ISNUMBER(D873), D873=INT(D873)),
        $V$6 &amp; " " &amp; (IFERROR(MAX($Y$12:$Y872), 0) + 1),
        IF(ISNUMBER(SEARCH(".", D873)), "", INDEX($C$12:$C873, MATCH(2, 1/($C$12:$C873 &lt;&gt; ""))))
    )
)</f>
        <v/>
      </c>
      <c r="D873" s="206"/>
      <c r="E873" s="206" t="str">
        <f>IF(AA873 = "", "",
    IF(ISNUMBER(SEARCH("Kiện", C873)),
       " GÓI " &amp; COUNTIF($C$13:C873, "*Kiện*") &amp; "/" &amp; COUNTIF($C$13:$C$1000, "*Kiện*") &amp; " " &amp; AA873,
       AA873)
)</f>
        <v/>
      </c>
      <c r="F873" s="206"/>
      <c r="G873" s="206"/>
      <c r="H873" s="206"/>
      <c r="I873" s="206"/>
      <c r="J873" s="206" t="str">
        <f t="shared" si="195"/>
        <v/>
      </c>
      <c r="K873" s="206" t="str">
        <f t="shared" si="197"/>
        <v/>
      </c>
      <c r="L873" s="206" t="str">
        <f t="shared" si="198"/>
        <v/>
      </c>
      <c r="M873" s="206" t="str">
        <f t="shared" si="199"/>
        <v/>
      </c>
      <c r="N873" s="206" t="str">
        <f t="shared" si="200"/>
        <v/>
      </c>
      <c r="O873" s="206" t="str">
        <f t="shared" si="201"/>
        <v/>
      </c>
      <c r="P873" s="84" t="str">
        <f t="shared" si="202"/>
        <v/>
      </c>
      <c r="Q873" s="205"/>
      <c r="R873" s="70" t="str">
        <f>IF(S873="IN",'BOM_Phan II'!$Y$3,"")</f>
        <v/>
      </c>
      <c r="S873" s="69" t="str">
        <f t="shared" si="194"/>
        <v/>
      </c>
      <c r="T873">
        <f t="shared" si="203"/>
        <v>3</v>
      </c>
      <c r="U873" t="str">
        <f t="shared" si="191"/>
        <v>KIỆN 14</v>
      </c>
      <c r="V873" t="str">
        <f t="shared" si="204"/>
        <v/>
      </c>
      <c r="W873" s="266"/>
      <c r="X873" s="266"/>
      <c r="Y873" s="266" t="str">
        <f t="shared" si="196"/>
        <v/>
      </c>
      <c r="Z873" s="266"/>
    </row>
    <row r="874" spans="1:26" ht="27" hidden="1" customHeight="1">
      <c r="A874" s="70" t="str">
        <f t="shared" si="192"/>
        <v/>
      </c>
      <c r="B874" s="70" t="str">
        <f t="shared" si="193"/>
        <v/>
      </c>
      <c r="C874" s="204" t="str" cm="1">
        <f t="array" ref="C874">IF(D874="","",
    IF(AND(ISNUMBER(D874), D874=INT(D874)),
        $V$6 &amp; " " &amp; (IFERROR(MAX($Y$12:$Y873), 0) + 1),
        IF(ISNUMBER(SEARCH(".", D874)), "", INDEX($C$12:$C874, MATCH(2, 1/($C$12:$C874 &lt;&gt; ""))))
    )
)</f>
        <v/>
      </c>
      <c r="D874" s="206"/>
      <c r="E874" s="206" t="str">
        <f>IF(AA874 = "", "",
    IF(ISNUMBER(SEARCH("Kiện", C874)),
       " GÓI " &amp; COUNTIF($C$13:C874, "*Kiện*") &amp; "/" &amp; COUNTIF($C$13:$C$1000, "*Kiện*") &amp; " " &amp; AA874,
       AA874)
)</f>
        <v/>
      </c>
      <c r="F874" s="206"/>
      <c r="G874" s="206"/>
      <c r="H874" s="206"/>
      <c r="I874" s="206"/>
      <c r="J874" s="206" t="str">
        <f t="shared" si="195"/>
        <v/>
      </c>
      <c r="K874" s="206" t="str">
        <f t="shared" si="197"/>
        <v/>
      </c>
      <c r="L874" s="206" t="str">
        <f t="shared" si="198"/>
        <v/>
      </c>
      <c r="M874" s="206" t="str">
        <f t="shared" si="199"/>
        <v/>
      </c>
      <c r="N874" s="206" t="str">
        <f t="shared" si="200"/>
        <v/>
      </c>
      <c r="O874" s="206" t="str">
        <f t="shared" si="201"/>
        <v/>
      </c>
      <c r="P874" s="84" t="str">
        <f t="shared" si="202"/>
        <v/>
      </c>
      <c r="Q874" s="205"/>
      <c r="R874" s="70" t="str">
        <f>IF(S874="IN",'BOM_Phan II'!$Y$3,"")</f>
        <v/>
      </c>
      <c r="S874" s="69" t="str">
        <f t="shared" si="194"/>
        <v/>
      </c>
      <c r="T874">
        <f t="shared" si="203"/>
        <v>3</v>
      </c>
      <c r="U874" t="str">
        <f t="shared" si="191"/>
        <v>KIỆN 14</v>
      </c>
      <c r="V874" t="str">
        <f t="shared" si="204"/>
        <v/>
      </c>
      <c r="W874" s="266"/>
      <c r="X874" s="266"/>
      <c r="Y874" s="266" t="str">
        <f t="shared" si="196"/>
        <v/>
      </c>
      <c r="Z874" s="266"/>
    </row>
    <row r="875" spans="1:26" ht="27" hidden="1" customHeight="1">
      <c r="A875" s="70" t="str">
        <f t="shared" si="192"/>
        <v/>
      </c>
      <c r="B875" s="70" t="str">
        <f t="shared" si="193"/>
        <v/>
      </c>
      <c r="C875" s="204" t="str" cm="1">
        <f t="array" ref="C875">IF(D875="","",
    IF(AND(ISNUMBER(D875), D875=INT(D875)),
        $V$6 &amp; " " &amp; (IFERROR(MAX($Y$12:$Y874), 0) + 1),
        IF(ISNUMBER(SEARCH(".", D875)), "", INDEX($C$12:$C875, MATCH(2, 1/($C$12:$C875 &lt;&gt; ""))))
    )
)</f>
        <v/>
      </c>
      <c r="D875" s="206"/>
      <c r="E875" s="206" t="str">
        <f>IF(AA875 = "", "",
    IF(ISNUMBER(SEARCH("Kiện", C875)),
       " GÓI " &amp; COUNTIF($C$13:C875, "*Kiện*") &amp; "/" &amp; COUNTIF($C$13:$C$1000, "*Kiện*") &amp; " " &amp; AA875,
       AA875)
)</f>
        <v/>
      </c>
      <c r="F875" s="206"/>
      <c r="G875" s="206"/>
      <c r="H875" s="206"/>
      <c r="I875" s="206"/>
      <c r="J875" s="206" t="str">
        <f t="shared" si="195"/>
        <v/>
      </c>
      <c r="K875" s="206" t="str">
        <f t="shared" si="197"/>
        <v/>
      </c>
      <c r="L875" s="206" t="str">
        <f t="shared" si="198"/>
        <v/>
      </c>
      <c r="M875" s="206" t="str">
        <f t="shared" si="199"/>
        <v/>
      </c>
      <c r="N875" s="206" t="str">
        <f t="shared" si="200"/>
        <v/>
      </c>
      <c r="O875" s="206" t="str">
        <f t="shared" si="201"/>
        <v/>
      </c>
      <c r="P875" s="84" t="str">
        <f t="shared" si="202"/>
        <v/>
      </c>
      <c r="Q875" s="205"/>
      <c r="R875" s="70" t="str">
        <f>IF(S875="IN",'BOM_Phan II'!$Y$3,"")</f>
        <v/>
      </c>
      <c r="S875" s="69" t="str">
        <f t="shared" si="194"/>
        <v/>
      </c>
      <c r="T875">
        <f t="shared" si="203"/>
        <v>3</v>
      </c>
      <c r="U875" t="str">
        <f t="shared" si="191"/>
        <v>KIỆN 14</v>
      </c>
      <c r="V875" t="str">
        <f t="shared" si="204"/>
        <v/>
      </c>
      <c r="W875" s="266"/>
      <c r="X875" s="266"/>
      <c r="Y875" s="266" t="str">
        <f t="shared" si="196"/>
        <v/>
      </c>
      <c r="Z875" s="266"/>
    </row>
    <row r="876" spans="1:26" ht="27" hidden="1" customHeight="1">
      <c r="A876" s="70" t="str">
        <f t="shared" si="192"/>
        <v/>
      </c>
      <c r="B876" s="70" t="str">
        <f t="shared" si="193"/>
        <v/>
      </c>
      <c r="C876" s="204" t="str" cm="1">
        <f t="array" ref="C876">IF(D876="","",
    IF(AND(ISNUMBER(D876), D876=INT(D876)),
        $V$6 &amp; " " &amp; (IFERROR(MAX($Y$12:$Y875), 0) + 1),
        IF(ISNUMBER(SEARCH(".", D876)), "", INDEX($C$12:$C876, MATCH(2, 1/($C$12:$C876 &lt;&gt; ""))))
    )
)</f>
        <v/>
      </c>
      <c r="D876" s="206"/>
      <c r="E876" s="206" t="str">
        <f>IF(AA876 = "", "",
    IF(ISNUMBER(SEARCH("Kiện", C876)),
       " GÓI " &amp; COUNTIF($C$13:C876, "*Kiện*") &amp; "/" &amp; COUNTIF($C$13:$C$1000, "*Kiện*") &amp; " " &amp; AA876,
       AA876)
)</f>
        <v/>
      </c>
      <c r="F876" s="206"/>
      <c r="G876" s="206"/>
      <c r="H876" s="206"/>
      <c r="I876" s="206"/>
      <c r="J876" s="206" t="str">
        <f t="shared" si="195"/>
        <v/>
      </c>
      <c r="K876" s="206" t="str">
        <f t="shared" si="197"/>
        <v/>
      </c>
      <c r="L876" s="206" t="str">
        <f t="shared" si="198"/>
        <v/>
      </c>
      <c r="M876" s="206" t="str">
        <f t="shared" si="199"/>
        <v/>
      </c>
      <c r="N876" s="206" t="str">
        <f t="shared" si="200"/>
        <v/>
      </c>
      <c r="O876" s="206" t="str">
        <f t="shared" si="201"/>
        <v/>
      </c>
      <c r="P876" s="84" t="str">
        <f t="shared" si="202"/>
        <v/>
      </c>
      <c r="Q876" s="205"/>
      <c r="R876" s="70" t="str">
        <f>IF(S876="IN",'BOM_Phan II'!$Y$3,"")</f>
        <v/>
      </c>
      <c r="S876" s="69" t="str">
        <f t="shared" si="194"/>
        <v/>
      </c>
      <c r="T876">
        <f t="shared" si="203"/>
        <v>3</v>
      </c>
      <c r="U876" t="str">
        <f t="shared" si="191"/>
        <v>KIỆN 14</v>
      </c>
      <c r="V876" t="str">
        <f t="shared" si="204"/>
        <v/>
      </c>
      <c r="W876" s="266"/>
      <c r="X876" s="266"/>
      <c r="Y876" s="266" t="str">
        <f t="shared" si="196"/>
        <v/>
      </c>
      <c r="Z876" s="266"/>
    </row>
    <row r="877" spans="1:26" ht="27" hidden="1" customHeight="1">
      <c r="A877" s="70" t="str">
        <f t="shared" si="192"/>
        <v/>
      </c>
      <c r="B877" s="70" t="str">
        <f t="shared" si="193"/>
        <v/>
      </c>
      <c r="C877" s="204" t="str" cm="1">
        <f t="array" ref="C877">IF(D877="","",
    IF(AND(ISNUMBER(D877), D877=INT(D877)),
        $V$6 &amp; " " &amp; (IFERROR(MAX($Y$12:$Y876), 0) + 1),
        IF(ISNUMBER(SEARCH(".", D877)), "", INDEX($C$12:$C877, MATCH(2, 1/($C$12:$C877 &lt;&gt; ""))))
    )
)</f>
        <v/>
      </c>
      <c r="D877" s="206"/>
      <c r="E877" s="206" t="str">
        <f>IF(AA877 = "", "",
    IF(ISNUMBER(SEARCH("Kiện", C877)),
       " GÓI " &amp; COUNTIF($C$13:C877, "*Kiện*") &amp; "/" &amp; COUNTIF($C$13:$C$1000, "*Kiện*") &amp; " " &amp; AA877,
       AA877)
)</f>
        <v/>
      </c>
      <c r="F877" s="206"/>
      <c r="G877" s="206"/>
      <c r="H877" s="206"/>
      <c r="I877" s="206"/>
      <c r="J877" s="206" t="str">
        <f t="shared" si="195"/>
        <v/>
      </c>
      <c r="K877" s="206" t="str">
        <f t="shared" si="197"/>
        <v/>
      </c>
      <c r="L877" s="206" t="str">
        <f t="shared" si="198"/>
        <v/>
      </c>
      <c r="M877" s="206" t="str">
        <f t="shared" si="199"/>
        <v/>
      </c>
      <c r="N877" s="206" t="str">
        <f t="shared" si="200"/>
        <v/>
      </c>
      <c r="O877" s="206" t="str">
        <f t="shared" si="201"/>
        <v/>
      </c>
      <c r="P877" s="84" t="str">
        <f t="shared" si="202"/>
        <v/>
      </c>
      <c r="Q877" s="205"/>
      <c r="R877" s="70" t="str">
        <f>IF(S877="IN",'BOM_Phan II'!$Y$3,"")</f>
        <v/>
      </c>
      <c r="S877" s="69" t="str">
        <f t="shared" si="194"/>
        <v/>
      </c>
      <c r="T877">
        <f t="shared" si="203"/>
        <v>3</v>
      </c>
      <c r="U877" t="str">
        <f t="shared" si="191"/>
        <v>KIỆN 14</v>
      </c>
      <c r="V877" t="str">
        <f t="shared" si="204"/>
        <v/>
      </c>
      <c r="W877" s="266"/>
      <c r="X877" s="266"/>
      <c r="Y877" s="266" t="str">
        <f t="shared" si="196"/>
        <v/>
      </c>
      <c r="Z877" s="266"/>
    </row>
    <row r="878" spans="1:26" ht="27" hidden="1" customHeight="1">
      <c r="A878" s="70" t="str">
        <f t="shared" si="192"/>
        <v/>
      </c>
      <c r="B878" s="70" t="str">
        <f t="shared" si="193"/>
        <v/>
      </c>
      <c r="C878" s="204" t="str" cm="1">
        <f t="array" ref="C878">IF(D878="","",
    IF(AND(ISNUMBER(D878), D878=INT(D878)),
        $V$6 &amp; " " &amp; (IFERROR(MAX($Y$12:$Y877), 0) + 1),
        IF(ISNUMBER(SEARCH(".", D878)), "", INDEX($C$12:$C878, MATCH(2, 1/($C$12:$C878 &lt;&gt; ""))))
    )
)</f>
        <v/>
      </c>
      <c r="D878" s="206"/>
      <c r="E878" s="206" t="str">
        <f>IF(AA878 = "", "",
    IF(ISNUMBER(SEARCH("Kiện", C878)),
       " GÓI " &amp; COUNTIF($C$13:C878, "*Kiện*") &amp; "/" &amp; COUNTIF($C$13:$C$1000, "*Kiện*") &amp; " " &amp; AA878,
       AA878)
)</f>
        <v/>
      </c>
      <c r="F878" s="206"/>
      <c r="G878" s="206"/>
      <c r="H878" s="206"/>
      <c r="I878" s="206"/>
      <c r="J878" s="206" t="str">
        <f t="shared" si="195"/>
        <v/>
      </c>
      <c r="K878" s="206" t="str">
        <f t="shared" si="197"/>
        <v/>
      </c>
      <c r="L878" s="206" t="str">
        <f t="shared" si="198"/>
        <v/>
      </c>
      <c r="M878" s="206" t="str">
        <f t="shared" si="199"/>
        <v/>
      </c>
      <c r="N878" s="206" t="str">
        <f t="shared" si="200"/>
        <v/>
      </c>
      <c r="O878" s="206" t="str">
        <f t="shared" si="201"/>
        <v/>
      </c>
      <c r="P878" s="84" t="str">
        <f t="shared" si="202"/>
        <v/>
      </c>
      <c r="Q878" s="205"/>
      <c r="R878" s="70" t="str">
        <f>IF(S878="IN",'BOM_Phan II'!$Y$3,"")</f>
        <v/>
      </c>
      <c r="S878" s="69" t="str">
        <f t="shared" si="194"/>
        <v/>
      </c>
      <c r="T878">
        <f t="shared" si="203"/>
        <v>3</v>
      </c>
      <c r="U878" t="str">
        <f t="shared" si="191"/>
        <v>KIỆN 14</v>
      </c>
      <c r="V878" t="str">
        <f t="shared" si="204"/>
        <v/>
      </c>
      <c r="W878" s="266"/>
      <c r="X878" s="266"/>
      <c r="Y878" s="266" t="str">
        <f t="shared" si="196"/>
        <v/>
      </c>
      <c r="Z878" s="266"/>
    </row>
    <row r="879" spans="1:26" ht="27" hidden="1" customHeight="1">
      <c r="A879" s="70" t="str">
        <f t="shared" si="192"/>
        <v/>
      </c>
      <c r="B879" s="70" t="str">
        <f t="shared" si="193"/>
        <v/>
      </c>
      <c r="C879" s="204" t="str" cm="1">
        <f t="array" ref="C879">IF(D879="","",
    IF(AND(ISNUMBER(D879), D879=INT(D879)),
        $V$6 &amp; " " &amp; (IFERROR(MAX($Y$12:$Y878), 0) + 1),
        IF(ISNUMBER(SEARCH(".", D879)), "", INDEX($C$12:$C879, MATCH(2, 1/($C$12:$C879 &lt;&gt; ""))))
    )
)</f>
        <v/>
      </c>
      <c r="D879" s="206"/>
      <c r="E879" s="206" t="str">
        <f>IF(AA879 = "", "",
    IF(ISNUMBER(SEARCH("Kiện", C879)),
       " GÓI " &amp; COUNTIF($C$13:C879, "*Kiện*") &amp; "/" &amp; COUNTIF($C$13:$C$1000, "*Kiện*") &amp; " " &amp; AA879,
       AA879)
)</f>
        <v/>
      </c>
      <c r="F879" s="206"/>
      <c r="G879" s="206"/>
      <c r="H879" s="206"/>
      <c r="I879" s="206"/>
      <c r="J879" s="206" t="str">
        <f t="shared" si="195"/>
        <v/>
      </c>
      <c r="K879" s="206" t="str">
        <f t="shared" si="197"/>
        <v/>
      </c>
      <c r="L879" s="206" t="str">
        <f t="shared" si="198"/>
        <v/>
      </c>
      <c r="M879" s="206" t="str">
        <f t="shared" si="199"/>
        <v/>
      </c>
      <c r="N879" s="206" t="str">
        <f t="shared" si="200"/>
        <v/>
      </c>
      <c r="O879" s="206" t="str">
        <f t="shared" si="201"/>
        <v/>
      </c>
      <c r="P879" s="84" t="str">
        <f t="shared" si="202"/>
        <v/>
      </c>
      <c r="Q879" s="205"/>
      <c r="R879" s="70" t="str">
        <f>IF(S879="IN",'BOM_Phan II'!$Y$3,"")</f>
        <v/>
      </c>
      <c r="S879" s="69" t="str">
        <f t="shared" si="194"/>
        <v/>
      </c>
      <c r="T879">
        <f t="shared" si="203"/>
        <v>3</v>
      </c>
      <c r="U879" t="str">
        <f t="shared" si="191"/>
        <v>KIỆN 14</v>
      </c>
      <c r="V879" t="str">
        <f t="shared" si="204"/>
        <v/>
      </c>
      <c r="W879" s="266"/>
      <c r="X879" s="266"/>
      <c r="Y879" s="266" t="str">
        <f t="shared" si="196"/>
        <v/>
      </c>
      <c r="Z879" s="266"/>
    </row>
    <row r="880" spans="1:26" ht="27" hidden="1" customHeight="1">
      <c r="A880" s="70" t="str">
        <f t="shared" si="192"/>
        <v/>
      </c>
      <c r="B880" s="70" t="str">
        <f t="shared" si="193"/>
        <v/>
      </c>
      <c r="C880" s="204" t="str" cm="1">
        <f t="array" ref="C880">IF(D880="","",
    IF(AND(ISNUMBER(D880), D880=INT(D880)),
        $V$6 &amp; " " &amp; (IFERROR(MAX($Y$12:$Y879), 0) + 1),
        IF(ISNUMBER(SEARCH(".", D880)), "", INDEX($C$12:$C880, MATCH(2, 1/($C$12:$C880 &lt;&gt; ""))))
    )
)</f>
        <v/>
      </c>
      <c r="D880" s="206"/>
      <c r="E880" s="206" t="str">
        <f>IF(AA880 = "", "",
    IF(ISNUMBER(SEARCH("Kiện", C880)),
       " GÓI " &amp; COUNTIF($C$13:C880, "*Kiện*") &amp; "/" &amp; COUNTIF($C$13:$C$1000, "*Kiện*") &amp; " " &amp; AA880,
       AA880)
)</f>
        <v/>
      </c>
      <c r="F880" s="206"/>
      <c r="G880" s="206"/>
      <c r="H880" s="206"/>
      <c r="I880" s="206"/>
      <c r="J880" s="206" t="str">
        <f t="shared" si="195"/>
        <v/>
      </c>
      <c r="K880" s="206" t="str">
        <f t="shared" si="197"/>
        <v/>
      </c>
      <c r="L880" s="206" t="str">
        <f t="shared" si="198"/>
        <v/>
      </c>
      <c r="M880" s="206" t="str">
        <f t="shared" si="199"/>
        <v/>
      </c>
      <c r="N880" s="206" t="str">
        <f t="shared" si="200"/>
        <v/>
      </c>
      <c r="O880" s="206" t="str">
        <f t="shared" si="201"/>
        <v/>
      </c>
      <c r="P880" s="84" t="str">
        <f t="shared" si="202"/>
        <v/>
      </c>
      <c r="Q880" s="205"/>
      <c r="R880" s="70" t="str">
        <f>IF(S880="IN",'BOM_Phan II'!$Y$3,"")</f>
        <v/>
      </c>
      <c r="S880" s="69" t="str">
        <f t="shared" si="194"/>
        <v/>
      </c>
      <c r="T880">
        <f t="shared" si="203"/>
        <v>3</v>
      </c>
      <c r="U880" t="str">
        <f t="shared" si="191"/>
        <v>KIỆN 14</v>
      </c>
      <c r="V880" t="str">
        <f t="shared" si="204"/>
        <v/>
      </c>
      <c r="W880" s="266"/>
      <c r="X880" s="266"/>
      <c r="Y880" s="266" t="str">
        <f t="shared" si="196"/>
        <v/>
      </c>
      <c r="Z880" s="266"/>
    </row>
    <row r="881" spans="1:26" ht="27" hidden="1" customHeight="1">
      <c r="A881" s="70" t="str">
        <f t="shared" si="192"/>
        <v/>
      </c>
      <c r="B881" s="70" t="str">
        <f t="shared" si="193"/>
        <v/>
      </c>
      <c r="C881" s="204" t="str" cm="1">
        <f t="array" ref="C881">IF(D881="","",
    IF(AND(ISNUMBER(D881), D881=INT(D881)),
        $V$6 &amp; " " &amp; (IFERROR(MAX($Y$12:$Y880), 0) + 1),
        IF(ISNUMBER(SEARCH(".", D881)), "", INDEX($C$12:$C881, MATCH(2, 1/($C$12:$C881 &lt;&gt; ""))))
    )
)</f>
        <v/>
      </c>
      <c r="D881" s="206"/>
      <c r="E881" s="206" t="str">
        <f>IF(AA881 = "", "",
    IF(ISNUMBER(SEARCH("Kiện", C881)),
       " GÓI " &amp; COUNTIF($C$13:C881, "*Kiện*") &amp; "/" &amp; COUNTIF($C$13:$C$1000, "*Kiện*") &amp; " " &amp; AA881,
       AA881)
)</f>
        <v/>
      </c>
      <c r="F881" s="206"/>
      <c r="G881" s="206"/>
      <c r="H881" s="206"/>
      <c r="I881" s="206"/>
      <c r="J881" s="206" t="str">
        <f t="shared" si="195"/>
        <v/>
      </c>
      <c r="K881" s="206" t="str">
        <f t="shared" si="197"/>
        <v/>
      </c>
      <c r="L881" s="206" t="str">
        <f t="shared" si="198"/>
        <v/>
      </c>
      <c r="M881" s="206" t="str">
        <f t="shared" si="199"/>
        <v/>
      </c>
      <c r="N881" s="206" t="str">
        <f t="shared" si="200"/>
        <v/>
      </c>
      <c r="O881" s="206" t="str">
        <f t="shared" si="201"/>
        <v/>
      </c>
      <c r="P881" s="84" t="str">
        <f t="shared" si="202"/>
        <v/>
      </c>
      <c r="Q881" s="205"/>
      <c r="R881" s="70" t="str">
        <f>IF(S881="IN",'BOM_Phan II'!$Y$3,"")</f>
        <v/>
      </c>
      <c r="S881" s="69" t="str">
        <f t="shared" si="194"/>
        <v/>
      </c>
      <c r="T881">
        <f t="shared" si="203"/>
        <v>3</v>
      </c>
      <c r="U881" t="str">
        <f t="shared" si="191"/>
        <v>KIỆN 14</v>
      </c>
      <c r="V881" t="str">
        <f t="shared" si="204"/>
        <v/>
      </c>
      <c r="W881" s="266"/>
      <c r="X881" s="266"/>
      <c r="Y881" s="266" t="str">
        <f t="shared" si="196"/>
        <v/>
      </c>
      <c r="Z881" s="266"/>
    </row>
    <row r="882" spans="1:26" ht="27" hidden="1" customHeight="1">
      <c r="A882" s="70" t="str">
        <f t="shared" si="192"/>
        <v/>
      </c>
      <c r="B882" s="70" t="str">
        <f t="shared" si="193"/>
        <v/>
      </c>
      <c r="C882" s="204" t="str" cm="1">
        <f t="array" ref="C882">IF(D882="","",
    IF(AND(ISNUMBER(D882), D882=INT(D882)),
        $V$6 &amp; " " &amp; (IFERROR(MAX($Y$12:$Y881), 0) + 1),
        IF(ISNUMBER(SEARCH(".", D882)), "", INDEX($C$12:$C882, MATCH(2, 1/($C$12:$C882 &lt;&gt; ""))))
    )
)</f>
        <v/>
      </c>
      <c r="D882" s="206"/>
      <c r="E882" s="206" t="str">
        <f>IF(AA882 = "", "",
    IF(ISNUMBER(SEARCH("Kiện", C882)),
       " GÓI " &amp; COUNTIF($C$13:C882, "*Kiện*") &amp; "/" &amp; COUNTIF($C$13:$C$1000, "*Kiện*") &amp; " " &amp; AA882,
       AA882)
)</f>
        <v/>
      </c>
      <c r="F882" s="206"/>
      <c r="G882" s="206"/>
      <c r="H882" s="206"/>
      <c r="I882" s="206"/>
      <c r="J882" s="206" t="str">
        <f t="shared" si="195"/>
        <v/>
      </c>
      <c r="K882" s="206" t="str">
        <f t="shared" si="197"/>
        <v/>
      </c>
      <c r="L882" s="206" t="str">
        <f t="shared" si="198"/>
        <v/>
      </c>
      <c r="M882" s="206" t="str">
        <f t="shared" si="199"/>
        <v/>
      </c>
      <c r="N882" s="206" t="str">
        <f t="shared" si="200"/>
        <v/>
      </c>
      <c r="O882" s="206" t="str">
        <f t="shared" si="201"/>
        <v/>
      </c>
      <c r="P882" s="84" t="str">
        <f t="shared" si="202"/>
        <v/>
      </c>
      <c r="Q882" s="205"/>
      <c r="R882" s="70" t="str">
        <f>IF(S882="IN",'BOM_Phan II'!$Y$3,"")</f>
        <v/>
      </c>
      <c r="S882" s="69" t="str">
        <f t="shared" si="194"/>
        <v/>
      </c>
      <c r="T882">
        <f t="shared" si="203"/>
        <v>3</v>
      </c>
      <c r="U882" t="str">
        <f t="shared" si="191"/>
        <v>KIỆN 14</v>
      </c>
      <c r="V882" t="str">
        <f t="shared" si="204"/>
        <v/>
      </c>
      <c r="W882" s="266"/>
      <c r="X882" s="266"/>
      <c r="Y882" s="266" t="str">
        <f t="shared" si="196"/>
        <v/>
      </c>
      <c r="Z882" s="266"/>
    </row>
    <row r="883" spans="1:26" ht="27" hidden="1" customHeight="1">
      <c r="A883" s="70" t="str">
        <f t="shared" si="192"/>
        <v/>
      </c>
      <c r="B883" s="70" t="str">
        <f t="shared" si="193"/>
        <v/>
      </c>
      <c r="C883" s="204" t="str" cm="1">
        <f t="array" ref="C883">IF(D883="","",
    IF(AND(ISNUMBER(D883), D883=INT(D883)),
        $V$6 &amp; " " &amp; (IFERROR(MAX($Y$12:$Y882), 0) + 1),
        IF(ISNUMBER(SEARCH(".", D883)), "", INDEX($C$12:$C883, MATCH(2, 1/($C$12:$C883 &lt;&gt; ""))))
    )
)</f>
        <v/>
      </c>
      <c r="D883" s="206"/>
      <c r="E883" s="206" t="str">
        <f>IF(AA883 = "", "",
    IF(ISNUMBER(SEARCH("Kiện", C883)),
       " GÓI " &amp; COUNTIF($C$13:C883, "*Kiện*") &amp; "/" &amp; COUNTIF($C$13:$C$1000, "*Kiện*") &amp; " " &amp; AA883,
       AA883)
)</f>
        <v/>
      </c>
      <c r="F883" s="206"/>
      <c r="G883" s="206"/>
      <c r="H883" s="206"/>
      <c r="I883" s="206"/>
      <c r="J883" s="206" t="str">
        <f t="shared" si="195"/>
        <v/>
      </c>
      <c r="K883" s="206" t="str">
        <f t="shared" si="197"/>
        <v/>
      </c>
      <c r="L883" s="206" t="str">
        <f t="shared" si="198"/>
        <v/>
      </c>
      <c r="M883" s="206" t="str">
        <f t="shared" si="199"/>
        <v/>
      </c>
      <c r="N883" s="206" t="str">
        <f t="shared" si="200"/>
        <v/>
      </c>
      <c r="O883" s="206" t="str">
        <f t="shared" si="201"/>
        <v/>
      </c>
      <c r="P883" s="84" t="str">
        <f t="shared" si="202"/>
        <v/>
      </c>
      <c r="Q883" s="205"/>
      <c r="R883" s="70" t="str">
        <f>IF(S883="IN",'BOM_Phan II'!$Y$3,"")</f>
        <v/>
      </c>
      <c r="S883" s="69" t="str">
        <f t="shared" si="194"/>
        <v/>
      </c>
      <c r="T883">
        <f t="shared" si="203"/>
        <v>3</v>
      </c>
      <c r="U883" t="str">
        <f t="shared" si="191"/>
        <v>KIỆN 14</v>
      </c>
      <c r="V883" t="str">
        <f t="shared" si="204"/>
        <v/>
      </c>
      <c r="W883" s="266"/>
      <c r="X883" s="266"/>
      <c r="Y883" s="266" t="str">
        <f t="shared" si="196"/>
        <v/>
      </c>
      <c r="Z883" s="266"/>
    </row>
    <row r="884" spans="1:26" ht="27" hidden="1" customHeight="1">
      <c r="A884" s="70" t="str">
        <f t="shared" si="192"/>
        <v/>
      </c>
      <c r="B884" s="70" t="str">
        <f t="shared" si="193"/>
        <v/>
      </c>
      <c r="C884" s="204" t="str" cm="1">
        <f t="array" ref="C884">IF(D884="","",
    IF(AND(ISNUMBER(D884), D884=INT(D884)),
        $V$6 &amp; " " &amp; (IFERROR(MAX($Y$12:$Y883), 0) + 1),
        IF(ISNUMBER(SEARCH(".", D884)), "", INDEX($C$12:$C884, MATCH(2, 1/($C$12:$C884 &lt;&gt; ""))))
    )
)</f>
        <v/>
      </c>
      <c r="D884" s="206"/>
      <c r="E884" s="206" t="str">
        <f>IF(AA884 = "", "",
    IF(ISNUMBER(SEARCH("Kiện", C884)),
       " GÓI " &amp; COUNTIF($C$13:C884, "*Kiện*") &amp; "/" &amp; COUNTIF($C$13:$C$1000, "*Kiện*") &amp; " " &amp; AA884,
       AA884)
)</f>
        <v/>
      </c>
      <c r="F884" s="206"/>
      <c r="G884" s="206"/>
      <c r="H884" s="206"/>
      <c r="I884" s="206"/>
      <c r="J884" s="206" t="str">
        <f t="shared" si="195"/>
        <v/>
      </c>
      <c r="K884" s="206" t="str">
        <f t="shared" si="197"/>
        <v/>
      </c>
      <c r="L884" s="206" t="str">
        <f t="shared" si="198"/>
        <v/>
      </c>
      <c r="M884" s="206" t="str">
        <f t="shared" si="199"/>
        <v/>
      </c>
      <c r="N884" s="206" t="str">
        <f t="shared" si="200"/>
        <v/>
      </c>
      <c r="O884" s="206" t="str">
        <f t="shared" si="201"/>
        <v/>
      </c>
      <c r="P884" s="84" t="str">
        <f t="shared" si="202"/>
        <v/>
      </c>
      <c r="Q884" s="205"/>
      <c r="R884" s="70" t="str">
        <f>IF(S884="IN",'BOM_Phan II'!$Y$3,"")</f>
        <v/>
      </c>
      <c r="S884" s="69" t="str">
        <f t="shared" si="194"/>
        <v/>
      </c>
      <c r="T884">
        <f t="shared" si="203"/>
        <v>3</v>
      </c>
      <c r="U884" t="str">
        <f t="shared" si="191"/>
        <v>KIỆN 14</v>
      </c>
      <c r="V884" t="str">
        <f t="shared" si="204"/>
        <v/>
      </c>
      <c r="W884" s="266"/>
      <c r="X884" s="266"/>
      <c r="Y884" s="266" t="str">
        <f t="shared" si="196"/>
        <v/>
      </c>
      <c r="Z884" s="266"/>
    </row>
    <row r="885" spans="1:26" ht="27" hidden="1" customHeight="1">
      <c r="A885" s="70" t="str">
        <f t="shared" si="192"/>
        <v/>
      </c>
      <c r="B885" s="70" t="str">
        <f t="shared" si="193"/>
        <v/>
      </c>
      <c r="C885" s="204" t="str" cm="1">
        <f t="array" ref="C885">IF(D885="","",
    IF(AND(ISNUMBER(D885), D885=INT(D885)),
        $V$6 &amp; " " &amp; (IFERROR(MAX($Y$12:$Y884), 0) + 1),
        IF(ISNUMBER(SEARCH(".", D885)), "", INDEX($C$12:$C885, MATCH(2, 1/($C$12:$C885 &lt;&gt; ""))))
    )
)</f>
        <v/>
      </c>
      <c r="D885" s="206"/>
      <c r="E885" s="206" t="str">
        <f>IF(AA885 = "", "",
    IF(ISNUMBER(SEARCH("Kiện", C885)),
       " GÓI " &amp; COUNTIF($C$13:C885, "*Kiện*") &amp; "/" &amp; COUNTIF($C$13:$C$1000, "*Kiện*") &amp; " " &amp; AA885,
       AA885)
)</f>
        <v/>
      </c>
      <c r="F885" s="206"/>
      <c r="G885" s="206"/>
      <c r="H885" s="206"/>
      <c r="I885" s="206"/>
      <c r="J885" s="206" t="str">
        <f t="shared" si="195"/>
        <v/>
      </c>
      <c r="K885" s="206" t="str">
        <f t="shared" si="197"/>
        <v/>
      </c>
      <c r="L885" s="206" t="str">
        <f t="shared" si="198"/>
        <v/>
      </c>
      <c r="M885" s="206" t="str">
        <f t="shared" si="199"/>
        <v/>
      </c>
      <c r="N885" s="206" t="str">
        <f t="shared" si="200"/>
        <v/>
      </c>
      <c r="O885" s="206" t="str">
        <f t="shared" si="201"/>
        <v/>
      </c>
      <c r="P885" s="84" t="str">
        <f t="shared" si="202"/>
        <v/>
      </c>
      <c r="Q885" s="205"/>
      <c r="R885" s="70" t="str">
        <f>IF(S885="IN",'BOM_Phan II'!$Y$3,"")</f>
        <v/>
      </c>
      <c r="S885" s="69" t="str">
        <f t="shared" si="194"/>
        <v/>
      </c>
      <c r="T885">
        <f t="shared" si="203"/>
        <v>3</v>
      </c>
      <c r="U885" t="str">
        <f t="shared" si="191"/>
        <v>KIỆN 14</v>
      </c>
      <c r="V885" t="str">
        <f t="shared" si="204"/>
        <v/>
      </c>
      <c r="W885" s="266"/>
      <c r="X885" s="266"/>
      <c r="Y885" s="266" t="str">
        <f t="shared" si="196"/>
        <v/>
      </c>
      <c r="Z885" s="266"/>
    </row>
    <row r="886" spans="1:26" ht="27" hidden="1" customHeight="1">
      <c r="A886" s="70" t="str">
        <f t="shared" si="192"/>
        <v/>
      </c>
      <c r="B886" s="70" t="str">
        <f t="shared" si="193"/>
        <v/>
      </c>
      <c r="C886" s="204" t="str" cm="1">
        <f t="array" ref="C886">IF(D886="","",
    IF(AND(ISNUMBER(D886), D886=INT(D886)),
        $V$6 &amp; " " &amp; (IFERROR(MAX($Y$12:$Y885), 0) + 1),
        IF(ISNUMBER(SEARCH(".", D886)), "", INDEX($C$12:$C886, MATCH(2, 1/($C$12:$C886 &lt;&gt; ""))))
    )
)</f>
        <v/>
      </c>
      <c r="D886" s="206"/>
      <c r="E886" s="206" t="str">
        <f>IF(AA886 = "", "",
    IF(ISNUMBER(SEARCH("Kiện", C886)),
       " GÓI " &amp; COUNTIF($C$13:C886, "*Kiện*") &amp; "/" &amp; COUNTIF($C$13:$C$1000, "*Kiện*") &amp; " " &amp; AA886,
       AA886)
)</f>
        <v/>
      </c>
      <c r="F886" s="206"/>
      <c r="G886" s="206"/>
      <c r="H886" s="206"/>
      <c r="I886" s="206"/>
      <c r="J886" s="206" t="str">
        <f t="shared" si="195"/>
        <v/>
      </c>
      <c r="K886" s="206" t="str">
        <f t="shared" si="197"/>
        <v/>
      </c>
      <c r="L886" s="206" t="str">
        <f t="shared" si="198"/>
        <v/>
      </c>
      <c r="M886" s="206" t="str">
        <f t="shared" si="199"/>
        <v/>
      </c>
      <c r="N886" s="206" t="str">
        <f t="shared" si="200"/>
        <v/>
      </c>
      <c r="O886" s="206" t="str">
        <f t="shared" si="201"/>
        <v/>
      </c>
      <c r="P886" s="84" t="str">
        <f t="shared" si="202"/>
        <v/>
      </c>
      <c r="Q886" s="205"/>
      <c r="R886" s="70" t="str">
        <f>IF(S886="IN",'BOM_Phan II'!$Y$3,"")</f>
        <v/>
      </c>
      <c r="S886" s="69" t="str">
        <f t="shared" si="194"/>
        <v/>
      </c>
      <c r="T886">
        <f t="shared" si="203"/>
        <v>3</v>
      </c>
      <c r="U886" t="str">
        <f t="shared" si="191"/>
        <v>KIỆN 14</v>
      </c>
      <c r="V886" t="str">
        <f t="shared" si="204"/>
        <v/>
      </c>
      <c r="W886" s="266"/>
      <c r="X886" s="266"/>
      <c r="Y886" s="266" t="str">
        <f t="shared" si="196"/>
        <v/>
      </c>
      <c r="Z886" s="266"/>
    </row>
    <row r="887" spans="1:26" ht="27" hidden="1" customHeight="1">
      <c r="A887" s="70" t="str">
        <f t="shared" si="192"/>
        <v/>
      </c>
      <c r="B887" s="70" t="str">
        <f t="shared" si="193"/>
        <v/>
      </c>
      <c r="C887" s="204" t="str" cm="1">
        <f t="array" ref="C887">IF(D887="","",
    IF(AND(ISNUMBER(D887), D887=INT(D887)),
        $V$6 &amp; " " &amp; (IFERROR(MAX($Y$12:$Y886), 0) + 1),
        IF(ISNUMBER(SEARCH(".", D887)), "", INDEX($C$12:$C887, MATCH(2, 1/($C$12:$C887 &lt;&gt; ""))))
    )
)</f>
        <v/>
      </c>
      <c r="D887" s="206"/>
      <c r="E887" s="206" t="str">
        <f>IF(AA887 = "", "",
    IF(ISNUMBER(SEARCH("Kiện", C887)),
       " GÓI " &amp; COUNTIF($C$13:C887, "*Kiện*") &amp; "/" &amp; COUNTIF($C$13:$C$1000, "*Kiện*") &amp; " " &amp; AA887,
       AA887)
)</f>
        <v/>
      </c>
      <c r="F887" s="206"/>
      <c r="G887" s="206"/>
      <c r="H887" s="206"/>
      <c r="I887" s="206"/>
      <c r="J887" s="206" t="str">
        <f t="shared" si="195"/>
        <v/>
      </c>
      <c r="K887" s="206" t="str">
        <f t="shared" si="197"/>
        <v/>
      </c>
      <c r="L887" s="206" t="str">
        <f t="shared" si="198"/>
        <v/>
      </c>
      <c r="M887" s="206" t="str">
        <f t="shared" si="199"/>
        <v/>
      </c>
      <c r="N887" s="206" t="str">
        <f t="shared" si="200"/>
        <v/>
      </c>
      <c r="O887" s="206" t="str">
        <f t="shared" si="201"/>
        <v/>
      </c>
      <c r="P887" s="84" t="str">
        <f t="shared" si="202"/>
        <v/>
      </c>
      <c r="Q887" s="205"/>
      <c r="R887" s="70" t="str">
        <f>IF(S887="IN",'BOM_Phan II'!$Y$3,"")</f>
        <v/>
      </c>
      <c r="S887" s="69" t="str">
        <f t="shared" si="194"/>
        <v/>
      </c>
      <c r="T887">
        <f t="shared" si="203"/>
        <v>3</v>
      </c>
      <c r="U887" t="str">
        <f t="shared" si="191"/>
        <v>KIỆN 14</v>
      </c>
      <c r="V887" t="str">
        <f t="shared" si="204"/>
        <v/>
      </c>
      <c r="W887" s="266"/>
      <c r="X887" s="266"/>
      <c r="Y887" s="266" t="str">
        <f t="shared" si="196"/>
        <v/>
      </c>
      <c r="Z887" s="266"/>
    </row>
    <row r="888" spans="1:26" ht="27" hidden="1" customHeight="1">
      <c r="A888" s="70" t="str">
        <f t="shared" si="192"/>
        <v/>
      </c>
      <c r="B888" s="70" t="str">
        <f t="shared" si="193"/>
        <v/>
      </c>
      <c r="C888" s="204" t="str" cm="1">
        <f t="array" ref="C888">IF(D888="","",
    IF(AND(ISNUMBER(D888), D888=INT(D888)),
        $V$6 &amp; " " &amp; (IFERROR(MAX($Y$12:$Y887), 0) + 1),
        IF(ISNUMBER(SEARCH(".", D888)), "", INDEX($C$12:$C888, MATCH(2, 1/($C$12:$C888 &lt;&gt; ""))))
    )
)</f>
        <v/>
      </c>
      <c r="D888" s="206"/>
      <c r="E888" s="206" t="str">
        <f>IF(AA888 = "", "",
    IF(ISNUMBER(SEARCH("Kiện", C888)),
       " GÓI " &amp; COUNTIF($C$13:C888, "*Kiện*") &amp; "/" &amp; COUNTIF($C$13:$C$1000, "*Kiện*") &amp; " " &amp; AA888,
       AA888)
)</f>
        <v/>
      </c>
      <c r="F888" s="206"/>
      <c r="G888" s="206"/>
      <c r="H888" s="206"/>
      <c r="I888" s="206"/>
      <c r="J888" s="206" t="str">
        <f t="shared" si="195"/>
        <v/>
      </c>
      <c r="K888" s="206" t="str">
        <f t="shared" si="197"/>
        <v/>
      </c>
      <c r="L888" s="206" t="str">
        <f t="shared" si="198"/>
        <v/>
      </c>
      <c r="M888" s="206" t="str">
        <f t="shared" si="199"/>
        <v/>
      </c>
      <c r="N888" s="206" t="str">
        <f t="shared" si="200"/>
        <v/>
      </c>
      <c r="O888" s="206" t="str">
        <f t="shared" si="201"/>
        <v/>
      </c>
      <c r="P888" s="84" t="str">
        <f t="shared" si="202"/>
        <v/>
      </c>
      <c r="Q888" s="205"/>
      <c r="R888" s="70" t="str">
        <f>IF(S888="IN",'BOM_Phan II'!$Y$3,"")</f>
        <v/>
      </c>
      <c r="S888" s="69" t="str">
        <f t="shared" si="194"/>
        <v/>
      </c>
      <c r="T888">
        <f t="shared" si="203"/>
        <v>3</v>
      </c>
      <c r="U888" t="str">
        <f t="shared" si="191"/>
        <v>KIỆN 14</v>
      </c>
      <c r="V888" t="str">
        <f t="shared" si="204"/>
        <v/>
      </c>
      <c r="W888" s="266"/>
      <c r="X888" s="266"/>
      <c r="Y888" s="266" t="str">
        <f t="shared" si="196"/>
        <v/>
      </c>
      <c r="Z888" s="266"/>
    </row>
    <row r="889" spans="1:26" ht="27" hidden="1" customHeight="1">
      <c r="A889" s="70" t="str">
        <f t="shared" si="192"/>
        <v/>
      </c>
      <c r="B889" s="70" t="str">
        <f t="shared" si="193"/>
        <v/>
      </c>
      <c r="C889" s="204" t="str" cm="1">
        <f t="array" ref="C889">IF(D889="","",
    IF(AND(ISNUMBER(D889), D889=INT(D889)),
        $V$6 &amp; " " &amp; (IFERROR(MAX($Y$12:$Y888), 0) + 1),
        IF(ISNUMBER(SEARCH(".", D889)), "", INDEX($C$12:$C889, MATCH(2, 1/($C$12:$C889 &lt;&gt; ""))))
    )
)</f>
        <v/>
      </c>
      <c r="D889" s="206"/>
      <c r="E889" s="206" t="str">
        <f>IF(AA889 = "", "",
    IF(ISNUMBER(SEARCH("Kiện", C889)),
       " GÓI " &amp; COUNTIF($C$13:C889, "*Kiện*") &amp; "/" &amp; COUNTIF($C$13:$C$1000, "*Kiện*") &amp; " " &amp; AA889,
       AA889)
)</f>
        <v/>
      </c>
      <c r="F889" s="206"/>
      <c r="G889" s="206"/>
      <c r="H889" s="206"/>
      <c r="I889" s="206"/>
      <c r="J889" s="206" t="str">
        <f t="shared" si="195"/>
        <v/>
      </c>
      <c r="K889" s="206" t="str">
        <f t="shared" si="197"/>
        <v/>
      </c>
      <c r="L889" s="206" t="str">
        <f t="shared" si="198"/>
        <v/>
      </c>
      <c r="M889" s="206" t="str">
        <f t="shared" si="199"/>
        <v/>
      </c>
      <c r="N889" s="206" t="str">
        <f t="shared" si="200"/>
        <v/>
      </c>
      <c r="O889" s="206" t="str">
        <f t="shared" si="201"/>
        <v/>
      </c>
      <c r="P889" s="84" t="str">
        <f t="shared" si="202"/>
        <v/>
      </c>
      <c r="Q889" s="205"/>
      <c r="R889" s="70" t="str">
        <f>IF(S889="IN",'BOM_Phan II'!$Y$3,"")</f>
        <v/>
      </c>
      <c r="S889" s="69" t="str">
        <f t="shared" si="194"/>
        <v/>
      </c>
      <c r="T889">
        <f t="shared" si="203"/>
        <v>3</v>
      </c>
      <c r="U889" t="str">
        <f t="shared" si="191"/>
        <v>KIỆN 14</v>
      </c>
      <c r="V889" t="str">
        <f t="shared" si="204"/>
        <v/>
      </c>
      <c r="W889" s="266"/>
      <c r="X889" s="266"/>
      <c r="Y889" s="266" t="str">
        <f t="shared" si="196"/>
        <v/>
      </c>
      <c r="Z889" s="266"/>
    </row>
    <row r="890" spans="1:26" ht="27" hidden="1" customHeight="1">
      <c r="A890" s="70" t="str">
        <f t="shared" si="192"/>
        <v/>
      </c>
      <c r="B890" s="70" t="str">
        <f t="shared" si="193"/>
        <v/>
      </c>
      <c r="C890" s="204" t="str" cm="1">
        <f t="array" ref="C890">IF(D890="","",
    IF(AND(ISNUMBER(D890), D890=INT(D890)),
        $V$6 &amp; " " &amp; (IFERROR(MAX($Y$12:$Y889), 0) + 1),
        IF(ISNUMBER(SEARCH(".", D890)), "", INDEX($C$12:$C890, MATCH(2, 1/($C$12:$C890 &lt;&gt; ""))))
    )
)</f>
        <v/>
      </c>
      <c r="D890" s="206"/>
      <c r="E890" s="206" t="str">
        <f>IF(AA890 = "", "",
    IF(ISNUMBER(SEARCH("Kiện", C890)),
       " GÓI " &amp; COUNTIF($C$13:C890, "*Kiện*") &amp; "/" &amp; COUNTIF($C$13:$C$1000, "*Kiện*") &amp; " " &amp; AA890,
       AA890)
)</f>
        <v/>
      </c>
      <c r="F890" s="206"/>
      <c r="G890" s="206"/>
      <c r="H890" s="206"/>
      <c r="I890" s="206"/>
      <c r="J890" s="206" t="str">
        <f t="shared" si="195"/>
        <v/>
      </c>
      <c r="K890" s="206" t="str">
        <f t="shared" si="197"/>
        <v/>
      </c>
      <c r="L890" s="206" t="str">
        <f t="shared" si="198"/>
        <v/>
      </c>
      <c r="M890" s="206" t="str">
        <f t="shared" si="199"/>
        <v/>
      </c>
      <c r="N890" s="206" t="str">
        <f t="shared" si="200"/>
        <v/>
      </c>
      <c r="O890" s="206" t="str">
        <f t="shared" si="201"/>
        <v/>
      </c>
      <c r="P890" s="84" t="str">
        <f t="shared" si="202"/>
        <v/>
      </c>
      <c r="Q890" s="205"/>
      <c r="R890" s="70" t="str">
        <f>IF(S890="IN",'BOM_Phan II'!$Y$3,"")</f>
        <v/>
      </c>
      <c r="S890" s="69" t="str">
        <f t="shared" si="194"/>
        <v/>
      </c>
      <c r="T890">
        <f t="shared" si="203"/>
        <v>3</v>
      </c>
      <c r="U890" t="str">
        <f t="shared" si="191"/>
        <v>KIỆN 14</v>
      </c>
      <c r="V890" t="str">
        <f t="shared" si="204"/>
        <v/>
      </c>
      <c r="W890" s="266"/>
      <c r="X890" s="266"/>
      <c r="Y890" s="266" t="str">
        <f t="shared" si="196"/>
        <v/>
      </c>
      <c r="Z890" s="266"/>
    </row>
    <row r="891" spans="1:26" ht="27" hidden="1" customHeight="1">
      <c r="A891" s="70" t="str">
        <f t="shared" si="192"/>
        <v/>
      </c>
      <c r="B891" s="70" t="str">
        <f t="shared" si="193"/>
        <v/>
      </c>
      <c r="C891" s="204" t="str" cm="1">
        <f t="array" ref="C891">IF(D891="","",
    IF(AND(ISNUMBER(D891), D891=INT(D891)),
        $V$6 &amp; " " &amp; (IFERROR(MAX($Y$12:$Y890), 0) + 1),
        IF(ISNUMBER(SEARCH(".", D891)), "", INDEX($C$12:$C891, MATCH(2, 1/($C$12:$C891 &lt;&gt; ""))))
    )
)</f>
        <v/>
      </c>
      <c r="D891" s="206"/>
      <c r="E891" s="206" t="str">
        <f>IF(AA891 = "", "",
    IF(ISNUMBER(SEARCH("Kiện", C891)),
       " GÓI " &amp; COUNTIF($C$13:C891, "*Kiện*") &amp; "/" &amp; COUNTIF($C$13:$C$1000, "*Kiện*") &amp; " " &amp; AA891,
       AA891)
)</f>
        <v/>
      </c>
      <c r="F891" s="206"/>
      <c r="G891" s="206"/>
      <c r="H891" s="206"/>
      <c r="I891" s="206"/>
      <c r="J891" s="206" t="str">
        <f t="shared" si="195"/>
        <v/>
      </c>
      <c r="K891" s="206" t="str">
        <f t="shared" si="197"/>
        <v/>
      </c>
      <c r="L891" s="206" t="str">
        <f t="shared" si="198"/>
        <v/>
      </c>
      <c r="M891" s="206" t="str">
        <f t="shared" si="199"/>
        <v/>
      </c>
      <c r="N891" s="206" t="str">
        <f t="shared" si="200"/>
        <v/>
      </c>
      <c r="O891" s="206" t="str">
        <f t="shared" si="201"/>
        <v/>
      </c>
      <c r="P891" s="84" t="str">
        <f t="shared" si="202"/>
        <v/>
      </c>
      <c r="Q891" s="205"/>
      <c r="R891" s="70" t="str">
        <f>IF(S891="IN",'BOM_Phan II'!$Y$3,"")</f>
        <v/>
      </c>
      <c r="S891" s="69" t="str">
        <f t="shared" si="194"/>
        <v/>
      </c>
      <c r="T891">
        <f t="shared" si="203"/>
        <v>3</v>
      </c>
      <c r="U891" t="str">
        <f t="shared" si="191"/>
        <v>KIỆN 14</v>
      </c>
      <c r="V891" t="str">
        <f t="shared" si="204"/>
        <v/>
      </c>
      <c r="W891" s="266"/>
      <c r="X891" s="266"/>
      <c r="Y891" s="266" t="str">
        <f t="shared" si="196"/>
        <v/>
      </c>
      <c r="Z891" s="266"/>
    </row>
    <row r="892" spans="1:26" ht="27" hidden="1" customHeight="1">
      <c r="A892" s="70" t="str">
        <f t="shared" si="192"/>
        <v/>
      </c>
      <c r="B892" s="70" t="str">
        <f t="shared" si="193"/>
        <v/>
      </c>
      <c r="C892" s="204" t="str" cm="1">
        <f t="array" ref="C892">IF(D892="","",
    IF(AND(ISNUMBER(D892), D892=INT(D892)),
        $V$6 &amp; " " &amp; (IFERROR(MAX($Y$12:$Y891), 0) + 1),
        IF(ISNUMBER(SEARCH(".", D892)), "", INDEX($C$12:$C892, MATCH(2, 1/($C$12:$C892 &lt;&gt; ""))))
    )
)</f>
        <v/>
      </c>
      <c r="D892" s="206"/>
      <c r="E892" s="206" t="str">
        <f>IF(AA892 = "", "",
    IF(ISNUMBER(SEARCH("Kiện", C892)),
       " GÓI " &amp; COUNTIF($C$13:C892, "*Kiện*") &amp; "/" &amp; COUNTIF($C$13:$C$1000, "*Kiện*") &amp; " " &amp; AA892,
       AA892)
)</f>
        <v/>
      </c>
      <c r="F892" s="206"/>
      <c r="G892" s="206"/>
      <c r="H892" s="206"/>
      <c r="I892" s="206"/>
      <c r="J892" s="206" t="str">
        <f t="shared" si="195"/>
        <v/>
      </c>
      <c r="K892" s="206" t="str">
        <f t="shared" si="197"/>
        <v/>
      </c>
      <c r="L892" s="206" t="str">
        <f t="shared" si="198"/>
        <v/>
      </c>
      <c r="M892" s="206" t="str">
        <f t="shared" si="199"/>
        <v/>
      </c>
      <c r="N892" s="206" t="str">
        <f t="shared" si="200"/>
        <v/>
      </c>
      <c r="O892" s="206" t="str">
        <f t="shared" si="201"/>
        <v/>
      </c>
      <c r="P892" s="84" t="str">
        <f t="shared" si="202"/>
        <v/>
      </c>
      <c r="Q892" s="205"/>
      <c r="R892" s="70" t="str">
        <f>IF(S892="IN",'BOM_Phan II'!$Y$3,"")</f>
        <v/>
      </c>
      <c r="S892" s="69" t="str">
        <f t="shared" si="194"/>
        <v/>
      </c>
      <c r="T892">
        <f t="shared" si="203"/>
        <v>3</v>
      </c>
      <c r="U892" t="str">
        <f t="shared" si="191"/>
        <v>KIỆN 14</v>
      </c>
      <c r="V892" t="str">
        <f t="shared" si="204"/>
        <v/>
      </c>
      <c r="W892" s="266"/>
      <c r="X892" s="266"/>
      <c r="Y892" s="266" t="str">
        <f t="shared" si="196"/>
        <v/>
      </c>
      <c r="Z892" s="266"/>
    </row>
    <row r="893" spans="1:26" ht="27" hidden="1" customHeight="1">
      <c r="A893" s="70" t="str">
        <f t="shared" si="192"/>
        <v/>
      </c>
      <c r="B893" s="70" t="str">
        <f t="shared" si="193"/>
        <v/>
      </c>
      <c r="C893" s="204" t="str" cm="1">
        <f t="array" ref="C893">IF(D893="","",
    IF(AND(ISNUMBER(D893), D893=INT(D893)),
        $V$6 &amp; " " &amp; (IFERROR(MAX($Y$12:$Y892), 0) + 1),
        IF(ISNUMBER(SEARCH(".", D893)), "", INDEX($C$12:$C893, MATCH(2, 1/($C$12:$C893 &lt;&gt; ""))))
    )
)</f>
        <v/>
      </c>
      <c r="D893" s="206"/>
      <c r="E893" s="206" t="str">
        <f>IF(AA893 = "", "",
    IF(ISNUMBER(SEARCH("Kiện", C893)),
       " GÓI " &amp; COUNTIF($C$13:C893, "*Kiện*") &amp; "/" &amp; COUNTIF($C$13:$C$1000, "*Kiện*") &amp; " " &amp; AA893,
       AA893)
)</f>
        <v/>
      </c>
      <c r="F893" s="206"/>
      <c r="G893" s="206"/>
      <c r="H893" s="206"/>
      <c r="I893" s="206"/>
      <c r="J893" s="206" t="str">
        <f t="shared" si="195"/>
        <v/>
      </c>
      <c r="K893" s="206" t="str">
        <f t="shared" si="197"/>
        <v/>
      </c>
      <c r="L893" s="206" t="str">
        <f t="shared" si="198"/>
        <v/>
      </c>
      <c r="M893" s="206" t="str">
        <f t="shared" si="199"/>
        <v/>
      </c>
      <c r="N893" s="206" t="str">
        <f t="shared" si="200"/>
        <v/>
      </c>
      <c r="O893" s="206" t="str">
        <f t="shared" si="201"/>
        <v/>
      </c>
      <c r="P893" s="84" t="str">
        <f t="shared" si="202"/>
        <v/>
      </c>
      <c r="Q893" s="205"/>
      <c r="R893" s="70" t="str">
        <f>IF(S893="IN",'BOM_Phan II'!$Y$3,"")</f>
        <v/>
      </c>
      <c r="S893" s="69" t="str">
        <f t="shared" si="194"/>
        <v/>
      </c>
      <c r="T893">
        <f t="shared" si="203"/>
        <v>3</v>
      </c>
      <c r="U893" t="str">
        <f t="shared" si="191"/>
        <v>KIỆN 14</v>
      </c>
      <c r="V893" t="str">
        <f t="shared" si="204"/>
        <v/>
      </c>
      <c r="W893" s="266"/>
      <c r="X893" s="266"/>
      <c r="Y893" s="266" t="str">
        <f t="shared" si="196"/>
        <v/>
      </c>
      <c r="Z893" s="266"/>
    </row>
    <row r="894" spans="1:26" ht="27" hidden="1" customHeight="1">
      <c r="A894" s="70" t="str">
        <f t="shared" si="192"/>
        <v/>
      </c>
      <c r="B894" s="70" t="str">
        <f t="shared" si="193"/>
        <v/>
      </c>
      <c r="C894" s="204" t="str" cm="1">
        <f t="array" ref="C894">IF(D894="","",
    IF(AND(ISNUMBER(D894), D894=INT(D894)),
        $V$6 &amp; " " &amp; (IFERROR(MAX($Y$12:$Y893), 0) + 1),
        IF(ISNUMBER(SEARCH(".", D894)), "", INDEX($C$12:$C894, MATCH(2, 1/($C$12:$C894 &lt;&gt; ""))))
    )
)</f>
        <v/>
      </c>
      <c r="D894" s="206"/>
      <c r="E894" s="206" t="str">
        <f>IF(AA894 = "", "",
    IF(ISNUMBER(SEARCH("Kiện", C894)),
       " GÓI " &amp; COUNTIF($C$13:C894, "*Kiện*") &amp; "/" &amp; COUNTIF($C$13:$C$1000, "*Kiện*") &amp; " " &amp; AA894,
       AA894)
)</f>
        <v/>
      </c>
      <c r="F894" s="206"/>
      <c r="G894" s="206"/>
      <c r="H894" s="206"/>
      <c r="I894" s="206"/>
      <c r="J894" s="206" t="str">
        <f t="shared" si="195"/>
        <v/>
      </c>
      <c r="K894" s="206" t="str">
        <f t="shared" si="197"/>
        <v/>
      </c>
      <c r="L894" s="206" t="str">
        <f t="shared" si="198"/>
        <v/>
      </c>
      <c r="M894" s="206" t="str">
        <f t="shared" si="199"/>
        <v/>
      </c>
      <c r="N894" s="206" t="str">
        <f t="shared" si="200"/>
        <v/>
      </c>
      <c r="O894" s="206" t="str">
        <f t="shared" si="201"/>
        <v/>
      </c>
      <c r="P894" s="84" t="str">
        <f t="shared" si="202"/>
        <v/>
      </c>
      <c r="Q894" s="205"/>
      <c r="R894" s="70" t="str">
        <f>IF(S894="IN",'BOM_Phan II'!$Y$3,"")</f>
        <v/>
      </c>
      <c r="S894" s="69" t="str">
        <f t="shared" si="194"/>
        <v/>
      </c>
      <c r="T894">
        <f t="shared" si="203"/>
        <v>3</v>
      </c>
      <c r="U894" t="str">
        <f t="shared" si="191"/>
        <v>KIỆN 14</v>
      </c>
      <c r="V894" t="str">
        <f t="shared" si="204"/>
        <v/>
      </c>
      <c r="W894" s="266"/>
      <c r="X894" s="266"/>
      <c r="Y894" s="266" t="str">
        <f t="shared" si="196"/>
        <v/>
      </c>
      <c r="Z894" s="266"/>
    </row>
    <row r="895" spans="1:26" ht="27" hidden="1" customHeight="1">
      <c r="A895" s="70" t="str">
        <f t="shared" si="192"/>
        <v/>
      </c>
      <c r="B895" s="70" t="str">
        <f t="shared" si="193"/>
        <v/>
      </c>
      <c r="C895" s="204" t="str" cm="1">
        <f t="array" ref="C895">IF(D895="","",
    IF(AND(ISNUMBER(D895), D895=INT(D895)),
        $V$6 &amp; " " &amp; (IFERROR(MAX($Y$12:$Y894), 0) + 1),
        IF(ISNUMBER(SEARCH(".", D895)), "", INDEX($C$12:$C895, MATCH(2, 1/($C$12:$C895 &lt;&gt; ""))))
    )
)</f>
        <v/>
      </c>
      <c r="D895" s="206"/>
      <c r="E895" s="206" t="str">
        <f>IF(AA895 = "", "",
    IF(ISNUMBER(SEARCH("Kiện", C895)),
       " GÓI " &amp; COUNTIF($C$13:C895, "*Kiện*") &amp; "/" &amp; COUNTIF($C$13:$C$1000, "*Kiện*") &amp; " " &amp; AA895,
       AA895)
)</f>
        <v/>
      </c>
      <c r="F895" s="206"/>
      <c r="G895" s="206"/>
      <c r="H895" s="206"/>
      <c r="I895" s="206"/>
      <c r="J895" s="206" t="str">
        <f t="shared" si="195"/>
        <v/>
      </c>
      <c r="K895" s="206" t="str">
        <f t="shared" si="197"/>
        <v/>
      </c>
      <c r="L895" s="206" t="str">
        <f t="shared" si="198"/>
        <v/>
      </c>
      <c r="M895" s="206" t="str">
        <f t="shared" si="199"/>
        <v/>
      </c>
      <c r="N895" s="206" t="str">
        <f t="shared" si="200"/>
        <v/>
      </c>
      <c r="O895" s="206" t="str">
        <f t="shared" si="201"/>
        <v/>
      </c>
      <c r="P895" s="84" t="str">
        <f t="shared" si="202"/>
        <v/>
      </c>
      <c r="Q895" s="205"/>
      <c r="R895" s="70" t="str">
        <f>IF(S895="IN",'BOM_Phan II'!$Y$3,"")</f>
        <v/>
      </c>
      <c r="S895" s="69" t="str">
        <f t="shared" si="194"/>
        <v/>
      </c>
      <c r="T895">
        <f t="shared" si="203"/>
        <v>3</v>
      </c>
      <c r="U895" t="str">
        <f t="shared" si="191"/>
        <v>KIỆN 14</v>
      </c>
      <c r="V895" t="str">
        <f t="shared" si="204"/>
        <v/>
      </c>
      <c r="W895" s="266"/>
      <c r="X895" s="266"/>
      <c r="Y895" s="266" t="str">
        <f t="shared" si="196"/>
        <v/>
      </c>
      <c r="Z895" s="266"/>
    </row>
    <row r="896" spans="1:26" ht="27" hidden="1" customHeight="1">
      <c r="A896" s="70" t="str">
        <f t="shared" si="192"/>
        <v/>
      </c>
      <c r="B896" s="70" t="str">
        <f t="shared" si="193"/>
        <v/>
      </c>
      <c r="C896" s="204" t="str" cm="1">
        <f t="array" ref="C896">IF(D896="","",
    IF(AND(ISNUMBER(D896), D896=INT(D896)),
        $V$6 &amp; " " &amp; (IFERROR(MAX($Y$12:$Y895), 0) + 1),
        IF(ISNUMBER(SEARCH(".", D896)), "", INDEX($C$12:$C896, MATCH(2, 1/($C$12:$C896 &lt;&gt; ""))))
    )
)</f>
        <v/>
      </c>
      <c r="D896" s="206"/>
      <c r="E896" s="206" t="str">
        <f>IF(AA896 = "", "",
    IF(ISNUMBER(SEARCH("Kiện", C896)),
       " GÓI " &amp; COUNTIF($C$13:C896, "*Kiện*") &amp; "/" &amp; COUNTIF($C$13:$C$1000, "*Kiện*") &amp; " " &amp; AA896,
       AA896)
)</f>
        <v/>
      </c>
      <c r="F896" s="206"/>
      <c r="G896" s="206"/>
      <c r="H896" s="206"/>
      <c r="I896" s="206"/>
      <c r="J896" s="206" t="str">
        <f t="shared" si="195"/>
        <v/>
      </c>
      <c r="K896" s="206" t="str">
        <f t="shared" si="197"/>
        <v/>
      </c>
      <c r="L896" s="206" t="str">
        <f t="shared" si="198"/>
        <v/>
      </c>
      <c r="M896" s="206" t="str">
        <f t="shared" si="199"/>
        <v/>
      </c>
      <c r="N896" s="206" t="str">
        <f t="shared" si="200"/>
        <v/>
      </c>
      <c r="O896" s="206" t="str">
        <f t="shared" si="201"/>
        <v/>
      </c>
      <c r="P896" s="84" t="str">
        <f t="shared" si="202"/>
        <v/>
      </c>
      <c r="Q896" s="205"/>
      <c r="R896" s="70" t="str">
        <f>IF(S896="IN",'BOM_Phan II'!$Y$3,"")</f>
        <v/>
      </c>
      <c r="S896" s="69" t="str">
        <f t="shared" si="194"/>
        <v/>
      </c>
      <c r="T896">
        <f t="shared" si="203"/>
        <v>3</v>
      </c>
      <c r="U896" t="str">
        <f t="shared" si="191"/>
        <v>KIỆN 14</v>
      </c>
      <c r="V896" t="str">
        <f t="shared" si="204"/>
        <v/>
      </c>
      <c r="W896" s="266"/>
      <c r="X896" s="266"/>
      <c r="Y896" s="266" t="str">
        <f t="shared" si="196"/>
        <v/>
      </c>
      <c r="Z896" s="266"/>
    </row>
    <row r="897" spans="1:26" ht="27" hidden="1" customHeight="1">
      <c r="A897" s="70" t="str">
        <f t="shared" si="192"/>
        <v/>
      </c>
      <c r="B897" s="70" t="str">
        <f t="shared" si="193"/>
        <v/>
      </c>
      <c r="C897" s="204" t="str" cm="1">
        <f t="array" ref="C897">IF(D897="","",
    IF(AND(ISNUMBER(D897), D897=INT(D897)),
        $V$6 &amp; " " &amp; (IFERROR(MAX($Y$12:$Y896), 0) + 1),
        IF(ISNUMBER(SEARCH(".", D897)), "", INDEX($C$12:$C897, MATCH(2, 1/($C$12:$C897 &lt;&gt; ""))))
    )
)</f>
        <v/>
      </c>
      <c r="D897" s="206"/>
      <c r="E897" s="206" t="str">
        <f>IF(AA897 = "", "",
    IF(ISNUMBER(SEARCH("Kiện", C897)),
       " GÓI " &amp; COUNTIF($C$13:C897, "*Kiện*") &amp; "/" &amp; COUNTIF($C$13:$C$1000, "*Kiện*") &amp; " " &amp; AA897,
       AA897)
)</f>
        <v/>
      </c>
      <c r="F897" s="206"/>
      <c r="G897" s="206"/>
      <c r="H897" s="206"/>
      <c r="I897" s="206"/>
      <c r="J897" s="206" t="str">
        <f t="shared" si="195"/>
        <v/>
      </c>
      <c r="K897" s="206" t="str">
        <f t="shared" si="197"/>
        <v/>
      </c>
      <c r="L897" s="206" t="str">
        <f t="shared" si="198"/>
        <v/>
      </c>
      <c r="M897" s="206" t="str">
        <f t="shared" si="199"/>
        <v/>
      </c>
      <c r="N897" s="206" t="str">
        <f t="shared" si="200"/>
        <v/>
      </c>
      <c r="O897" s="206" t="str">
        <f t="shared" si="201"/>
        <v/>
      </c>
      <c r="P897" s="84" t="str">
        <f t="shared" si="202"/>
        <v/>
      </c>
      <c r="Q897" s="205"/>
      <c r="R897" s="70" t="str">
        <f>IF(S897="IN",'BOM_Phan II'!$Y$3,"")</f>
        <v/>
      </c>
      <c r="S897" s="69" t="str">
        <f t="shared" si="194"/>
        <v/>
      </c>
      <c r="T897">
        <f t="shared" si="203"/>
        <v>3</v>
      </c>
      <c r="U897" t="str">
        <f t="shared" si="191"/>
        <v>KIỆN 14</v>
      </c>
      <c r="V897" t="str">
        <f t="shared" si="204"/>
        <v/>
      </c>
      <c r="W897" s="266"/>
      <c r="X897" s="266"/>
      <c r="Y897" s="266" t="str">
        <f t="shared" si="196"/>
        <v/>
      </c>
      <c r="Z897" s="266"/>
    </row>
    <row r="898" spans="1:26" ht="27" hidden="1" customHeight="1">
      <c r="A898" s="70" t="str">
        <f t="shared" si="192"/>
        <v/>
      </c>
      <c r="B898" s="70" t="str">
        <f t="shared" si="193"/>
        <v/>
      </c>
      <c r="C898" s="204" t="str" cm="1">
        <f t="array" ref="C898">IF(D898="","",
    IF(AND(ISNUMBER(D898), D898=INT(D898)),
        $V$6 &amp; " " &amp; (IFERROR(MAX($Y$12:$Y897), 0) + 1),
        IF(ISNUMBER(SEARCH(".", D898)), "", INDEX($C$12:$C898, MATCH(2, 1/($C$12:$C898 &lt;&gt; ""))))
    )
)</f>
        <v/>
      </c>
      <c r="D898" s="206"/>
      <c r="E898" s="206" t="str">
        <f>IF(AA898 = "", "",
    IF(ISNUMBER(SEARCH("Kiện", C898)),
       " GÓI " &amp; COUNTIF($C$13:C898, "*Kiện*") &amp; "/" &amp; COUNTIF($C$13:$C$1000, "*Kiện*") &amp; " " &amp; AA898,
       AA898)
)</f>
        <v/>
      </c>
      <c r="F898" s="206"/>
      <c r="G898" s="206"/>
      <c r="H898" s="206"/>
      <c r="I898" s="206"/>
      <c r="J898" s="206" t="str">
        <f t="shared" si="195"/>
        <v/>
      </c>
      <c r="K898" s="206" t="str">
        <f t="shared" si="197"/>
        <v/>
      </c>
      <c r="L898" s="206" t="str">
        <f t="shared" si="198"/>
        <v/>
      </c>
      <c r="M898" s="206" t="str">
        <f t="shared" si="199"/>
        <v/>
      </c>
      <c r="N898" s="206" t="str">
        <f t="shared" si="200"/>
        <v/>
      </c>
      <c r="O898" s="206" t="str">
        <f t="shared" si="201"/>
        <v/>
      </c>
      <c r="P898" s="84" t="str">
        <f t="shared" si="202"/>
        <v/>
      </c>
      <c r="Q898" s="205"/>
      <c r="R898" s="70" t="str">
        <f>IF(S898="IN",'BOM_Phan II'!$Y$3,"")</f>
        <v/>
      </c>
      <c r="S898" s="69" t="str">
        <f t="shared" si="194"/>
        <v/>
      </c>
      <c r="T898">
        <f t="shared" si="203"/>
        <v>3</v>
      </c>
      <c r="U898" t="str">
        <f t="shared" si="191"/>
        <v>KIỆN 14</v>
      </c>
      <c r="V898" t="str">
        <f t="shared" si="204"/>
        <v/>
      </c>
      <c r="W898" s="266"/>
      <c r="X898" s="266"/>
      <c r="Y898" s="266" t="str">
        <f t="shared" si="196"/>
        <v/>
      </c>
      <c r="Z898" s="266"/>
    </row>
    <row r="899" spans="1:26" ht="27" hidden="1" customHeight="1">
      <c r="A899" s="70" t="str">
        <f t="shared" si="192"/>
        <v/>
      </c>
      <c r="B899" s="70" t="str">
        <f t="shared" si="193"/>
        <v/>
      </c>
      <c r="C899" s="204" t="str" cm="1">
        <f t="array" ref="C899">IF(D899="","",
    IF(AND(ISNUMBER(D899), D899=INT(D899)),
        $V$6 &amp; " " &amp; (IFERROR(MAX($Y$12:$Y898), 0) + 1),
        IF(ISNUMBER(SEARCH(".", D899)), "", INDEX($C$12:$C899, MATCH(2, 1/($C$12:$C899 &lt;&gt; ""))))
    )
)</f>
        <v/>
      </c>
      <c r="D899" s="206"/>
      <c r="E899" s="206" t="str">
        <f>IF(AA899 = "", "",
    IF(ISNUMBER(SEARCH("Kiện", C899)),
       " GÓI " &amp; COUNTIF($C$13:C899, "*Kiện*") &amp; "/" &amp; COUNTIF($C$13:$C$1000, "*Kiện*") &amp; " " &amp; AA899,
       AA899)
)</f>
        <v/>
      </c>
      <c r="F899" s="206"/>
      <c r="G899" s="206"/>
      <c r="H899" s="206"/>
      <c r="I899" s="206"/>
      <c r="J899" s="206" t="str">
        <f t="shared" si="195"/>
        <v/>
      </c>
      <c r="K899" s="206" t="str">
        <f t="shared" si="197"/>
        <v/>
      </c>
      <c r="L899" s="206" t="str">
        <f t="shared" si="198"/>
        <v/>
      </c>
      <c r="M899" s="206" t="str">
        <f t="shared" si="199"/>
        <v/>
      </c>
      <c r="N899" s="206" t="str">
        <f t="shared" si="200"/>
        <v/>
      </c>
      <c r="O899" s="206" t="str">
        <f t="shared" si="201"/>
        <v/>
      </c>
      <c r="P899" s="84" t="str">
        <f t="shared" si="202"/>
        <v/>
      </c>
      <c r="Q899" s="205"/>
      <c r="R899" s="70" t="str">
        <f>IF(S899="IN",'BOM_Phan II'!$Y$3,"")</f>
        <v/>
      </c>
      <c r="S899" s="69" t="str">
        <f t="shared" si="194"/>
        <v/>
      </c>
      <c r="T899">
        <f t="shared" si="203"/>
        <v>3</v>
      </c>
      <c r="U899" t="str">
        <f t="shared" ref="U899:U962" si="205">IF(C899="",U898,C899)</f>
        <v>KIỆN 14</v>
      </c>
      <c r="V899" t="str">
        <f t="shared" si="204"/>
        <v/>
      </c>
      <c r="W899" s="266"/>
      <c r="X899" s="266"/>
      <c r="Y899" s="266" t="str">
        <f t="shared" si="196"/>
        <v/>
      </c>
      <c r="Z899" s="266"/>
    </row>
    <row r="900" spans="1:26" ht="27" hidden="1" customHeight="1">
      <c r="A900" s="70" t="str">
        <f t="shared" si="192"/>
        <v/>
      </c>
      <c r="B900" s="70" t="str">
        <f t="shared" si="193"/>
        <v/>
      </c>
      <c r="C900" s="204" t="str" cm="1">
        <f t="array" ref="C900">IF(D900="","",
    IF(AND(ISNUMBER(D900), D900=INT(D900)),
        $V$6 &amp; " " &amp; (IFERROR(MAX($Y$12:$Y899), 0) + 1),
        IF(ISNUMBER(SEARCH(".", D900)), "", INDEX($C$12:$C900, MATCH(2, 1/($C$12:$C900 &lt;&gt; ""))))
    )
)</f>
        <v/>
      </c>
      <c r="D900" s="206"/>
      <c r="E900" s="206" t="str">
        <f>IF(AA900 = "", "",
    IF(ISNUMBER(SEARCH("Kiện", C900)),
       " GÓI " &amp; COUNTIF($C$13:C900, "*Kiện*") &amp; "/" &amp; COUNTIF($C$13:$C$1000, "*Kiện*") &amp; " " &amp; AA900,
       AA900)
)</f>
        <v/>
      </c>
      <c r="F900" s="206"/>
      <c r="G900" s="206"/>
      <c r="H900" s="206"/>
      <c r="I900" s="206"/>
      <c r="J900" s="206" t="str">
        <f t="shared" si="195"/>
        <v/>
      </c>
      <c r="K900" s="206" t="str">
        <f t="shared" si="197"/>
        <v/>
      </c>
      <c r="L900" s="206" t="str">
        <f t="shared" si="198"/>
        <v/>
      </c>
      <c r="M900" s="206" t="str">
        <f t="shared" si="199"/>
        <v/>
      </c>
      <c r="N900" s="206" t="str">
        <f t="shared" si="200"/>
        <v/>
      </c>
      <c r="O900" s="206" t="str">
        <f t="shared" si="201"/>
        <v/>
      </c>
      <c r="P900" s="84" t="str">
        <f t="shared" si="202"/>
        <v/>
      </c>
      <c r="Q900" s="205"/>
      <c r="R900" s="70" t="str">
        <f>IF(S900="IN",'BOM_Phan II'!$Y$3,"")</f>
        <v/>
      </c>
      <c r="S900" s="69" t="str">
        <f t="shared" si="194"/>
        <v/>
      </c>
      <c r="T900">
        <f t="shared" si="203"/>
        <v>3</v>
      </c>
      <c r="U900" t="str">
        <f t="shared" si="205"/>
        <v>KIỆN 14</v>
      </c>
      <c r="V900" t="str">
        <f t="shared" si="204"/>
        <v/>
      </c>
      <c r="W900" s="266"/>
      <c r="X900" s="266"/>
      <c r="Y900" s="266" t="str">
        <f t="shared" si="196"/>
        <v/>
      </c>
      <c r="Z900" s="266"/>
    </row>
    <row r="901" spans="1:26" ht="27" hidden="1" customHeight="1">
      <c r="A901" s="70" t="str">
        <f t="shared" si="192"/>
        <v/>
      </c>
      <c r="B901" s="70" t="str">
        <f t="shared" si="193"/>
        <v/>
      </c>
      <c r="C901" s="204" t="str" cm="1">
        <f t="array" ref="C901">IF(D901="","",
    IF(AND(ISNUMBER(D901), D901=INT(D901)),
        $V$6 &amp; " " &amp; (IFERROR(MAX($Y$12:$Y900), 0) + 1),
        IF(ISNUMBER(SEARCH(".", D901)), "", INDEX($C$12:$C901, MATCH(2, 1/($C$12:$C901 &lt;&gt; ""))))
    )
)</f>
        <v/>
      </c>
      <c r="D901" s="206"/>
      <c r="E901" s="206" t="str">
        <f>IF(AA901 = "", "",
    IF(ISNUMBER(SEARCH("Kiện", C901)),
       " GÓI " &amp; COUNTIF($C$13:C901, "*Kiện*") &amp; "/" &amp; COUNTIF($C$13:$C$1000, "*Kiện*") &amp; " " &amp; AA901,
       AA901)
)</f>
        <v/>
      </c>
      <c r="F901" s="206"/>
      <c r="G901" s="206"/>
      <c r="H901" s="206"/>
      <c r="I901" s="206"/>
      <c r="J901" s="206" t="str">
        <f t="shared" si="195"/>
        <v/>
      </c>
      <c r="K901" s="206" t="str">
        <f t="shared" si="197"/>
        <v/>
      </c>
      <c r="L901" s="206" t="str">
        <f t="shared" si="198"/>
        <v/>
      </c>
      <c r="M901" s="206" t="str">
        <f t="shared" si="199"/>
        <v/>
      </c>
      <c r="N901" s="206" t="str">
        <f t="shared" si="200"/>
        <v/>
      </c>
      <c r="O901" s="206" t="str">
        <f t="shared" si="201"/>
        <v/>
      </c>
      <c r="P901" s="84" t="str">
        <f t="shared" si="202"/>
        <v/>
      </c>
      <c r="Q901" s="205"/>
      <c r="R901" s="70" t="str">
        <f>IF(S901="IN",'BOM_Phan II'!$Y$3,"")</f>
        <v/>
      </c>
      <c r="S901" s="69" t="str">
        <f t="shared" si="194"/>
        <v/>
      </c>
      <c r="T901">
        <f t="shared" si="203"/>
        <v>3</v>
      </c>
      <c r="U901" t="str">
        <f t="shared" si="205"/>
        <v>KIỆN 14</v>
      </c>
      <c r="V901" t="str">
        <f t="shared" si="204"/>
        <v/>
      </c>
      <c r="W901" s="266"/>
      <c r="X901" s="266"/>
      <c r="Y901" s="266" t="str">
        <f t="shared" si="196"/>
        <v/>
      </c>
      <c r="Z901" s="266"/>
    </row>
    <row r="902" spans="1:26" ht="27" hidden="1" customHeight="1">
      <c r="A902" s="70" t="str">
        <f t="shared" si="192"/>
        <v/>
      </c>
      <c r="B902" s="70" t="str">
        <f t="shared" si="193"/>
        <v/>
      </c>
      <c r="C902" s="204" t="str" cm="1">
        <f t="array" ref="C902">IF(D902="","",
    IF(AND(ISNUMBER(D902), D902=INT(D902)),
        $V$6 &amp; " " &amp; (IFERROR(MAX($Y$12:$Y901), 0) + 1),
        IF(ISNUMBER(SEARCH(".", D902)), "", INDEX($C$12:$C902, MATCH(2, 1/($C$12:$C902 &lt;&gt; ""))))
    )
)</f>
        <v/>
      </c>
      <c r="D902" s="206"/>
      <c r="E902" s="206" t="str">
        <f>IF(AA902 = "", "",
    IF(ISNUMBER(SEARCH("Kiện", C902)),
       " GÓI " &amp; COUNTIF($C$13:C902, "*Kiện*") &amp; "/" &amp; COUNTIF($C$13:$C$1000, "*Kiện*") &amp; " " &amp; AA902,
       AA902)
)</f>
        <v/>
      </c>
      <c r="F902" s="206"/>
      <c r="G902" s="206"/>
      <c r="H902" s="206"/>
      <c r="I902" s="206"/>
      <c r="J902" s="206" t="str">
        <f t="shared" si="195"/>
        <v/>
      </c>
      <c r="K902" s="206" t="str">
        <f t="shared" si="197"/>
        <v/>
      </c>
      <c r="L902" s="206" t="str">
        <f t="shared" si="198"/>
        <v/>
      </c>
      <c r="M902" s="206" t="str">
        <f t="shared" si="199"/>
        <v/>
      </c>
      <c r="N902" s="206" t="str">
        <f t="shared" si="200"/>
        <v/>
      </c>
      <c r="O902" s="206" t="str">
        <f t="shared" si="201"/>
        <v/>
      </c>
      <c r="P902" s="84" t="str">
        <f t="shared" si="202"/>
        <v/>
      </c>
      <c r="Q902" s="205"/>
      <c r="R902" s="70" t="str">
        <f>IF(S902="IN",'BOM_Phan II'!$Y$3,"")</f>
        <v/>
      </c>
      <c r="S902" s="69" t="str">
        <f t="shared" si="194"/>
        <v/>
      </c>
      <c r="T902">
        <f t="shared" si="203"/>
        <v>3</v>
      </c>
      <c r="U902" t="str">
        <f t="shared" si="205"/>
        <v>KIỆN 14</v>
      </c>
      <c r="V902" t="str">
        <f t="shared" si="204"/>
        <v/>
      </c>
      <c r="W902" s="266"/>
      <c r="X902" s="266"/>
      <c r="Y902" s="266" t="str">
        <f t="shared" si="196"/>
        <v/>
      </c>
      <c r="Z902" s="266"/>
    </row>
    <row r="903" spans="1:26" ht="27" hidden="1" customHeight="1">
      <c r="A903" s="70" t="str">
        <f t="shared" si="192"/>
        <v/>
      </c>
      <c r="B903" s="70" t="str">
        <f t="shared" si="193"/>
        <v/>
      </c>
      <c r="C903" s="204" t="str" cm="1">
        <f t="array" ref="C903">IF(D903="","",
    IF(AND(ISNUMBER(D903), D903=INT(D903)),
        $V$6 &amp; " " &amp; (IFERROR(MAX($Y$12:$Y902), 0) + 1),
        IF(ISNUMBER(SEARCH(".", D903)), "", INDEX($C$12:$C903, MATCH(2, 1/($C$12:$C903 &lt;&gt; ""))))
    )
)</f>
        <v/>
      </c>
      <c r="D903" s="206"/>
      <c r="E903" s="206" t="str">
        <f>IF(AA903 = "", "",
    IF(ISNUMBER(SEARCH("Kiện", C903)),
       " GÓI " &amp; COUNTIF($C$13:C903, "*Kiện*") &amp; "/" &amp; COUNTIF($C$13:$C$1000, "*Kiện*") &amp; " " &amp; AA903,
       AA903)
)</f>
        <v/>
      </c>
      <c r="F903" s="206"/>
      <c r="G903" s="206"/>
      <c r="H903" s="206"/>
      <c r="I903" s="206"/>
      <c r="J903" s="206" t="str">
        <f t="shared" si="195"/>
        <v/>
      </c>
      <c r="K903" s="206" t="str">
        <f t="shared" si="197"/>
        <v/>
      </c>
      <c r="L903" s="206" t="str">
        <f t="shared" si="198"/>
        <v/>
      </c>
      <c r="M903" s="206" t="str">
        <f t="shared" si="199"/>
        <v/>
      </c>
      <c r="N903" s="206" t="str">
        <f t="shared" si="200"/>
        <v/>
      </c>
      <c r="O903" s="206" t="str">
        <f t="shared" si="201"/>
        <v/>
      </c>
      <c r="P903" s="84" t="str">
        <f t="shared" si="202"/>
        <v/>
      </c>
      <c r="Q903" s="205"/>
      <c r="R903" s="70" t="str">
        <f>IF(S903="IN",'BOM_Phan II'!$Y$3,"")</f>
        <v/>
      </c>
      <c r="S903" s="69" t="str">
        <f t="shared" si="194"/>
        <v/>
      </c>
      <c r="T903">
        <f t="shared" si="203"/>
        <v>3</v>
      </c>
      <c r="U903" t="str">
        <f t="shared" si="205"/>
        <v>KIỆN 14</v>
      </c>
      <c r="V903" t="str">
        <f t="shared" si="204"/>
        <v/>
      </c>
      <c r="W903" s="266"/>
      <c r="X903" s="266"/>
      <c r="Y903" s="266" t="str">
        <f t="shared" si="196"/>
        <v/>
      </c>
      <c r="Z903" s="266"/>
    </row>
    <row r="904" spans="1:26" ht="27" hidden="1" customHeight="1">
      <c r="A904" s="70" t="str">
        <f t="shared" si="192"/>
        <v/>
      </c>
      <c r="B904" s="70" t="str">
        <f t="shared" si="193"/>
        <v/>
      </c>
      <c r="C904" s="204" t="str" cm="1">
        <f t="array" ref="C904">IF(D904="","",
    IF(AND(ISNUMBER(D904), D904=INT(D904)),
        $V$6 &amp; " " &amp; (IFERROR(MAX($Y$12:$Y903), 0) + 1),
        IF(ISNUMBER(SEARCH(".", D904)), "", INDEX($C$12:$C904, MATCH(2, 1/($C$12:$C904 &lt;&gt; ""))))
    )
)</f>
        <v/>
      </c>
      <c r="D904" s="206"/>
      <c r="E904" s="206" t="str">
        <f>IF(AA904 = "", "",
    IF(ISNUMBER(SEARCH("Kiện", C904)),
       " GÓI " &amp; COUNTIF($C$13:C904, "*Kiện*") &amp; "/" &amp; COUNTIF($C$13:$C$1000, "*Kiện*") &amp; " " &amp; AA904,
       AA904)
)</f>
        <v/>
      </c>
      <c r="F904" s="206"/>
      <c r="G904" s="206"/>
      <c r="H904" s="206"/>
      <c r="I904" s="206"/>
      <c r="J904" s="206" t="str">
        <f t="shared" si="195"/>
        <v/>
      </c>
      <c r="K904" s="206" t="str">
        <f t="shared" si="197"/>
        <v/>
      </c>
      <c r="L904" s="206" t="str">
        <f t="shared" si="198"/>
        <v/>
      </c>
      <c r="M904" s="206" t="str">
        <f t="shared" si="199"/>
        <v/>
      </c>
      <c r="N904" s="206" t="str">
        <f t="shared" si="200"/>
        <v/>
      </c>
      <c r="O904" s="206" t="str">
        <f t="shared" si="201"/>
        <v/>
      </c>
      <c r="P904" s="84" t="str">
        <f t="shared" si="202"/>
        <v/>
      </c>
      <c r="Q904" s="205"/>
      <c r="R904" s="70" t="str">
        <f>IF(S904="IN",'BOM_Phan II'!$Y$3,"")</f>
        <v/>
      </c>
      <c r="S904" s="69" t="str">
        <f t="shared" si="194"/>
        <v/>
      </c>
      <c r="T904">
        <f t="shared" si="203"/>
        <v>3</v>
      </c>
      <c r="U904" t="str">
        <f t="shared" si="205"/>
        <v>KIỆN 14</v>
      </c>
      <c r="V904" t="str">
        <f t="shared" si="204"/>
        <v/>
      </c>
      <c r="W904" s="266"/>
      <c r="X904" s="266"/>
      <c r="Y904" s="266" t="str">
        <f t="shared" si="196"/>
        <v/>
      </c>
      <c r="Z904" s="266"/>
    </row>
    <row r="905" spans="1:26" ht="27" hidden="1" customHeight="1">
      <c r="A905" s="70" t="str">
        <f t="shared" si="192"/>
        <v/>
      </c>
      <c r="B905" s="70" t="str">
        <f t="shared" si="193"/>
        <v/>
      </c>
      <c r="C905" s="204" t="str" cm="1">
        <f t="array" ref="C905">IF(D905="","",
    IF(AND(ISNUMBER(D905), D905=INT(D905)),
        $V$6 &amp; " " &amp; (IFERROR(MAX($Y$12:$Y904), 0) + 1),
        IF(ISNUMBER(SEARCH(".", D905)), "", INDEX($C$12:$C905, MATCH(2, 1/($C$12:$C905 &lt;&gt; ""))))
    )
)</f>
        <v/>
      </c>
      <c r="D905" s="206"/>
      <c r="E905" s="206" t="str">
        <f>IF(AA905 = "", "",
    IF(ISNUMBER(SEARCH("Kiện", C905)),
       " GÓI " &amp; COUNTIF($C$13:C905, "*Kiện*") &amp; "/" &amp; COUNTIF($C$13:$C$1000, "*Kiện*") &amp; " " &amp; AA905,
       AA905)
)</f>
        <v/>
      </c>
      <c r="F905" s="206"/>
      <c r="G905" s="206"/>
      <c r="H905" s="206"/>
      <c r="I905" s="206"/>
      <c r="J905" s="206" t="str">
        <f t="shared" si="195"/>
        <v/>
      </c>
      <c r="K905" s="206" t="str">
        <f t="shared" si="197"/>
        <v/>
      </c>
      <c r="L905" s="206" t="str">
        <f t="shared" si="198"/>
        <v/>
      </c>
      <c r="M905" s="206" t="str">
        <f t="shared" si="199"/>
        <v/>
      </c>
      <c r="N905" s="206" t="str">
        <f t="shared" si="200"/>
        <v/>
      </c>
      <c r="O905" s="206" t="str">
        <f t="shared" si="201"/>
        <v/>
      </c>
      <c r="P905" s="84" t="str">
        <f t="shared" si="202"/>
        <v/>
      </c>
      <c r="Q905" s="205"/>
      <c r="R905" s="70" t="str">
        <f>IF(S905="IN",'BOM_Phan II'!$Y$3,"")</f>
        <v/>
      </c>
      <c r="S905" s="69" t="str">
        <f t="shared" si="194"/>
        <v/>
      </c>
      <c r="T905">
        <f t="shared" si="203"/>
        <v>3</v>
      </c>
      <c r="U905" t="str">
        <f t="shared" si="205"/>
        <v>KIỆN 14</v>
      </c>
      <c r="V905" t="str">
        <f t="shared" si="204"/>
        <v/>
      </c>
      <c r="W905" s="266"/>
      <c r="X905" s="266"/>
      <c r="Y905" s="266" t="str">
        <f t="shared" si="196"/>
        <v/>
      </c>
      <c r="Z905" s="266"/>
    </row>
    <row r="906" spans="1:26" ht="27" hidden="1" customHeight="1">
      <c r="A906" s="70" t="str">
        <f t="shared" si="192"/>
        <v/>
      </c>
      <c r="B906" s="70" t="str">
        <f t="shared" si="193"/>
        <v/>
      </c>
      <c r="C906" s="204" t="str" cm="1">
        <f t="array" ref="C906">IF(D906="","",
    IF(AND(ISNUMBER(D906), D906=INT(D906)),
        $V$6 &amp; " " &amp; (IFERROR(MAX($Y$12:$Y905), 0) + 1),
        IF(ISNUMBER(SEARCH(".", D906)), "", INDEX($C$12:$C906, MATCH(2, 1/($C$12:$C906 &lt;&gt; ""))))
    )
)</f>
        <v/>
      </c>
      <c r="D906" s="206"/>
      <c r="E906" s="206" t="str">
        <f>IF(AA906 = "", "",
    IF(ISNUMBER(SEARCH("Kiện", C906)),
       " GÓI " &amp; COUNTIF($C$13:C906, "*Kiện*") &amp; "/" &amp; COUNTIF($C$13:$C$1000, "*Kiện*") &amp; " " &amp; AA906,
       AA906)
)</f>
        <v/>
      </c>
      <c r="F906" s="206"/>
      <c r="G906" s="206"/>
      <c r="H906" s="206"/>
      <c r="I906" s="206"/>
      <c r="J906" s="206" t="str">
        <f t="shared" si="195"/>
        <v/>
      </c>
      <c r="K906" s="206" t="str">
        <f t="shared" si="197"/>
        <v/>
      </c>
      <c r="L906" s="206" t="str">
        <f t="shared" si="198"/>
        <v/>
      </c>
      <c r="M906" s="206" t="str">
        <f t="shared" si="199"/>
        <v/>
      </c>
      <c r="N906" s="206" t="str">
        <f t="shared" si="200"/>
        <v/>
      </c>
      <c r="O906" s="206" t="str">
        <f t="shared" si="201"/>
        <v/>
      </c>
      <c r="P906" s="84" t="str">
        <f t="shared" si="202"/>
        <v/>
      </c>
      <c r="Q906" s="205"/>
      <c r="R906" s="70" t="str">
        <f>IF(S906="IN",'BOM_Phan II'!$Y$3,"")</f>
        <v/>
      </c>
      <c r="S906" s="69" t="str">
        <f t="shared" si="194"/>
        <v/>
      </c>
      <c r="T906">
        <f t="shared" si="203"/>
        <v>3</v>
      </c>
      <c r="U906" t="str">
        <f t="shared" si="205"/>
        <v>KIỆN 14</v>
      </c>
      <c r="V906" t="str">
        <f t="shared" si="204"/>
        <v/>
      </c>
      <c r="W906" s="266"/>
      <c r="X906" s="266"/>
      <c r="Y906" s="266" t="str">
        <f t="shared" si="196"/>
        <v/>
      </c>
      <c r="Z906" s="266"/>
    </row>
    <row r="907" spans="1:26" ht="27" hidden="1" customHeight="1">
      <c r="A907" s="70" t="str">
        <f t="shared" si="192"/>
        <v/>
      </c>
      <c r="B907" s="70" t="str">
        <f t="shared" si="193"/>
        <v/>
      </c>
      <c r="C907" s="204" t="str" cm="1">
        <f t="array" ref="C907">IF(D907="","",
    IF(AND(ISNUMBER(D907), D907=INT(D907)),
        $V$6 &amp; " " &amp; (IFERROR(MAX($Y$12:$Y906), 0) + 1),
        IF(ISNUMBER(SEARCH(".", D907)), "", INDEX($C$12:$C907, MATCH(2, 1/($C$12:$C907 &lt;&gt; ""))))
    )
)</f>
        <v/>
      </c>
      <c r="D907" s="206"/>
      <c r="E907" s="206" t="str">
        <f>IF(AA907 = "", "",
    IF(ISNUMBER(SEARCH("Kiện", C907)),
       " GÓI " &amp; COUNTIF($C$13:C907, "*Kiện*") &amp; "/" &amp; COUNTIF($C$13:$C$1000, "*Kiện*") &amp; " " &amp; AA907,
       AA907)
)</f>
        <v/>
      </c>
      <c r="F907" s="206"/>
      <c r="G907" s="206"/>
      <c r="H907" s="206"/>
      <c r="I907" s="206"/>
      <c r="J907" s="206" t="str">
        <f t="shared" si="195"/>
        <v/>
      </c>
      <c r="K907" s="206" t="str">
        <f t="shared" si="197"/>
        <v/>
      </c>
      <c r="L907" s="206" t="str">
        <f t="shared" si="198"/>
        <v/>
      </c>
      <c r="M907" s="206" t="str">
        <f t="shared" si="199"/>
        <v/>
      </c>
      <c r="N907" s="206" t="str">
        <f t="shared" si="200"/>
        <v/>
      </c>
      <c r="O907" s="206" t="str">
        <f t="shared" si="201"/>
        <v/>
      </c>
      <c r="P907" s="84" t="str">
        <f t="shared" si="202"/>
        <v/>
      </c>
      <c r="Q907" s="205"/>
      <c r="R907" s="70" t="str">
        <f>IF(S907="IN",'BOM_Phan II'!$Y$3,"")</f>
        <v/>
      </c>
      <c r="S907" s="69" t="str">
        <f t="shared" si="194"/>
        <v/>
      </c>
      <c r="T907">
        <f t="shared" si="203"/>
        <v>3</v>
      </c>
      <c r="U907" t="str">
        <f t="shared" si="205"/>
        <v>KIỆN 14</v>
      </c>
      <c r="V907" t="str">
        <f t="shared" si="204"/>
        <v/>
      </c>
      <c r="W907" s="266"/>
      <c r="X907" s="266"/>
      <c r="Y907" s="266" t="str">
        <f t="shared" si="196"/>
        <v/>
      </c>
      <c r="Z907" s="266"/>
    </row>
    <row r="908" spans="1:26" ht="27" hidden="1" customHeight="1">
      <c r="A908" s="70" t="str">
        <f t="shared" ref="A908:A971" si="206">IF(S908="IN",$E$6,"")</f>
        <v/>
      </c>
      <c r="B908" s="70" t="str">
        <f t="shared" ref="B908:B971" si="207">IF(S908="IN","Muc "&amp;$E$7,"")</f>
        <v/>
      </c>
      <c r="C908" s="204" t="str" cm="1">
        <f t="array" ref="C908">IF(D908="","",
    IF(AND(ISNUMBER(D908), D908=INT(D908)),
        $V$6 &amp; " " &amp; (IFERROR(MAX($Y$12:$Y907), 0) + 1),
        IF(ISNUMBER(SEARCH(".", D908)), "", INDEX($C$12:$C908, MATCH(2, 1/($C$12:$C908 &lt;&gt; ""))))
    )
)</f>
        <v/>
      </c>
      <c r="D908" s="206"/>
      <c r="E908" s="206" t="str">
        <f>IF(AA908 = "", "",
    IF(ISNUMBER(SEARCH("Kiện", C908)),
       " GÓI " &amp; COUNTIF($C$13:C908, "*Kiện*") &amp; "/" &amp; COUNTIF($C$13:$C$1000, "*Kiện*") &amp; " " &amp; AA908,
       AA908)
)</f>
        <v/>
      </c>
      <c r="F908" s="206"/>
      <c r="G908" s="206"/>
      <c r="H908" s="206"/>
      <c r="I908" s="206"/>
      <c r="J908" s="206" t="str">
        <f t="shared" si="195"/>
        <v/>
      </c>
      <c r="K908" s="206" t="str">
        <f t="shared" si="197"/>
        <v/>
      </c>
      <c r="L908" s="206" t="str">
        <f t="shared" si="198"/>
        <v/>
      </c>
      <c r="M908" s="206" t="str">
        <f t="shared" si="199"/>
        <v/>
      </c>
      <c r="N908" s="206" t="str">
        <f t="shared" si="200"/>
        <v/>
      </c>
      <c r="O908" s="206" t="str">
        <f t="shared" si="201"/>
        <v/>
      </c>
      <c r="P908" s="84" t="str">
        <f t="shared" si="202"/>
        <v/>
      </c>
      <c r="Q908" s="205"/>
      <c r="R908" s="70" t="str">
        <f>IF(S908="IN",'BOM_Phan II'!$Y$3,"")</f>
        <v/>
      </c>
      <c r="S908" s="69" t="str">
        <f t="shared" ref="S908:S971" si="208">IF(OR(E908&lt;&gt;"",D908&lt;&gt;""),"IN","")</f>
        <v/>
      </c>
      <c r="T908">
        <f t="shared" si="203"/>
        <v>3</v>
      </c>
      <c r="U908" t="str">
        <f t="shared" si="205"/>
        <v>KIỆN 14</v>
      </c>
      <c r="V908" t="str">
        <f t="shared" si="204"/>
        <v/>
      </c>
      <c r="W908" s="266"/>
      <c r="X908" s="266"/>
      <c r="Y908" s="266" t="str">
        <f t="shared" si="196"/>
        <v/>
      </c>
      <c r="Z908" s="266"/>
    </row>
    <row r="909" spans="1:26" ht="27" hidden="1" customHeight="1">
      <c r="A909" s="70" t="str">
        <f t="shared" si="206"/>
        <v/>
      </c>
      <c r="B909" s="70" t="str">
        <f t="shared" si="207"/>
        <v/>
      </c>
      <c r="C909" s="204" t="str" cm="1">
        <f t="array" ref="C909">IF(D909="","",
    IF(AND(ISNUMBER(D909), D909=INT(D909)),
        $V$6 &amp; " " &amp; (IFERROR(MAX($Y$12:$Y908), 0) + 1),
        IF(ISNUMBER(SEARCH(".", D909)), "", INDEX($C$12:$C909, MATCH(2, 1/($C$12:$C909 &lt;&gt; ""))))
    )
)</f>
        <v/>
      </c>
      <c r="D909" s="206"/>
      <c r="E909" s="206" t="str">
        <f>IF(AA909 = "", "",
    IF(ISNUMBER(SEARCH("Kiện", C909)),
       " GÓI " &amp; COUNTIF($C$13:C909, "*Kiện*") &amp; "/" &amp; COUNTIF($C$13:$C$1000, "*Kiện*") &amp; " " &amp; AA909,
       AA909)
)</f>
        <v/>
      </c>
      <c r="F909" s="206"/>
      <c r="G909" s="206"/>
      <c r="H909" s="206"/>
      <c r="I909" s="206"/>
      <c r="J909" s="206" t="str">
        <f t="shared" ref="J909:J972" si="209">IF(C909&lt;&gt;"",C909&amp;"_"&amp;$E$6,"")</f>
        <v/>
      </c>
      <c r="K909" s="206" t="str">
        <f t="shared" si="197"/>
        <v/>
      </c>
      <c r="L909" s="206" t="str">
        <f t="shared" si="198"/>
        <v/>
      </c>
      <c r="M909" s="206" t="str">
        <f t="shared" si="199"/>
        <v/>
      </c>
      <c r="N909" s="206" t="str">
        <f t="shared" si="200"/>
        <v/>
      </c>
      <c r="O909" s="206" t="str">
        <f t="shared" si="201"/>
        <v/>
      </c>
      <c r="P909" s="84" t="str">
        <f t="shared" si="202"/>
        <v/>
      </c>
      <c r="Q909" s="205"/>
      <c r="R909" s="70" t="str">
        <f>IF(S909="IN",'BOM_Phan II'!$Y$3,"")</f>
        <v/>
      </c>
      <c r="S909" s="69" t="str">
        <f t="shared" si="208"/>
        <v/>
      </c>
      <c r="T909">
        <f t="shared" si="203"/>
        <v>3</v>
      </c>
      <c r="U909" t="str">
        <f t="shared" si="205"/>
        <v>KIỆN 14</v>
      </c>
      <c r="V909" t="str">
        <f t="shared" si="204"/>
        <v/>
      </c>
      <c r="W909" s="266"/>
      <c r="X909" s="266"/>
      <c r="Y909" s="266" t="str">
        <f t="shared" ref="Y909:Y972" si="210">IFERROR(VALUE(RIGHT(C909,LEN(C909)-5)),"")</f>
        <v/>
      </c>
      <c r="Z909" s="266"/>
    </row>
    <row r="910" spans="1:26" ht="27" hidden="1" customHeight="1">
      <c r="A910" s="70" t="str">
        <f t="shared" si="206"/>
        <v/>
      </c>
      <c r="B910" s="70" t="str">
        <f t="shared" si="207"/>
        <v/>
      </c>
      <c r="C910" s="204" t="str" cm="1">
        <f t="array" ref="C910">IF(D910="","",
    IF(AND(ISNUMBER(D910), D910=INT(D910)),
        $V$6 &amp; " " &amp; (IFERROR(MAX($Y$12:$Y909), 0) + 1),
        IF(ISNUMBER(SEARCH(".", D910)), "", INDEX($C$12:$C910, MATCH(2, 1/($C$12:$C910 &lt;&gt; ""))))
    )
)</f>
        <v/>
      </c>
      <c r="D910" s="206"/>
      <c r="E910" s="206" t="str">
        <f>IF(AA910 = "", "",
    IF(ISNUMBER(SEARCH("Kiện", C910)),
       " GÓI " &amp; COUNTIF($C$13:C910, "*Kiện*") &amp; "/" &amp; COUNTIF($C$13:$C$1000, "*Kiện*") &amp; " " &amp; AA910,
       AA910)
)</f>
        <v/>
      </c>
      <c r="F910" s="206"/>
      <c r="G910" s="206"/>
      <c r="H910" s="206"/>
      <c r="I910" s="206"/>
      <c r="J910" s="206" t="str">
        <f t="shared" si="209"/>
        <v/>
      </c>
      <c r="K910" s="206" t="str">
        <f t="shared" ref="K910:K973" si="211">IFERROR(IF($C910&lt;&gt;"",IF($T$13=1,F910+20,IF($T$13=2,F910+20,IF($T$13=3,F910+50,IF($T$13=4,F910+40,IF($T$13=5,F910+50,IF($T$13=51,F910+50,IF($T$13=6,F910+50,IF($T$13=7,F910+50,"")))))))),""),"")</f>
        <v/>
      </c>
      <c r="L910" s="206" t="str">
        <f t="shared" ref="L910:L973" si="212">IFERROR(IF($C910&lt;&gt;"",IF($T$13=1,G910+20,IF($T$13=2,G910+20,IF($T$13=3,G910+50,IF($T$13=4,G910+40,IF($T$13=5,G910+50,IF($T$13=51,G910+50,IF($T$13=6,G910+50,IF($T$13=7,G910+50,"")))))))),""),"")</f>
        <v/>
      </c>
      <c r="M910" s="206" t="str">
        <f t="shared" ref="M910:M973" si="213">IFERROR(IF($C910&lt;&gt;"",IF($T$13=1,H910+20,IF($T$13=2,H910+20,IF($T$13=3,H910+70,IF($T$13=4,H910+40,IF($T$13=5,H910+50,IF($T$13=51,H910+150,IF($T$13=6,H910+50,IF($T$13=7,H910+50,"")))))))),""),"")</f>
        <v/>
      </c>
      <c r="N910" s="206" t="str">
        <f t="shared" ref="N910:N973" si="214">IF(C910&lt;&gt;"",I910,"")</f>
        <v/>
      </c>
      <c r="O910" s="206" t="str">
        <f t="shared" ref="O910:O973" si="215">IF(C910&lt;&gt;"",$O$13,"")</f>
        <v/>
      </c>
      <c r="P910" s="84" t="str">
        <f t="shared" ref="P910:P973" si="216">IFERROR(IF(C910&lt;&gt;"",SUMIFS($V$13:$V$969,$U$13:$U$969,C910)*$S$6,V910*$S$6),"")</f>
        <v/>
      </c>
      <c r="Q910" s="205"/>
      <c r="R910" s="70" t="str">
        <f>IF(S910="IN",'BOM_Phan II'!$Y$3,"")</f>
        <v/>
      </c>
      <c r="S910" s="69" t="str">
        <f t="shared" si="208"/>
        <v/>
      </c>
      <c r="T910">
        <f t="shared" ref="T910:T973" si="217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3</v>
      </c>
      <c r="U910" t="str">
        <f t="shared" si="205"/>
        <v>KIỆN 14</v>
      </c>
      <c r="V910" t="str">
        <f t="shared" ref="V910:V973" si="218">IFERROR(IF(AND(C910="", OR($W910="1", $W910="2")), IF(I910="", "", F910*G910*H910*I910/10^9), ""), "")</f>
        <v/>
      </c>
      <c r="W910" s="266"/>
      <c r="X910" s="266"/>
      <c r="Y910" s="266" t="str">
        <f t="shared" si="210"/>
        <v/>
      </c>
      <c r="Z910" s="266"/>
    </row>
    <row r="911" spans="1:26" ht="27" hidden="1" customHeight="1">
      <c r="A911" s="70" t="str">
        <f t="shared" si="206"/>
        <v/>
      </c>
      <c r="B911" s="70" t="str">
        <f t="shared" si="207"/>
        <v/>
      </c>
      <c r="C911" s="204" t="str" cm="1">
        <f t="array" ref="C911">IF(D911="","",
    IF(AND(ISNUMBER(D911), D911=INT(D911)),
        $V$6 &amp; " " &amp; (IFERROR(MAX($Y$12:$Y910), 0) + 1),
        IF(ISNUMBER(SEARCH(".", D911)), "", INDEX($C$12:$C911, MATCH(2, 1/($C$12:$C911 &lt;&gt; ""))))
    )
)</f>
        <v/>
      </c>
      <c r="D911" s="206"/>
      <c r="E911" s="206" t="str">
        <f>IF(AA911 = "", "",
    IF(ISNUMBER(SEARCH("Kiện", C911)),
       " GÓI " &amp; COUNTIF($C$13:C911, "*Kiện*") &amp; "/" &amp; COUNTIF($C$13:$C$1000, "*Kiện*") &amp; " " &amp; AA911,
       AA911)
)</f>
        <v/>
      </c>
      <c r="F911" s="206"/>
      <c r="G911" s="206"/>
      <c r="H911" s="206"/>
      <c r="I911" s="206"/>
      <c r="J911" s="206" t="str">
        <f t="shared" si="209"/>
        <v/>
      </c>
      <c r="K911" s="206" t="str">
        <f t="shared" si="211"/>
        <v/>
      </c>
      <c r="L911" s="206" t="str">
        <f t="shared" si="212"/>
        <v/>
      </c>
      <c r="M911" s="206" t="str">
        <f t="shared" si="213"/>
        <v/>
      </c>
      <c r="N911" s="206" t="str">
        <f t="shared" si="214"/>
        <v/>
      </c>
      <c r="O911" s="206" t="str">
        <f t="shared" si="215"/>
        <v/>
      </c>
      <c r="P911" s="84" t="str">
        <f t="shared" si="216"/>
        <v/>
      </c>
      <c r="Q911" s="205"/>
      <c r="R911" s="70" t="str">
        <f>IF(S911="IN",'BOM_Phan II'!$Y$3,"")</f>
        <v/>
      </c>
      <c r="S911" s="69" t="str">
        <f t="shared" si="208"/>
        <v/>
      </c>
      <c r="T911">
        <f t="shared" si="217"/>
        <v>3</v>
      </c>
      <c r="U911" t="str">
        <f t="shared" si="205"/>
        <v>KIỆN 14</v>
      </c>
      <c r="V911" t="str">
        <f t="shared" si="218"/>
        <v/>
      </c>
      <c r="W911" s="266"/>
      <c r="X911" s="266"/>
      <c r="Y911" s="266" t="str">
        <f t="shared" si="210"/>
        <v/>
      </c>
      <c r="Z911" s="266"/>
    </row>
    <row r="912" spans="1:26" ht="27" hidden="1" customHeight="1">
      <c r="A912" s="70" t="str">
        <f t="shared" si="206"/>
        <v/>
      </c>
      <c r="B912" s="70" t="str">
        <f t="shared" si="207"/>
        <v/>
      </c>
      <c r="C912" s="204" t="str" cm="1">
        <f t="array" ref="C912">IF(D912="","",
    IF(AND(ISNUMBER(D912), D912=INT(D912)),
        $V$6 &amp; " " &amp; (IFERROR(MAX($Y$12:$Y911), 0) + 1),
        IF(ISNUMBER(SEARCH(".", D912)), "", INDEX($C$12:$C912, MATCH(2, 1/($C$12:$C912 &lt;&gt; ""))))
    )
)</f>
        <v/>
      </c>
      <c r="D912" s="206"/>
      <c r="E912" s="206" t="str">
        <f>IF(AA912 = "", "",
    IF(ISNUMBER(SEARCH("Kiện", C912)),
       " GÓI " &amp; COUNTIF($C$13:C912, "*Kiện*") &amp; "/" &amp; COUNTIF($C$13:$C$1000, "*Kiện*") &amp; " " &amp; AA912,
       AA912)
)</f>
        <v/>
      </c>
      <c r="F912" s="206"/>
      <c r="G912" s="206"/>
      <c r="H912" s="206"/>
      <c r="I912" s="206"/>
      <c r="J912" s="206" t="str">
        <f t="shared" si="209"/>
        <v/>
      </c>
      <c r="K912" s="206" t="str">
        <f t="shared" si="211"/>
        <v/>
      </c>
      <c r="L912" s="206" t="str">
        <f t="shared" si="212"/>
        <v/>
      </c>
      <c r="M912" s="206" t="str">
        <f t="shared" si="213"/>
        <v/>
      </c>
      <c r="N912" s="206" t="str">
        <f t="shared" si="214"/>
        <v/>
      </c>
      <c r="O912" s="206" t="str">
        <f t="shared" si="215"/>
        <v/>
      </c>
      <c r="P912" s="84" t="str">
        <f t="shared" si="216"/>
        <v/>
      </c>
      <c r="Q912" s="205"/>
      <c r="R912" s="70" t="str">
        <f>IF(S912="IN",'BOM_Phan II'!$Y$3,"")</f>
        <v/>
      </c>
      <c r="S912" s="69" t="str">
        <f t="shared" si="208"/>
        <v/>
      </c>
      <c r="T912">
        <f t="shared" si="217"/>
        <v>3</v>
      </c>
      <c r="U912" t="str">
        <f t="shared" si="205"/>
        <v>KIỆN 14</v>
      </c>
      <c r="V912" t="str">
        <f t="shared" si="218"/>
        <v/>
      </c>
      <c r="W912" s="266"/>
      <c r="X912" s="266"/>
      <c r="Y912" s="266" t="str">
        <f t="shared" si="210"/>
        <v/>
      </c>
      <c r="Z912" s="266"/>
    </row>
    <row r="913" spans="1:26" ht="27" hidden="1" customHeight="1">
      <c r="A913" s="70" t="str">
        <f t="shared" si="206"/>
        <v/>
      </c>
      <c r="B913" s="70" t="str">
        <f t="shared" si="207"/>
        <v/>
      </c>
      <c r="C913" s="204" t="str" cm="1">
        <f t="array" ref="C913">IF(D913="","",
    IF(AND(ISNUMBER(D913), D913=INT(D913)),
        $V$6 &amp; " " &amp; (IFERROR(MAX($Y$12:$Y912), 0) + 1),
        IF(ISNUMBER(SEARCH(".", D913)), "", INDEX($C$12:$C913, MATCH(2, 1/($C$12:$C913 &lt;&gt; ""))))
    )
)</f>
        <v/>
      </c>
      <c r="D913" s="206"/>
      <c r="E913" s="206" t="str">
        <f>IF(AA913 = "", "",
    IF(ISNUMBER(SEARCH("Kiện", C913)),
       " GÓI " &amp; COUNTIF($C$13:C913, "*Kiện*") &amp; "/" &amp; COUNTIF($C$13:$C$1000, "*Kiện*") &amp; " " &amp; AA913,
       AA913)
)</f>
        <v/>
      </c>
      <c r="F913" s="206"/>
      <c r="G913" s="206"/>
      <c r="H913" s="206"/>
      <c r="I913" s="206"/>
      <c r="J913" s="206" t="str">
        <f t="shared" si="209"/>
        <v/>
      </c>
      <c r="K913" s="206" t="str">
        <f t="shared" si="211"/>
        <v/>
      </c>
      <c r="L913" s="206" t="str">
        <f t="shared" si="212"/>
        <v/>
      </c>
      <c r="M913" s="206" t="str">
        <f t="shared" si="213"/>
        <v/>
      </c>
      <c r="N913" s="206" t="str">
        <f t="shared" si="214"/>
        <v/>
      </c>
      <c r="O913" s="206" t="str">
        <f t="shared" si="215"/>
        <v/>
      </c>
      <c r="P913" s="84" t="str">
        <f t="shared" si="216"/>
        <v/>
      </c>
      <c r="Q913" s="205"/>
      <c r="R913" s="70" t="str">
        <f>IF(S913="IN",'BOM_Phan II'!$Y$3,"")</f>
        <v/>
      </c>
      <c r="S913" s="69" t="str">
        <f t="shared" si="208"/>
        <v/>
      </c>
      <c r="T913">
        <f t="shared" si="217"/>
        <v>3</v>
      </c>
      <c r="U913" t="str">
        <f t="shared" si="205"/>
        <v>KIỆN 14</v>
      </c>
      <c r="V913" t="str">
        <f t="shared" si="218"/>
        <v/>
      </c>
      <c r="W913" s="266"/>
      <c r="X913" s="266"/>
      <c r="Y913" s="266" t="str">
        <f t="shared" si="210"/>
        <v/>
      </c>
      <c r="Z913" s="266"/>
    </row>
    <row r="914" spans="1:26" ht="27" hidden="1" customHeight="1">
      <c r="A914" s="70" t="str">
        <f t="shared" si="206"/>
        <v/>
      </c>
      <c r="B914" s="70" t="str">
        <f t="shared" si="207"/>
        <v/>
      </c>
      <c r="C914" s="204" t="str" cm="1">
        <f t="array" ref="C914">IF(D914="","",
    IF(AND(ISNUMBER(D914), D914=INT(D914)),
        $V$6 &amp; " " &amp; (IFERROR(MAX($Y$12:$Y913), 0) + 1),
        IF(ISNUMBER(SEARCH(".", D914)), "", INDEX($C$12:$C914, MATCH(2, 1/($C$12:$C914 &lt;&gt; ""))))
    )
)</f>
        <v/>
      </c>
      <c r="D914" s="206"/>
      <c r="E914" s="206" t="str">
        <f>IF(AA914 = "", "",
    IF(ISNUMBER(SEARCH("Kiện", C914)),
       " GÓI " &amp; COUNTIF($C$13:C914, "*Kiện*") &amp; "/" &amp; COUNTIF($C$13:$C$1000, "*Kiện*") &amp; " " &amp; AA914,
       AA914)
)</f>
        <v/>
      </c>
      <c r="F914" s="206"/>
      <c r="G914" s="206"/>
      <c r="H914" s="206"/>
      <c r="I914" s="206"/>
      <c r="J914" s="206" t="str">
        <f t="shared" si="209"/>
        <v/>
      </c>
      <c r="K914" s="206" t="str">
        <f t="shared" si="211"/>
        <v/>
      </c>
      <c r="L914" s="206" t="str">
        <f t="shared" si="212"/>
        <v/>
      </c>
      <c r="M914" s="206" t="str">
        <f t="shared" si="213"/>
        <v/>
      </c>
      <c r="N914" s="206" t="str">
        <f t="shared" si="214"/>
        <v/>
      </c>
      <c r="O914" s="206" t="str">
        <f t="shared" si="215"/>
        <v/>
      </c>
      <c r="P914" s="84" t="str">
        <f t="shared" si="216"/>
        <v/>
      </c>
      <c r="Q914" s="205"/>
      <c r="R914" s="70" t="str">
        <f>IF(S914="IN",'BOM_Phan II'!$Y$3,"")</f>
        <v/>
      </c>
      <c r="S914" s="69" t="str">
        <f t="shared" si="208"/>
        <v/>
      </c>
      <c r="T914">
        <f t="shared" si="217"/>
        <v>3</v>
      </c>
      <c r="U914" t="str">
        <f t="shared" si="205"/>
        <v>KIỆN 14</v>
      </c>
      <c r="V914" t="str">
        <f t="shared" si="218"/>
        <v/>
      </c>
      <c r="W914" s="266"/>
      <c r="X914" s="266"/>
      <c r="Y914" s="266" t="str">
        <f t="shared" si="210"/>
        <v/>
      </c>
      <c r="Z914" s="266"/>
    </row>
    <row r="915" spans="1:26" ht="27" hidden="1" customHeight="1">
      <c r="A915" s="70" t="str">
        <f t="shared" si="206"/>
        <v/>
      </c>
      <c r="B915" s="70" t="str">
        <f t="shared" si="207"/>
        <v/>
      </c>
      <c r="C915" s="204" t="str" cm="1">
        <f t="array" ref="C915">IF(D915="","",
    IF(AND(ISNUMBER(D915), D915=INT(D915)),
        $V$6 &amp; " " &amp; (IFERROR(MAX($Y$12:$Y914), 0) + 1),
        IF(ISNUMBER(SEARCH(".", D915)), "", INDEX($C$12:$C915, MATCH(2, 1/($C$12:$C915 &lt;&gt; ""))))
    )
)</f>
        <v/>
      </c>
      <c r="D915" s="206"/>
      <c r="E915" s="206" t="str">
        <f>IF(AA915 = "", "",
    IF(ISNUMBER(SEARCH("Kiện", C915)),
       " GÓI " &amp; COUNTIF($C$13:C915, "*Kiện*") &amp; "/" &amp; COUNTIF($C$13:$C$1000, "*Kiện*") &amp; " " &amp; AA915,
       AA915)
)</f>
        <v/>
      </c>
      <c r="F915" s="206"/>
      <c r="G915" s="206"/>
      <c r="H915" s="206"/>
      <c r="I915" s="206"/>
      <c r="J915" s="206" t="str">
        <f t="shared" si="209"/>
        <v/>
      </c>
      <c r="K915" s="206" t="str">
        <f t="shared" si="211"/>
        <v/>
      </c>
      <c r="L915" s="206" t="str">
        <f t="shared" si="212"/>
        <v/>
      </c>
      <c r="M915" s="206" t="str">
        <f t="shared" si="213"/>
        <v/>
      </c>
      <c r="N915" s="206" t="str">
        <f t="shared" si="214"/>
        <v/>
      </c>
      <c r="O915" s="206" t="str">
        <f t="shared" si="215"/>
        <v/>
      </c>
      <c r="P915" s="84" t="str">
        <f t="shared" si="216"/>
        <v/>
      </c>
      <c r="Q915" s="205"/>
      <c r="R915" s="70" t="str">
        <f>IF(S915="IN",'BOM_Phan II'!$Y$3,"")</f>
        <v/>
      </c>
      <c r="S915" s="69" t="str">
        <f t="shared" si="208"/>
        <v/>
      </c>
      <c r="T915">
        <f t="shared" si="217"/>
        <v>3</v>
      </c>
      <c r="U915" t="str">
        <f t="shared" si="205"/>
        <v>KIỆN 14</v>
      </c>
      <c r="V915" t="str">
        <f t="shared" si="218"/>
        <v/>
      </c>
      <c r="W915" s="266"/>
      <c r="X915" s="266"/>
      <c r="Y915" s="266" t="str">
        <f t="shared" si="210"/>
        <v/>
      </c>
      <c r="Z915" s="266"/>
    </row>
    <row r="916" spans="1:26" ht="27" hidden="1" customHeight="1">
      <c r="A916" s="70" t="str">
        <f t="shared" si="206"/>
        <v/>
      </c>
      <c r="B916" s="70" t="str">
        <f t="shared" si="207"/>
        <v/>
      </c>
      <c r="C916" s="204" t="str" cm="1">
        <f t="array" ref="C916">IF(D916="","",
    IF(AND(ISNUMBER(D916), D916=INT(D916)),
        $V$6 &amp; " " &amp; (IFERROR(MAX($Y$12:$Y915), 0) + 1),
        IF(ISNUMBER(SEARCH(".", D916)), "", INDEX($C$12:$C916, MATCH(2, 1/($C$12:$C916 &lt;&gt; ""))))
    )
)</f>
        <v/>
      </c>
      <c r="D916" s="206"/>
      <c r="E916" s="206" t="str">
        <f>IF(AA916 = "", "",
    IF(ISNUMBER(SEARCH("Kiện", C916)),
       " GÓI " &amp; COUNTIF($C$13:C916, "*Kiện*") &amp; "/" &amp; COUNTIF($C$13:$C$1000, "*Kiện*") &amp; " " &amp; AA916,
       AA916)
)</f>
        <v/>
      </c>
      <c r="F916" s="206"/>
      <c r="G916" s="206"/>
      <c r="H916" s="206"/>
      <c r="I916" s="206"/>
      <c r="J916" s="206" t="str">
        <f t="shared" si="209"/>
        <v/>
      </c>
      <c r="K916" s="206" t="str">
        <f t="shared" si="211"/>
        <v/>
      </c>
      <c r="L916" s="206" t="str">
        <f t="shared" si="212"/>
        <v/>
      </c>
      <c r="M916" s="206" t="str">
        <f t="shared" si="213"/>
        <v/>
      </c>
      <c r="N916" s="206" t="str">
        <f t="shared" si="214"/>
        <v/>
      </c>
      <c r="O916" s="206" t="str">
        <f t="shared" si="215"/>
        <v/>
      </c>
      <c r="P916" s="84" t="str">
        <f t="shared" si="216"/>
        <v/>
      </c>
      <c r="Q916" s="205"/>
      <c r="R916" s="70" t="str">
        <f>IF(S916="IN",'BOM_Phan II'!$Y$3,"")</f>
        <v/>
      </c>
      <c r="S916" s="69" t="str">
        <f t="shared" si="208"/>
        <v/>
      </c>
      <c r="T916">
        <f t="shared" si="217"/>
        <v>3</v>
      </c>
      <c r="U916" t="str">
        <f t="shared" si="205"/>
        <v>KIỆN 14</v>
      </c>
      <c r="V916" t="str">
        <f t="shared" si="218"/>
        <v/>
      </c>
      <c r="W916" s="266"/>
      <c r="X916" s="266"/>
      <c r="Y916" s="266" t="str">
        <f t="shared" si="210"/>
        <v/>
      </c>
      <c r="Z916" s="266"/>
    </row>
    <row r="917" spans="1:26" ht="27" hidden="1" customHeight="1">
      <c r="A917" s="70" t="str">
        <f t="shared" si="206"/>
        <v/>
      </c>
      <c r="B917" s="70" t="str">
        <f t="shared" si="207"/>
        <v/>
      </c>
      <c r="C917" s="204" t="str" cm="1">
        <f t="array" ref="C917">IF(D917="","",
    IF(AND(ISNUMBER(D917), D917=INT(D917)),
        $V$6 &amp; " " &amp; (IFERROR(MAX($Y$12:$Y916), 0) + 1),
        IF(ISNUMBER(SEARCH(".", D917)), "", INDEX($C$12:$C917, MATCH(2, 1/($C$12:$C917 &lt;&gt; ""))))
    )
)</f>
        <v/>
      </c>
      <c r="D917" s="206"/>
      <c r="E917" s="206" t="str">
        <f>IF(AA917 = "", "",
    IF(ISNUMBER(SEARCH("Kiện", C917)),
       " GÓI " &amp; COUNTIF($C$13:C917, "*Kiện*") &amp; "/" &amp; COUNTIF($C$13:$C$1000, "*Kiện*") &amp; " " &amp; AA917,
       AA917)
)</f>
        <v/>
      </c>
      <c r="F917" s="206"/>
      <c r="G917" s="206"/>
      <c r="H917" s="206"/>
      <c r="I917" s="206"/>
      <c r="J917" s="206" t="str">
        <f t="shared" si="209"/>
        <v/>
      </c>
      <c r="K917" s="206" t="str">
        <f t="shared" si="211"/>
        <v/>
      </c>
      <c r="L917" s="206" t="str">
        <f t="shared" si="212"/>
        <v/>
      </c>
      <c r="M917" s="206" t="str">
        <f t="shared" si="213"/>
        <v/>
      </c>
      <c r="N917" s="206" t="str">
        <f t="shared" si="214"/>
        <v/>
      </c>
      <c r="O917" s="206" t="str">
        <f t="shared" si="215"/>
        <v/>
      </c>
      <c r="P917" s="84" t="str">
        <f t="shared" si="216"/>
        <v/>
      </c>
      <c r="Q917" s="205"/>
      <c r="R917" s="70" t="str">
        <f>IF(S917="IN",'BOM_Phan II'!$Y$3,"")</f>
        <v/>
      </c>
      <c r="S917" s="69" t="str">
        <f t="shared" si="208"/>
        <v/>
      </c>
      <c r="T917">
        <f t="shared" si="217"/>
        <v>3</v>
      </c>
      <c r="U917" t="str">
        <f t="shared" si="205"/>
        <v>KIỆN 14</v>
      </c>
      <c r="V917" t="str">
        <f t="shared" si="218"/>
        <v/>
      </c>
      <c r="W917" s="266"/>
      <c r="X917" s="266"/>
      <c r="Y917" s="266" t="str">
        <f t="shared" si="210"/>
        <v/>
      </c>
      <c r="Z917" s="266"/>
    </row>
    <row r="918" spans="1:26" ht="27" hidden="1" customHeight="1">
      <c r="A918" s="70" t="str">
        <f t="shared" si="206"/>
        <v/>
      </c>
      <c r="B918" s="70" t="str">
        <f t="shared" si="207"/>
        <v/>
      </c>
      <c r="C918" s="204" t="str" cm="1">
        <f t="array" ref="C918">IF(D918="","",
    IF(AND(ISNUMBER(D918), D918=INT(D918)),
        $V$6 &amp; " " &amp; (IFERROR(MAX($Y$12:$Y917), 0) + 1),
        IF(ISNUMBER(SEARCH(".", D918)), "", INDEX($C$12:$C918, MATCH(2, 1/($C$12:$C918 &lt;&gt; ""))))
    )
)</f>
        <v/>
      </c>
      <c r="D918" s="206"/>
      <c r="E918" s="206" t="str">
        <f>IF(AA918 = "", "",
    IF(ISNUMBER(SEARCH("Kiện", C918)),
       " GÓI " &amp; COUNTIF($C$13:C918, "*Kiện*") &amp; "/" &amp; COUNTIF($C$13:$C$1000, "*Kiện*") &amp; " " &amp; AA918,
       AA918)
)</f>
        <v/>
      </c>
      <c r="F918" s="206"/>
      <c r="G918" s="206"/>
      <c r="H918" s="206"/>
      <c r="I918" s="206"/>
      <c r="J918" s="206" t="str">
        <f t="shared" si="209"/>
        <v/>
      </c>
      <c r="K918" s="206" t="str">
        <f t="shared" si="211"/>
        <v/>
      </c>
      <c r="L918" s="206" t="str">
        <f t="shared" si="212"/>
        <v/>
      </c>
      <c r="M918" s="206" t="str">
        <f t="shared" si="213"/>
        <v/>
      </c>
      <c r="N918" s="206" t="str">
        <f t="shared" si="214"/>
        <v/>
      </c>
      <c r="O918" s="206" t="str">
        <f t="shared" si="215"/>
        <v/>
      </c>
      <c r="P918" s="84" t="str">
        <f t="shared" si="216"/>
        <v/>
      </c>
      <c r="Q918" s="205"/>
      <c r="R918" s="70" t="str">
        <f>IF(S918="IN",'BOM_Phan II'!$Y$3,"")</f>
        <v/>
      </c>
      <c r="S918" s="69" t="str">
        <f t="shared" si="208"/>
        <v/>
      </c>
      <c r="T918">
        <f t="shared" si="217"/>
        <v>3</v>
      </c>
      <c r="U918" t="str">
        <f t="shared" si="205"/>
        <v>KIỆN 14</v>
      </c>
      <c r="V918" t="str">
        <f t="shared" si="218"/>
        <v/>
      </c>
      <c r="W918" s="266"/>
      <c r="X918" s="266"/>
      <c r="Y918" s="266" t="str">
        <f t="shared" si="210"/>
        <v/>
      </c>
      <c r="Z918" s="266"/>
    </row>
    <row r="919" spans="1:26" ht="27" hidden="1" customHeight="1">
      <c r="A919" s="70" t="str">
        <f t="shared" si="206"/>
        <v/>
      </c>
      <c r="B919" s="70" t="str">
        <f t="shared" si="207"/>
        <v/>
      </c>
      <c r="C919" s="204" t="str" cm="1">
        <f t="array" ref="C919">IF(D919="","",
    IF(AND(ISNUMBER(D919), D919=INT(D919)),
        $V$6 &amp; " " &amp; (IFERROR(MAX($Y$12:$Y918), 0) + 1),
        IF(ISNUMBER(SEARCH(".", D919)), "", INDEX($C$12:$C919, MATCH(2, 1/($C$12:$C919 &lt;&gt; ""))))
    )
)</f>
        <v/>
      </c>
      <c r="D919" s="206"/>
      <c r="E919" s="206" t="str">
        <f>IF(AA919 = "", "",
    IF(ISNUMBER(SEARCH("Kiện", C919)),
       " GÓI " &amp; COUNTIF($C$13:C919, "*Kiện*") &amp; "/" &amp; COUNTIF($C$13:$C$1000, "*Kiện*") &amp; " " &amp; AA919,
       AA919)
)</f>
        <v/>
      </c>
      <c r="F919" s="206"/>
      <c r="G919" s="206"/>
      <c r="H919" s="206"/>
      <c r="I919" s="206"/>
      <c r="J919" s="206" t="str">
        <f t="shared" si="209"/>
        <v/>
      </c>
      <c r="K919" s="206" t="str">
        <f t="shared" si="211"/>
        <v/>
      </c>
      <c r="L919" s="206" t="str">
        <f t="shared" si="212"/>
        <v/>
      </c>
      <c r="M919" s="206" t="str">
        <f t="shared" si="213"/>
        <v/>
      </c>
      <c r="N919" s="206" t="str">
        <f t="shared" si="214"/>
        <v/>
      </c>
      <c r="O919" s="206" t="str">
        <f t="shared" si="215"/>
        <v/>
      </c>
      <c r="P919" s="84" t="str">
        <f t="shared" si="216"/>
        <v/>
      </c>
      <c r="Q919" s="205"/>
      <c r="R919" s="70" t="str">
        <f>IF(S919="IN",'BOM_Phan II'!$Y$3,"")</f>
        <v/>
      </c>
      <c r="S919" s="69" t="str">
        <f t="shared" si="208"/>
        <v/>
      </c>
      <c r="T919">
        <f t="shared" si="217"/>
        <v>3</v>
      </c>
      <c r="U919" t="str">
        <f t="shared" si="205"/>
        <v>KIỆN 14</v>
      </c>
      <c r="V919" t="str">
        <f t="shared" si="218"/>
        <v/>
      </c>
      <c r="W919" s="266"/>
      <c r="X919" s="266"/>
      <c r="Y919" s="266" t="str">
        <f t="shared" si="210"/>
        <v/>
      </c>
      <c r="Z919" s="266"/>
    </row>
    <row r="920" spans="1:26" ht="27" hidden="1" customHeight="1">
      <c r="A920" s="70" t="str">
        <f t="shared" si="206"/>
        <v/>
      </c>
      <c r="B920" s="70" t="str">
        <f t="shared" si="207"/>
        <v/>
      </c>
      <c r="C920" s="204" t="str" cm="1">
        <f t="array" ref="C920">IF(D920="","",
    IF(AND(ISNUMBER(D920), D920=INT(D920)),
        $V$6 &amp; " " &amp; (IFERROR(MAX($Y$12:$Y919), 0) + 1),
        IF(ISNUMBER(SEARCH(".", D920)), "", INDEX($C$12:$C920, MATCH(2, 1/($C$12:$C920 &lt;&gt; ""))))
    )
)</f>
        <v/>
      </c>
      <c r="D920" s="206"/>
      <c r="E920" s="206" t="str">
        <f>IF(AA920 = "", "",
    IF(ISNUMBER(SEARCH("Kiện", C920)),
       " GÓI " &amp; COUNTIF($C$13:C920, "*Kiện*") &amp; "/" &amp; COUNTIF($C$13:$C$1000, "*Kiện*") &amp; " " &amp; AA920,
       AA920)
)</f>
        <v/>
      </c>
      <c r="F920" s="206"/>
      <c r="G920" s="206"/>
      <c r="H920" s="206"/>
      <c r="I920" s="206"/>
      <c r="J920" s="206" t="str">
        <f t="shared" si="209"/>
        <v/>
      </c>
      <c r="K920" s="206" t="str">
        <f t="shared" si="211"/>
        <v/>
      </c>
      <c r="L920" s="206" t="str">
        <f t="shared" si="212"/>
        <v/>
      </c>
      <c r="M920" s="206" t="str">
        <f t="shared" si="213"/>
        <v/>
      </c>
      <c r="N920" s="206" t="str">
        <f t="shared" si="214"/>
        <v/>
      </c>
      <c r="O920" s="206" t="str">
        <f t="shared" si="215"/>
        <v/>
      </c>
      <c r="P920" s="84" t="str">
        <f t="shared" si="216"/>
        <v/>
      </c>
      <c r="Q920" s="205"/>
      <c r="R920" s="70" t="str">
        <f>IF(S920="IN",'BOM_Phan II'!$Y$3,"")</f>
        <v/>
      </c>
      <c r="S920" s="69" t="str">
        <f t="shared" si="208"/>
        <v/>
      </c>
      <c r="T920">
        <f t="shared" si="217"/>
        <v>3</v>
      </c>
      <c r="U920" t="str">
        <f t="shared" si="205"/>
        <v>KIỆN 14</v>
      </c>
      <c r="V920" t="str">
        <f t="shared" si="218"/>
        <v/>
      </c>
      <c r="W920" s="266"/>
      <c r="X920" s="266"/>
      <c r="Y920" s="266" t="str">
        <f t="shared" si="210"/>
        <v/>
      </c>
      <c r="Z920" s="266"/>
    </row>
    <row r="921" spans="1:26" ht="27" hidden="1" customHeight="1">
      <c r="A921" s="70" t="str">
        <f t="shared" si="206"/>
        <v/>
      </c>
      <c r="B921" s="70" t="str">
        <f t="shared" si="207"/>
        <v/>
      </c>
      <c r="C921" s="204" t="str" cm="1">
        <f t="array" ref="C921">IF(D921="","",
    IF(AND(ISNUMBER(D921), D921=INT(D921)),
        $V$6 &amp; " " &amp; (IFERROR(MAX($Y$12:$Y920), 0) + 1),
        IF(ISNUMBER(SEARCH(".", D921)), "", INDEX($C$12:$C921, MATCH(2, 1/($C$12:$C921 &lt;&gt; ""))))
    )
)</f>
        <v/>
      </c>
      <c r="D921" s="206"/>
      <c r="E921" s="206" t="str">
        <f>IF(AA921 = "", "",
    IF(ISNUMBER(SEARCH("Kiện", C921)),
       " GÓI " &amp; COUNTIF($C$13:C921, "*Kiện*") &amp; "/" &amp; COUNTIF($C$13:$C$1000, "*Kiện*") &amp; " " &amp; AA921,
       AA921)
)</f>
        <v/>
      </c>
      <c r="F921" s="206"/>
      <c r="G921" s="206"/>
      <c r="H921" s="206"/>
      <c r="I921" s="206"/>
      <c r="J921" s="206" t="str">
        <f t="shared" si="209"/>
        <v/>
      </c>
      <c r="K921" s="206" t="str">
        <f t="shared" si="211"/>
        <v/>
      </c>
      <c r="L921" s="206" t="str">
        <f t="shared" si="212"/>
        <v/>
      </c>
      <c r="M921" s="206" t="str">
        <f t="shared" si="213"/>
        <v/>
      </c>
      <c r="N921" s="206" t="str">
        <f t="shared" si="214"/>
        <v/>
      </c>
      <c r="O921" s="206" t="str">
        <f t="shared" si="215"/>
        <v/>
      </c>
      <c r="P921" s="84" t="str">
        <f t="shared" si="216"/>
        <v/>
      </c>
      <c r="Q921" s="205"/>
      <c r="R921" s="70" t="str">
        <f>IF(S921="IN",'BOM_Phan II'!$Y$3,"")</f>
        <v/>
      </c>
      <c r="S921" s="69" t="str">
        <f t="shared" si="208"/>
        <v/>
      </c>
      <c r="T921">
        <f t="shared" si="217"/>
        <v>3</v>
      </c>
      <c r="U921" t="str">
        <f t="shared" si="205"/>
        <v>KIỆN 14</v>
      </c>
      <c r="V921" t="str">
        <f t="shared" si="218"/>
        <v/>
      </c>
      <c r="W921" s="266"/>
      <c r="X921" s="266"/>
      <c r="Y921" s="266" t="str">
        <f t="shared" si="210"/>
        <v/>
      </c>
      <c r="Z921" s="266"/>
    </row>
    <row r="922" spans="1:26" ht="27" hidden="1" customHeight="1">
      <c r="A922" s="70" t="str">
        <f t="shared" si="206"/>
        <v/>
      </c>
      <c r="B922" s="70" t="str">
        <f t="shared" si="207"/>
        <v/>
      </c>
      <c r="C922" s="204" t="str" cm="1">
        <f t="array" ref="C922">IF(D922="","",
    IF(AND(ISNUMBER(D922), D922=INT(D922)),
        $V$6 &amp; " " &amp; (IFERROR(MAX($Y$12:$Y921), 0) + 1),
        IF(ISNUMBER(SEARCH(".", D922)), "", INDEX($C$12:$C922, MATCH(2, 1/($C$12:$C922 &lt;&gt; ""))))
    )
)</f>
        <v/>
      </c>
      <c r="D922" s="206"/>
      <c r="E922" s="206" t="str">
        <f>IF(AA922 = "", "",
    IF(ISNUMBER(SEARCH("Kiện", C922)),
       " GÓI " &amp; COUNTIF($C$13:C922, "*Kiện*") &amp; "/" &amp; COUNTIF($C$13:$C$1000, "*Kiện*") &amp; " " &amp; AA922,
       AA922)
)</f>
        <v/>
      </c>
      <c r="F922" s="206"/>
      <c r="G922" s="206"/>
      <c r="H922" s="206"/>
      <c r="I922" s="206"/>
      <c r="J922" s="206" t="str">
        <f t="shared" si="209"/>
        <v/>
      </c>
      <c r="K922" s="206" t="str">
        <f t="shared" si="211"/>
        <v/>
      </c>
      <c r="L922" s="206" t="str">
        <f t="shared" si="212"/>
        <v/>
      </c>
      <c r="M922" s="206" t="str">
        <f t="shared" si="213"/>
        <v/>
      </c>
      <c r="N922" s="206" t="str">
        <f t="shared" si="214"/>
        <v/>
      </c>
      <c r="O922" s="206" t="str">
        <f t="shared" si="215"/>
        <v/>
      </c>
      <c r="P922" s="84" t="str">
        <f t="shared" si="216"/>
        <v/>
      </c>
      <c r="Q922" s="205"/>
      <c r="R922" s="70" t="str">
        <f>IF(S922="IN",'BOM_Phan II'!$Y$3,"")</f>
        <v/>
      </c>
      <c r="S922" s="69" t="str">
        <f t="shared" si="208"/>
        <v/>
      </c>
      <c r="T922">
        <f t="shared" si="217"/>
        <v>3</v>
      </c>
      <c r="U922" t="str">
        <f t="shared" si="205"/>
        <v>KIỆN 14</v>
      </c>
      <c r="V922" t="str">
        <f t="shared" si="218"/>
        <v/>
      </c>
      <c r="W922" s="266"/>
      <c r="X922" s="266"/>
      <c r="Y922" s="266" t="str">
        <f t="shared" si="210"/>
        <v/>
      </c>
      <c r="Z922" s="266"/>
    </row>
    <row r="923" spans="1:26" ht="27" hidden="1" customHeight="1">
      <c r="A923" s="70" t="str">
        <f t="shared" si="206"/>
        <v/>
      </c>
      <c r="B923" s="70" t="str">
        <f t="shared" si="207"/>
        <v/>
      </c>
      <c r="C923" s="204" t="str" cm="1">
        <f t="array" ref="C923">IF(D923="","",
    IF(AND(ISNUMBER(D923), D923=INT(D923)),
        $V$6 &amp; " " &amp; (IFERROR(MAX($Y$12:$Y922), 0) + 1),
        IF(ISNUMBER(SEARCH(".", D923)), "", INDEX($C$12:$C923, MATCH(2, 1/($C$12:$C923 &lt;&gt; ""))))
    )
)</f>
        <v/>
      </c>
      <c r="D923" s="206"/>
      <c r="E923" s="206" t="str">
        <f>IF(AA923 = "", "",
    IF(ISNUMBER(SEARCH("Kiện", C923)),
       " GÓI " &amp; COUNTIF($C$13:C923, "*Kiện*") &amp; "/" &amp; COUNTIF($C$13:$C$1000, "*Kiện*") &amp; " " &amp; AA923,
       AA923)
)</f>
        <v/>
      </c>
      <c r="F923" s="206"/>
      <c r="G923" s="206"/>
      <c r="H923" s="206"/>
      <c r="I923" s="206"/>
      <c r="J923" s="206" t="str">
        <f t="shared" si="209"/>
        <v/>
      </c>
      <c r="K923" s="206" t="str">
        <f t="shared" si="211"/>
        <v/>
      </c>
      <c r="L923" s="206" t="str">
        <f t="shared" si="212"/>
        <v/>
      </c>
      <c r="M923" s="206" t="str">
        <f t="shared" si="213"/>
        <v/>
      </c>
      <c r="N923" s="206" t="str">
        <f t="shared" si="214"/>
        <v/>
      </c>
      <c r="O923" s="206" t="str">
        <f t="shared" si="215"/>
        <v/>
      </c>
      <c r="P923" s="84" t="str">
        <f t="shared" si="216"/>
        <v/>
      </c>
      <c r="Q923" s="205"/>
      <c r="R923" s="70" t="str">
        <f>IF(S923="IN",'BOM_Phan II'!$Y$3,"")</f>
        <v/>
      </c>
      <c r="S923" s="69" t="str">
        <f t="shared" si="208"/>
        <v/>
      </c>
      <c r="T923">
        <f t="shared" si="217"/>
        <v>3</v>
      </c>
      <c r="U923" t="str">
        <f t="shared" si="205"/>
        <v>KIỆN 14</v>
      </c>
      <c r="V923" t="str">
        <f t="shared" si="218"/>
        <v/>
      </c>
      <c r="W923" s="266"/>
      <c r="X923" s="266"/>
      <c r="Y923" s="266" t="str">
        <f t="shared" si="210"/>
        <v/>
      </c>
      <c r="Z923" s="266"/>
    </row>
    <row r="924" spans="1:26" ht="27" hidden="1" customHeight="1">
      <c r="A924" s="70" t="str">
        <f t="shared" si="206"/>
        <v/>
      </c>
      <c r="B924" s="70" t="str">
        <f t="shared" si="207"/>
        <v/>
      </c>
      <c r="C924" s="204" t="str" cm="1">
        <f t="array" ref="C924">IF(D924="","",
    IF(AND(ISNUMBER(D924), D924=INT(D924)),
        $V$6 &amp; " " &amp; (IFERROR(MAX($Y$12:$Y923), 0) + 1),
        IF(ISNUMBER(SEARCH(".", D924)), "", INDEX($C$12:$C924, MATCH(2, 1/($C$12:$C924 &lt;&gt; ""))))
    )
)</f>
        <v/>
      </c>
      <c r="D924" s="206"/>
      <c r="E924" s="206" t="str">
        <f>IF(AA924 = "", "",
    IF(ISNUMBER(SEARCH("Kiện", C924)),
       " GÓI " &amp; COUNTIF($C$13:C924, "*Kiện*") &amp; "/" &amp; COUNTIF($C$13:$C$1000, "*Kiện*") &amp; " " &amp; AA924,
       AA924)
)</f>
        <v/>
      </c>
      <c r="F924" s="206"/>
      <c r="G924" s="206"/>
      <c r="H924" s="206"/>
      <c r="I924" s="206"/>
      <c r="J924" s="206" t="str">
        <f t="shared" si="209"/>
        <v/>
      </c>
      <c r="K924" s="206" t="str">
        <f t="shared" si="211"/>
        <v/>
      </c>
      <c r="L924" s="206" t="str">
        <f t="shared" si="212"/>
        <v/>
      </c>
      <c r="M924" s="206" t="str">
        <f t="shared" si="213"/>
        <v/>
      </c>
      <c r="N924" s="206" t="str">
        <f t="shared" si="214"/>
        <v/>
      </c>
      <c r="O924" s="206" t="str">
        <f t="shared" si="215"/>
        <v/>
      </c>
      <c r="P924" s="84" t="str">
        <f t="shared" si="216"/>
        <v/>
      </c>
      <c r="Q924" s="205"/>
      <c r="R924" s="70" t="str">
        <f>IF(S924="IN",'BOM_Phan II'!$Y$3,"")</f>
        <v/>
      </c>
      <c r="S924" s="69" t="str">
        <f t="shared" si="208"/>
        <v/>
      </c>
      <c r="T924">
        <f t="shared" si="217"/>
        <v>3</v>
      </c>
      <c r="U924" t="str">
        <f t="shared" si="205"/>
        <v>KIỆN 14</v>
      </c>
      <c r="V924" t="str">
        <f t="shared" si="218"/>
        <v/>
      </c>
      <c r="W924" s="266"/>
      <c r="X924" s="266"/>
      <c r="Y924" s="266" t="str">
        <f t="shared" si="210"/>
        <v/>
      </c>
      <c r="Z924" s="266"/>
    </row>
    <row r="925" spans="1:26" ht="27" hidden="1" customHeight="1">
      <c r="A925" s="70" t="str">
        <f t="shared" si="206"/>
        <v/>
      </c>
      <c r="B925" s="70" t="str">
        <f t="shared" si="207"/>
        <v/>
      </c>
      <c r="C925" s="204" t="str" cm="1">
        <f t="array" ref="C925">IF(D925="","",
    IF(AND(ISNUMBER(D925), D925=INT(D925)),
        $V$6 &amp; " " &amp; (IFERROR(MAX($Y$12:$Y924), 0) + 1),
        IF(ISNUMBER(SEARCH(".", D925)), "", INDEX($C$12:$C925, MATCH(2, 1/($C$12:$C925 &lt;&gt; ""))))
    )
)</f>
        <v/>
      </c>
      <c r="D925" s="206"/>
      <c r="E925" s="206" t="str">
        <f>IF(AA925 = "", "",
    IF(ISNUMBER(SEARCH("Kiện", C925)),
       " GÓI " &amp; COUNTIF($C$13:C925, "*Kiện*") &amp; "/" &amp; COUNTIF($C$13:$C$1000, "*Kiện*") &amp; " " &amp; AA925,
       AA925)
)</f>
        <v/>
      </c>
      <c r="F925" s="206"/>
      <c r="G925" s="206"/>
      <c r="H925" s="206"/>
      <c r="I925" s="206"/>
      <c r="J925" s="206" t="str">
        <f t="shared" si="209"/>
        <v/>
      </c>
      <c r="K925" s="206" t="str">
        <f t="shared" si="211"/>
        <v/>
      </c>
      <c r="L925" s="206" t="str">
        <f t="shared" si="212"/>
        <v/>
      </c>
      <c r="M925" s="206" t="str">
        <f t="shared" si="213"/>
        <v/>
      </c>
      <c r="N925" s="206" t="str">
        <f t="shared" si="214"/>
        <v/>
      </c>
      <c r="O925" s="206" t="str">
        <f t="shared" si="215"/>
        <v/>
      </c>
      <c r="P925" s="84" t="str">
        <f t="shared" si="216"/>
        <v/>
      </c>
      <c r="Q925" s="205"/>
      <c r="R925" s="70" t="str">
        <f>IF(S925="IN",'BOM_Phan II'!$Y$3,"")</f>
        <v/>
      </c>
      <c r="S925" s="69" t="str">
        <f t="shared" si="208"/>
        <v/>
      </c>
      <c r="T925">
        <f t="shared" si="217"/>
        <v>3</v>
      </c>
      <c r="U925" t="str">
        <f t="shared" si="205"/>
        <v>KIỆN 14</v>
      </c>
      <c r="V925" t="str">
        <f t="shared" si="218"/>
        <v/>
      </c>
      <c r="W925" s="266"/>
      <c r="X925" s="266"/>
      <c r="Y925" s="266" t="str">
        <f t="shared" si="210"/>
        <v/>
      </c>
      <c r="Z925" s="266"/>
    </row>
    <row r="926" spans="1:26" ht="27" hidden="1" customHeight="1">
      <c r="A926" s="70" t="str">
        <f t="shared" si="206"/>
        <v/>
      </c>
      <c r="B926" s="70" t="str">
        <f t="shared" si="207"/>
        <v/>
      </c>
      <c r="C926" s="204" t="str" cm="1">
        <f t="array" ref="C926">IF(D926="","",
    IF(AND(ISNUMBER(D926), D926=INT(D926)),
        $V$6 &amp; " " &amp; (IFERROR(MAX($Y$12:$Y925), 0) + 1),
        IF(ISNUMBER(SEARCH(".", D926)), "", INDEX($C$12:$C926, MATCH(2, 1/($C$12:$C926 &lt;&gt; ""))))
    )
)</f>
        <v/>
      </c>
      <c r="D926" s="206"/>
      <c r="E926" s="206" t="str">
        <f>IF(AA926 = "", "",
    IF(ISNUMBER(SEARCH("Kiện", C926)),
       " GÓI " &amp; COUNTIF($C$13:C926, "*Kiện*") &amp; "/" &amp; COUNTIF($C$13:$C$1000, "*Kiện*") &amp; " " &amp; AA926,
       AA926)
)</f>
        <v/>
      </c>
      <c r="F926" s="206"/>
      <c r="G926" s="206"/>
      <c r="H926" s="206"/>
      <c r="I926" s="206"/>
      <c r="J926" s="206" t="str">
        <f t="shared" si="209"/>
        <v/>
      </c>
      <c r="K926" s="206" t="str">
        <f t="shared" si="211"/>
        <v/>
      </c>
      <c r="L926" s="206" t="str">
        <f t="shared" si="212"/>
        <v/>
      </c>
      <c r="M926" s="206" t="str">
        <f t="shared" si="213"/>
        <v/>
      </c>
      <c r="N926" s="206" t="str">
        <f t="shared" si="214"/>
        <v/>
      </c>
      <c r="O926" s="206" t="str">
        <f t="shared" si="215"/>
        <v/>
      </c>
      <c r="P926" s="84" t="str">
        <f t="shared" si="216"/>
        <v/>
      </c>
      <c r="Q926" s="205"/>
      <c r="R926" s="70" t="str">
        <f>IF(S926="IN",'BOM_Phan II'!$Y$3,"")</f>
        <v/>
      </c>
      <c r="S926" s="69" t="str">
        <f t="shared" si="208"/>
        <v/>
      </c>
      <c r="T926">
        <f t="shared" si="217"/>
        <v>3</v>
      </c>
      <c r="U926" t="str">
        <f t="shared" si="205"/>
        <v>KIỆN 14</v>
      </c>
      <c r="V926" t="str">
        <f t="shared" si="218"/>
        <v/>
      </c>
      <c r="W926" s="266"/>
      <c r="X926" s="266"/>
      <c r="Y926" s="266" t="str">
        <f t="shared" si="210"/>
        <v/>
      </c>
      <c r="Z926" s="266"/>
    </row>
    <row r="927" spans="1:26" ht="27" hidden="1" customHeight="1">
      <c r="A927" s="70" t="str">
        <f t="shared" si="206"/>
        <v/>
      </c>
      <c r="B927" s="70" t="str">
        <f t="shared" si="207"/>
        <v/>
      </c>
      <c r="C927" s="204" t="str" cm="1">
        <f t="array" ref="C927">IF(D927="","",
    IF(AND(ISNUMBER(D927), D927=INT(D927)),
        $V$6 &amp; " " &amp; (IFERROR(MAX($Y$12:$Y926), 0) + 1),
        IF(ISNUMBER(SEARCH(".", D927)), "", INDEX($C$12:$C927, MATCH(2, 1/($C$12:$C927 &lt;&gt; ""))))
    )
)</f>
        <v/>
      </c>
      <c r="D927" s="206"/>
      <c r="E927" s="206" t="str">
        <f>IF(AA927 = "", "",
    IF(ISNUMBER(SEARCH("Kiện", C927)),
       " GÓI " &amp; COUNTIF($C$13:C927, "*Kiện*") &amp; "/" &amp; COUNTIF($C$13:$C$1000, "*Kiện*") &amp; " " &amp; AA927,
       AA927)
)</f>
        <v/>
      </c>
      <c r="F927" s="206"/>
      <c r="G927" s="206"/>
      <c r="H927" s="206"/>
      <c r="I927" s="206"/>
      <c r="J927" s="206" t="str">
        <f t="shared" si="209"/>
        <v/>
      </c>
      <c r="K927" s="206" t="str">
        <f t="shared" si="211"/>
        <v/>
      </c>
      <c r="L927" s="206" t="str">
        <f t="shared" si="212"/>
        <v/>
      </c>
      <c r="M927" s="206" t="str">
        <f t="shared" si="213"/>
        <v/>
      </c>
      <c r="N927" s="206" t="str">
        <f t="shared" si="214"/>
        <v/>
      </c>
      <c r="O927" s="206" t="str">
        <f t="shared" si="215"/>
        <v/>
      </c>
      <c r="P927" s="84" t="str">
        <f t="shared" si="216"/>
        <v/>
      </c>
      <c r="Q927" s="205"/>
      <c r="R927" s="70" t="str">
        <f>IF(S927="IN",'BOM_Phan II'!$Y$3,"")</f>
        <v/>
      </c>
      <c r="S927" s="69" t="str">
        <f t="shared" si="208"/>
        <v/>
      </c>
      <c r="T927">
        <f t="shared" si="217"/>
        <v>3</v>
      </c>
      <c r="U927" t="str">
        <f t="shared" si="205"/>
        <v>KIỆN 14</v>
      </c>
      <c r="V927" t="str">
        <f t="shared" si="218"/>
        <v/>
      </c>
      <c r="W927" s="266"/>
      <c r="X927" s="266"/>
      <c r="Y927" s="266" t="str">
        <f t="shared" si="210"/>
        <v/>
      </c>
      <c r="Z927" s="266"/>
    </row>
    <row r="928" spans="1:26" ht="27" hidden="1" customHeight="1">
      <c r="A928" s="70" t="str">
        <f t="shared" si="206"/>
        <v/>
      </c>
      <c r="B928" s="70" t="str">
        <f t="shared" si="207"/>
        <v/>
      </c>
      <c r="C928" s="204" t="str" cm="1">
        <f t="array" ref="C928">IF(D928="","",
    IF(AND(ISNUMBER(D928), D928=INT(D928)),
        $V$6 &amp; " " &amp; (IFERROR(MAX($Y$12:$Y927), 0) + 1),
        IF(ISNUMBER(SEARCH(".", D928)), "", INDEX($C$12:$C928, MATCH(2, 1/($C$12:$C928 &lt;&gt; ""))))
    )
)</f>
        <v/>
      </c>
      <c r="D928" s="206"/>
      <c r="E928" s="206" t="str">
        <f>IF(AA928 = "", "",
    IF(ISNUMBER(SEARCH("Kiện", C928)),
       " GÓI " &amp; COUNTIF($C$13:C928, "*Kiện*") &amp; "/" &amp; COUNTIF($C$13:$C$1000, "*Kiện*") &amp; " " &amp; AA928,
       AA928)
)</f>
        <v/>
      </c>
      <c r="F928" s="206"/>
      <c r="G928" s="206"/>
      <c r="H928" s="206"/>
      <c r="I928" s="206"/>
      <c r="J928" s="206" t="str">
        <f t="shared" si="209"/>
        <v/>
      </c>
      <c r="K928" s="206" t="str">
        <f t="shared" si="211"/>
        <v/>
      </c>
      <c r="L928" s="206" t="str">
        <f t="shared" si="212"/>
        <v/>
      </c>
      <c r="M928" s="206" t="str">
        <f t="shared" si="213"/>
        <v/>
      </c>
      <c r="N928" s="206" t="str">
        <f t="shared" si="214"/>
        <v/>
      </c>
      <c r="O928" s="206" t="str">
        <f t="shared" si="215"/>
        <v/>
      </c>
      <c r="P928" s="84" t="str">
        <f t="shared" si="216"/>
        <v/>
      </c>
      <c r="Q928" s="205"/>
      <c r="R928" s="70" t="str">
        <f>IF(S928="IN",'BOM_Phan II'!$Y$3,"")</f>
        <v/>
      </c>
      <c r="S928" s="69" t="str">
        <f t="shared" si="208"/>
        <v/>
      </c>
      <c r="T928">
        <f t="shared" si="217"/>
        <v>3</v>
      </c>
      <c r="U928" t="str">
        <f t="shared" si="205"/>
        <v>KIỆN 14</v>
      </c>
      <c r="V928" t="str">
        <f t="shared" si="218"/>
        <v/>
      </c>
      <c r="W928" s="266"/>
      <c r="X928" s="266"/>
      <c r="Y928" s="266" t="str">
        <f t="shared" si="210"/>
        <v/>
      </c>
      <c r="Z928" s="266"/>
    </row>
    <row r="929" spans="1:26" ht="27" hidden="1" customHeight="1">
      <c r="A929" s="70" t="str">
        <f t="shared" si="206"/>
        <v/>
      </c>
      <c r="B929" s="70" t="str">
        <f t="shared" si="207"/>
        <v/>
      </c>
      <c r="C929" s="204" t="str" cm="1">
        <f t="array" ref="C929">IF(D929="","",
    IF(AND(ISNUMBER(D929), D929=INT(D929)),
        $V$6 &amp; " " &amp; (IFERROR(MAX($Y$12:$Y928), 0) + 1),
        IF(ISNUMBER(SEARCH(".", D929)), "", INDEX($C$12:$C929, MATCH(2, 1/($C$12:$C929 &lt;&gt; ""))))
    )
)</f>
        <v/>
      </c>
      <c r="D929" s="206"/>
      <c r="E929" s="206" t="str">
        <f>IF(AA929 = "", "",
    IF(ISNUMBER(SEARCH("Kiện", C929)),
       " GÓI " &amp; COUNTIF($C$13:C929, "*Kiện*") &amp; "/" &amp; COUNTIF($C$13:$C$1000, "*Kiện*") &amp; " " &amp; AA929,
       AA929)
)</f>
        <v/>
      </c>
      <c r="F929" s="206"/>
      <c r="G929" s="206"/>
      <c r="H929" s="206"/>
      <c r="I929" s="206"/>
      <c r="J929" s="206" t="str">
        <f t="shared" si="209"/>
        <v/>
      </c>
      <c r="K929" s="206" t="str">
        <f t="shared" si="211"/>
        <v/>
      </c>
      <c r="L929" s="206" t="str">
        <f t="shared" si="212"/>
        <v/>
      </c>
      <c r="M929" s="206" t="str">
        <f t="shared" si="213"/>
        <v/>
      </c>
      <c r="N929" s="206" t="str">
        <f t="shared" si="214"/>
        <v/>
      </c>
      <c r="O929" s="206" t="str">
        <f t="shared" si="215"/>
        <v/>
      </c>
      <c r="P929" s="84" t="str">
        <f t="shared" si="216"/>
        <v/>
      </c>
      <c r="Q929" s="205"/>
      <c r="R929" s="70" t="str">
        <f>IF(S929="IN",'BOM_Phan II'!$Y$3,"")</f>
        <v/>
      </c>
      <c r="S929" s="69" t="str">
        <f t="shared" si="208"/>
        <v/>
      </c>
      <c r="T929">
        <f t="shared" si="217"/>
        <v>3</v>
      </c>
      <c r="U929" t="str">
        <f t="shared" si="205"/>
        <v>KIỆN 14</v>
      </c>
      <c r="V929" t="str">
        <f t="shared" si="218"/>
        <v/>
      </c>
      <c r="W929" s="266"/>
      <c r="X929" s="266"/>
      <c r="Y929" s="266" t="str">
        <f t="shared" si="210"/>
        <v/>
      </c>
      <c r="Z929" s="266"/>
    </row>
    <row r="930" spans="1:26" ht="27" hidden="1" customHeight="1">
      <c r="A930" s="70" t="str">
        <f t="shared" si="206"/>
        <v/>
      </c>
      <c r="B930" s="70" t="str">
        <f t="shared" si="207"/>
        <v/>
      </c>
      <c r="C930" s="204" t="str" cm="1">
        <f t="array" ref="C930">IF(D930="","",
    IF(AND(ISNUMBER(D930), D930=INT(D930)),
        $V$6 &amp; " " &amp; (IFERROR(MAX($Y$12:$Y929), 0) + 1),
        IF(ISNUMBER(SEARCH(".", D930)), "", INDEX($C$12:$C930, MATCH(2, 1/($C$12:$C930 &lt;&gt; ""))))
    )
)</f>
        <v/>
      </c>
      <c r="D930" s="206"/>
      <c r="E930" s="206" t="str">
        <f>IF(AA930 = "", "",
    IF(ISNUMBER(SEARCH("Kiện", C930)),
       " GÓI " &amp; COUNTIF($C$13:C930, "*Kiện*") &amp; "/" &amp; COUNTIF($C$13:$C$1000, "*Kiện*") &amp; " " &amp; AA930,
       AA930)
)</f>
        <v/>
      </c>
      <c r="F930" s="206"/>
      <c r="G930" s="206"/>
      <c r="H930" s="206"/>
      <c r="I930" s="206"/>
      <c r="J930" s="206" t="str">
        <f t="shared" si="209"/>
        <v/>
      </c>
      <c r="K930" s="206" t="str">
        <f t="shared" si="211"/>
        <v/>
      </c>
      <c r="L930" s="206" t="str">
        <f t="shared" si="212"/>
        <v/>
      </c>
      <c r="M930" s="206" t="str">
        <f t="shared" si="213"/>
        <v/>
      </c>
      <c r="N930" s="206" t="str">
        <f t="shared" si="214"/>
        <v/>
      </c>
      <c r="O930" s="206" t="str">
        <f t="shared" si="215"/>
        <v/>
      </c>
      <c r="P930" s="84" t="str">
        <f t="shared" si="216"/>
        <v/>
      </c>
      <c r="Q930" s="205"/>
      <c r="R930" s="70" t="str">
        <f>IF(S930="IN",'BOM_Phan II'!$Y$3,"")</f>
        <v/>
      </c>
      <c r="S930" s="69" t="str">
        <f t="shared" si="208"/>
        <v/>
      </c>
      <c r="T930">
        <f t="shared" si="217"/>
        <v>3</v>
      </c>
      <c r="U930" t="str">
        <f t="shared" si="205"/>
        <v>KIỆN 14</v>
      </c>
      <c r="V930" t="str">
        <f t="shared" si="218"/>
        <v/>
      </c>
      <c r="W930" s="266"/>
      <c r="X930" s="266"/>
      <c r="Y930" s="266" t="str">
        <f t="shared" si="210"/>
        <v/>
      </c>
      <c r="Z930" s="266"/>
    </row>
    <row r="931" spans="1:26" ht="27" hidden="1" customHeight="1">
      <c r="A931" s="70" t="str">
        <f t="shared" si="206"/>
        <v/>
      </c>
      <c r="B931" s="70" t="str">
        <f t="shared" si="207"/>
        <v/>
      </c>
      <c r="C931" s="204" t="str" cm="1">
        <f t="array" ref="C931">IF(D931="","",
    IF(AND(ISNUMBER(D931), D931=INT(D931)),
        $V$6 &amp; " " &amp; (IFERROR(MAX($Y$12:$Y930), 0) + 1),
        IF(ISNUMBER(SEARCH(".", D931)), "", INDEX($C$12:$C931, MATCH(2, 1/($C$12:$C931 &lt;&gt; ""))))
    )
)</f>
        <v/>
      </c>
      <c r="D931" s="206"/>
      <c r="E931" s="206" t="str">
        <f>IF(AA931 = "", "",
    IF(ISNUMBER(SEARCH("Kiện", C931)),
       " GÓI " &amp; COUNTIF($C$13:C931, "*Kiện*") &amp; "/" &amp; COUNTIF($C$13:$C$1000, "*Kiện*") &amp; " " &amp; AA931,
       AA931)
)</f>
        <v/>
      </c>
      <c r="F931" s="206"/>
      <c r="G931" s="206"/>
      <c r="H931" s="206"/>
      <c r="I931" s="206"/>
      <c r="J931" s="206" t="str">
        <f t="shared" si="209"/>
        <v/>
      </c>
      <c r="K931" s="206" t="str">
        <f t="shared" si="211"/>
        <v/>
      </c>
      <c r="L931" s="206" t="str">
        <f t="shared" si="212"/>
        <v/>
      </c>
      <c r="M931" s="206" t="str">
        <f t="shared" si="213"/>
        <v/>
      </c>
      <c r="N931" s="206" t="str">
        <f t="shared" si="214"/>
        <v/>
      </c>
      <c r="O931" s="206" t="str">
        <f t="shared" si="215"/>
        <v/>
      </c>
      <c r="P931" s="84" t="str">
        <f t="shared" si="216"/>
        <v/>
      </c>
      <c r="Q931" s="205"/>
      <c r="R931" s="70" t="str">
        <f>IF(S931="IN",'BOM_Phan II'!$Y$3,"")</f>
        <v/>
      </c>
      <c r="S931" s="69" t="str">
        <f t="shared" si="208"/>
        <v/>
      </c>
      <c r="T931">
        <f t="shared" si="217"/>
        <v>3</v>
      </c>
      <c r="U931" t="str">
        <f t="shared" si="205"/>
        <v>KIỆN 14</v>
      </c>
      <c r="V931" t="str">
        <f t="shared" si="218"/>
        <v/>
      </c>
      <c r="W931" s="266"/>
      <c r="X931" s="266"/>
      <c r="Y931" s="266" t="str">
        <f t="shared" si="210"/>
        <v/>
      </c>
      <c r="Z931" s="266"/>
    </row>
    <row r="932" spans="1:26" ht="27" hidden="1" customHeight="1">
      <c r="A932" s="70" t="str">
        <f t="shared" si="206"/>
        <v/>
      </c>
      <c r="B932" s="70" t="str">
        <f t="shared" si="207"/>
        <v/>
      </c>
      <c r="C932" s="204" t="str" cm="1">
        <f t="array" ref="C932">IF(D932="","",
    IF(AND(ISNUMBER(D932), D932=INT(D932)),
        $V$6 &amp; " " &amp; (IFERROR(MAX($Y$12:$Y931), 0) + 1),
        IF(ISNUMBER(SEARCH(".", D932)), "", INDEX($C$12:$C932, MATCH(2, 1/($C$12:$C932 &lt;&gt; ""))))
    )
)</f>
        <v/>
      </c>
      <c r="D932" s="206"/>
      <c r="E932" s="206" t="str">
        <f>IF(AA932 = "", "",
    IF(ISNUMBER(SEARCH("Kiện", C932)),
       " GÓI " &amp; COUNTIF($C$13:C932, "*Kiện*") &amp; "/" &amp; COUNTIF($C$13:$C$1000, "*Kiện*") &amp; " " &amp; AA932,
       AA932)
)</f>
        <v/>
      </c>
      <c r="F932" s="206"/>
      <c r="G932" s="206"/>
      <c r="H932" s="206"/>
      <c r="I932" s="206"/>
      <c r="J932" s="206" t="str">
        <f t="shared" si="209"/>
        <v/>
      </c>
      <c r="K932" s="206" t="str">
        <f t="shared" si="211"/>
        <v/>
      </c>
      <c r="L932" s="206" t="str">
        <f t="shared" si="212"/>
        <v/>
      </c>
      <c r="M932" s="206" t="str">
        <f t="shared" si="213"/>
        <v/>
      </c>
      <c r="N932" s="206" t="str">
        <f t="shared" si="214"/>
        <v/>
      </c>
      <c r="O932" s="206" t="str">
        <f t="shared" si="215"/>
        <v/>
      </c>
      <c r="P932" s="84" t="str">
        <f t="shared" si="216"/>
        <v/>
      </c>
      <c r="Q932" s="205"/>
      <c r="R932" s="70" t="str">
        <f>IF(S932="IN",'BOM_Phan II'!$Y$3,"")</f>
        <v/>
      </c>
      <c r="S932" s="69" t="str">
        <f t="shared" si="208"/>
        <v/>
      </c>
      <c r="T932">
        <f t="shared" si="217"/>
        <v>3</v>
      </c>
      <c r="U932" t="str">
        <f t="shared" si="205"/>
        <v>KIỆN 14</v>
      </c>
      <c r="V932" t="str">
        <f t="shared" si="218"/>
        <v/>
      </c>
      <c r="W932" s="266"/>
      <c r="X932" s="266"/>
      <c r="Y932" s="266" t="str">
        <f t="shared" si="210"/>
        <v/>
      </c>
      <c r="Z932" s="266"/>
    </row>
    <row r="933" spans="1:26" ht="27" hidden="1" customHeight="1">
      <c r="A933" s="70" t="str">
        <f t="shared" si="206"/>
        <v/>
      </c>
      <c r="B933" s="70" t="str">
        <f t="shared" si="207"/>
        <v/>
      </c>
      <c r="C933" s="204" t="str" cm="1">
        <f t="array" ref="C933">IF(D933="","",
    IF(AND(ISNUMBER(D933), D933=INT(D933)),
        $V$6 &amp; " " &amp; (IFERROR(MAX($Y$12:$Y932), 0) + 1),
        IF(ISNUMBER(SEARCH(".", D933)), "", INDEX($C$12:$C933, MATCH(2, 1/($C$12:$C933 &lt;&gt; ""))))
    )
)</f>
        <v/>
      </c>
      <c r="D933" s="206"/>
      <c r="E933" s="206" t="str">
        <f>IF(AA933 = "", "",
    IF(ISNUMBER(SEARCH("Kiện", C933)),
       " GÓI " &amp; COUNTIF($C$13:C933, "*Kiện*") &amp; "/" &amp; COUNTIF($C$13:$C$1000, "*Kiện*") &amp; " " &amp; AA933,
       AA933)
)</f>
        <v/>
      </c>
      <c r="F933" s="206"/>
      <c r="G933" s="206"/>
      <c r="H933" s="206"/>
      <c r="I933" s="206"/>
      <c r="J933" s="206" t="str">
        <f t="shared" si="209"/>
        <v/>
      </c>
      <c r="K933" s="206" t="str">
        <f t="shared" si="211"/>
        <v/>
      </c>
      <c r="L933" s="206" t="str">
        <f t="shared" si="212"/>
        <v/>
      </c>
      <c r="M933" s="206" t="str">
        <f t="shared" si="213"/>
        <v/>
      </c>
      <c r="N933" s="206" t="str">
        <f t="shared" si="214"/>
        <v/>
      </c>
      <c r="O933" s="206" t="str">
        <f t="shared" si="215"/>
        <v/>
      </c>
      <c r="P933" s="84" t="str">
        <f t="shared" si="216"/>
        <v/>
      </c>
      <c r="Q933" s="205"/>
      <c r="R933" s="70" t="str">
        <f>IF(S933="IN",'BOM_Phan II'!$Y$3,"")</f>
        <v/>
      </c>
      <c r="S933" s="69" t="str">
        <f t="shared" si="208"/>
        <v/>
      </c>
      <c r="T933">
        <f t="shared" si="217"/>
        <v>3</v>
      </c>
      <c r="U933" t="str">
        <f t="shared" si="205"/>
        <v>KIỆN 14</v>
      </c>
      <c r="V933" t="str">
        <f t="shared" si="218"/>
        <v/>
      </c>
      <c r="W933" s="266"/>
      <c r="X933" s="266"/>
      <c r="Y933" s="266" t="str">
        <f t="shared" si="210"/>
        <v/>
      </c>
      <c r="Z933" s="266"/>
    </row>
    <row r="934" spans="1:26" ht="27" hidden="1" customHeight="1">
      <c r="A934" s="70" t="str">
        <f t="shared" si="206"/>
        <v/>
      </c>
      <c r="B934" s="70" t="str">
        <f t="shared" si="207"/>
        <v/>
      </c>
      <c r="C934" s="204" t="str" cm="1">
        <f t="array" ref="C934">IF(D934="","",
    IF(AND(ISNUMBER(D934), D934=INT(D934)),
        $V$6 &amp; " " &amp; (IFERROR(MAX($Y$12:$Y933), 0) + 1),
        IF(ISNUMBER(SEARCH(".", D934)), "", INDEX($C$12:$C934, MATCH(2, 1/($C$12:$C934 &lt;&gt; ""))))
    )
)</f>
        <v/>
      </c>
      <c r="D934" s="206"/>
      <c r="E934" s="206" t="str">
        <f>IF(AA934 = "", "",
    IF(ISNUMBER(SEARCH("Kiện", C934)),
       " GÓI " &amp; COUNTIF($C$13:C934, "*Kiện*") &amp; "/" &amp; COUNTIF($C$13:$C$1000, "*Kiện*") &amp; " " &amp; AA934,
       AA934)
)</f>
        <v/>
      </c>
      <c r="F934" s="206"/>
      <c r="G934" s="206"/>
      <c r="H934" s="206"/>
      <c r="I934" s="206"/>
      <c r="J934" s="206" t="str">
        <f t="shared" si="209"/>
        <v/>
      </c>
      <c r="K934" s="206" t="str">
        <f t="shared" si="211"/>
        <v/>
      </c>
      <c r="L934" s="206" t="str">
        <f t="shared" si="212"/>
        <v/>
      </c>
      <c r="M934" s="206" t="str">
        <f t="shared" si="213"/>
        <v/>
      </c>
      <c r="N934" s="206" t="str">
        <f t="shared" si="214"/>
        <v/>
      </c>
      <c r="O934" s="206" t="str">
        <f t="shared" si="215"/>
        <v/>
      </c>
      <c r="P934" s="84" t="str">
        <f t="shared" si="216"/>
        <v/>
      </c>
      <c r="Q934" s="205"/>
      <c r="R934" s="70" t="str">
        <f>IF(S934="IN",'BOM_Phan II'!$Y$3,"")</f>
        <v/>
      </c>
      <c r="S934" s="69" t="str">
        <f t="shared" si="208"/>
        <v/>
      </c>
      <c r="T934">
        <f t="shared" si="217"/>
        <v>3</v>
      </c>
      <c r="U934" t="str">
        <f t="shared" si="205"/>
        <v>KIỆN 14</v>
      </c>
      <c r="V934" t="str">
        <f t="shared" si="218"/>
        <v/>
      </c>
      <c r="W934" s="266"/>
      <c r="X934" s="266"/>
      <c r="Y934" s="266" t="str">
        <f t="shared" si="210"/>
        <v/>
      </c>
      <c r="Z934" s="266"/>
    </row>
    <row r="935" spans="1:26" ht="27" hidden="1" customHeight="1">
      <c r="A935" s="70" t="str">
        <f t="shared" si="206"/>
        <v/>
      </c>
      <c r="B935" s="70" t="str">
        <f t="shared" si="207"/>
        <v/>
      </c>
      <c r="C935" s="204" t="str" cm="1">
        <f t="array" ref="C935">IF(D935="","",
    IF(AND(ISNUMBER(D935), D935=INT(D935)),
        $V$6 &amp; " " &amp; (IFERROR(MAX($Y$12:$Y934), 0) + 1),
        IF(ISNUMBER(SEARCH(".", D935)), "", INDEX($C$12:$C935, MATCH(2, 1/($C$12:$C935 &lt;&gt; ""))))
    )
)</f>
        <v/>
      </c>
      <c r="D935" s="206"/>
      <c r="E935" s="206" t="str">
        <f>IF(AA935 = "", "",
    IF(ISNUMBER(SEARCH("Kiện", C935)),
       " GÓI " &amp; COUNTIF($C$13:C935, "*Kiện*") &amp; "/" &amp; COUNTIF($C$13:$C$1000, "*Kiện*") &amp; " " &amp; AA935,
       AA935)
)</f>
        <v/>
      </c>
      <c r="F935" s="206"/>
      <c r="G935" s="206"/>
      <c r="H935" s="206"/>
      <c r="I935" s="206"/>
      <c r="J935" s="206" t="str">
        <f t="shared" si="209"/>
        <v/>
      </c>
      <c r="K935" s="206" t="str">
        <f t="shared" si="211"/>
        <v/>
      </c>
      <c r="L935" s="206" t="str">
        <f t="shared" si="212"/>
        <v/>
      </c>
      <c r="M935" s="206" t="str">
        <f t="shared" si="213"/>
        <v/>
      </c>
      <c r="N935" s="206" t="str">
        <f t="shared" si="214"/>
        <v/>
      </c>
      <c r="O935" s="206" t="str">
        <f t="shared" si="215"/>
        <v/>
      </c>
      <c r="P935" s="84" t="str">
        <f t="shared" si="216"/>
        <v/>
      </c>
      <c r="Q935" s="205"/>
      <c r="R935" s="70" t="str">
        <f>IF(S935="IN",'BOM_Phan II'!$Y$3,"")</f>
        <v/>
      </c>
      <c r="S935" s="69" t="str">
        <f t="shared" si="208"/>
        <v/>
      </c>
      <c r="T935">
        <f t="shared" si="217"/>
        <v>3</v>
      </c>
      <c r="U935" t="str">
        <f t="shared" si="205"/>
        <v>KIỆN 14</v>
      </c>
      <c r="V935" t="str">
        <f t="shared" si="218"/>
        <v/>
      </c>
      <c r="W935" s="266"/>
      <c r="X935" s="266"/>
      <c r="Y935" s="266" t="str">
        <f t="shared" si="210"/>
        <v/>
      </c>
      <c r="Z935" s="266"/>
    </row>
    <row r="936" spans="1:26" ht="27" hidden="1" customHeight="1">
      <c r="A936" s="70" t="str">
        <f t="shared" si="206"/>
        <v/>
      </c>
      <c r="B936" s="70" t="str">
        <f t="shared" si="207"/>
        <v/>
      </c>
      <c r="C936" s="204" t="str" cm="1">
        <f t="array" ref="C936">IF(D936="","",
    IF(AND(ISNUMBER(D936), D936=INT(D936)),
        $V$6 &amp; " " &amp; (IFERROR(MAX($Y$12:$Y935), 0) + 1),
        IF(ISNUMBER(SEARCH(".", D936)), "", INDEX($C$12:$C936, MATCH(2, 1/($C$12:$C936 &lt;&gt; ""))))
    )
)</f>
        <v/>
      </c>
      <c r="D936" s="206"/>
      <c r="E936" s="206" t="str">
        <f>IF(AA936 = "", "",
    IF(ISNUMBER(SEARCH("Kiện", C936)),
       " GÓI " &amp; COUNTIF($C$13:C936, "*Kiện*") &amp; "/" &amp; COUNTIF($C$13:$C$1000, "*Kiện*") &amp; " " &amp; AA936,
       AA936)
)</f>
        <v/>
      </c>
      <c r="F936" s="206"/>
      <c r="G936" s="206"/>
      <c r="H936" s="206"/>
      <c r="I936" s="206"/>
      <c r="J936" s="206" t="str">
        <f t="shared" si="209"/>
        <v/>
      </c>
      <c r="K936" s="206" t="str">
        <f t="shared" si="211"/>
        <v/>
      </c>
      <c r="L936" s="206" t="str">
        <f t="shared" si="212"/>
        <v/>
      </c>
      <c r="M936" s="206" t="str">
        <f t="shared" si="213"/>
        <v/>
      </c>
      <c r="N936" s="206" t="str">
        <f t="shared" si="214"/>
        <v/>
      </c>
      <c r="O936" s="206" t="str">
        <f t="shared" si="215"/>
        <v/>
      </c>
      <c r="P936" s="84" t="str">
        <f t="shared" si="216"/>
        <v/>
      </c>
      <c r="Q936" s="205"/>
      <c r="R936" s="70" t="str">
        <f>IF(S936="IN",'BOM_Phan II'!$Y$3,"")</f>
        <v/>
      </c>
      <c r="S936" s="69" t="str">
        <f t="shared" si="208"/>
        <v/>
      </c>
      <c r="T936">
        <f t="shared" si="217"/>
        <v>3</v>
      </c>
      <c r="U936" t="str">
        <f t="shared" si="205"/>
        <v>KIỆN 14</v>
      </c>
      <c r="V936" t="str">
        <f t="shared" si="218"/>
        <v/>
      </c>
      <c r="W936" s="266"/>
      <c r="X936" s="266"/>
      <c r="Y936" s="266" t="str">
        <f t="shared" si="210"/>
        <v/>
      </c>
      <c r="Z936" s="266"/>
    </row>
    <row r="937" spans="1:26" ht="27" hidden="1" customHeight="1">
      <c r="A937" s="70" t="str">
        <f t="shared" si="206"/>
        <v/>
      </c>
      <c r="B937" s="70" t="str">
        <f t="shared" si="207"/>
        <v/>
      </c>
      <c r="C937" s="204" t="str" cm="1">
        <f t="array" ref="C937">IF(D937="","",
    IF(AND(ISNUMBER(D937), D937=INT(D937)),
        $V$6 &amp; " " &amp; (IFERROR(MAX($Y$12:$Y936), 0) + 1),
        IF(ISNUMBER(SEARCH(".", D937)), "", INDEX($C$12:$C937, MATCH(2, 1/($C$12:$C937 &lt;&gt; ""))))
    )
)</f>
        <v/>
      </c>
      <c r="D937" s="206"/>
      <c r="E937" s="206" t="str">
        <f>IF(AA937 = "", "",
    IF(ISNUMBER(SEARCH("Kiện", C937)),
       " GÓI " &amp; COUNTIF($C$13:C937, "*Kiện*") &amp; "/" &amp; COUNTIF($C$13:$C$1000, "*Kiện*") &amp; " " &amp; AA937,
       AA937)
)</f>
        <v/>
      </c>
      <c r="F937" s="206"/>
      <c r="G937" s="206"/>
      <c r="H937" s="206"/>
      <c r="I937" s="206"/>
      <c r="J937" s="206" t="str">
        <f t="shared" si="209"/>
        <v/>
      </c>
      <c r="K937" s="206" t="str">
        <f t="shared" si="211"/>
        <v/>
      </c>
      <c r="L937" s="206" t="str">
        <f t="shared" si="212"/>
        <v/>
      </c>
      <c r="M937" s="206" t="str">
        <f t="shared" si="213"/>
        <v/>
      </c>
      <c r="N937" s="206" t="str">
        <f t="shared" si="214"/>
        <v/>
      </c>
      <c r="O937" s="206" t="str">
        <f t="shared" si="215"/>
        <v/>
      </c>
      <c r="P937" s="84" t="str">
        <f t="shared" si="216"/>
        <v/>
      </c>
      <c r="Q937" s="205"/>
      <c r="R937" s="70" t="str">
        <f>IF(S937="IN",'BOM_Phan II'!$Y$3,"")</f>
        <v/>
      </c>
      <c r="S937" s="69" t="str">
        <f t="shared" si="208"/>
        <v/>
      </c>
      <c r="T937">
        <f t="shared" si="217"/>
        <v>3</v>
      </c>
      <c r="U937" t="str">
        <f t="shared" si="205"/>
        <v>KIỆN 14</v>
      </c>
      <c r="V937" t="str">
        <f t="shared" si="218"/>
        <v/>
      </c>
      <c r="W937" s="266"/>
      <c r="X937" s="266"/>
      <c r="Y937" s="266" t="str">
        <f t="shared" si="210"/>
        <v/>
      </c>
      <c r="Z937" s="266"/>
    </row>
    <row r="938" spans="1:26" ht="27" hidden="1" customHeight="1">
      <c r="A938" s="70" t="str">
        <f t="shared" si="206"/>
        <v/>
      </c>
      <c r="B938" s="70" t="str">
        <f t="shared" si="207"/>
        <v/>
      </c>
      <c r="C938" s="204" t="str" cm="1">
        <f t="array" ref="C938">IF(D938="","",
    IF(AND(ISNUMBER(D938), D938=INT(D938)),
        $V$6 &amp; " " &amp; (IFERROR(MAX($Y$12:$Y937), 0) + 1),
        IF(ISNUMBER(SEARCH(".", D938)), "", INDEX($C$12:$C938, MATCH(2, 1/($C$12:$C938 &lt;&gt; ""))))
    )
)</f>
        <v/>
      </c>
      <c r="D938" s="206"/>
      <c r="E938" s="206" t="str">
        <f>IF(AA938 = "", "",
    IF(ISNUMBER(SEARCH("Kiện", C938)),
       " GÓI " &amp; COUNTIF($C$13:C938, "*Kiện*") &amp; "/" &amp; COUNTIF($C$13:$C$1000, "*Kiện*") &amp; " " &amp; AA938,
       AA938)
)</f>
        <v/>
      </c>
      <c r="F938" s="206"/>
      <c r="G938" s="206"/>
      <c r="H938" s="206"/>
      <c r="I938" s="206"/>
      <c r="J938" s="206" t="str">
        <f t="shared" si="209"/>
        <v/>
      </c>
      <c r="K938" s="206" t="str">
        <f t="shared" si="211"/>
        <v/>
      </c>
      <c r="L938" s="206" t="str">
        <f t="shared" si="212"/>
        <v/>
      </c>
      <c r="M938" s="206" t="str">
        <f t="shared" si="213"/>
        <v/>
      </c>
      <c r="N938" s="206" t="str">
        <f t="shared" si="214"/>
        <v/>
      </c>
      <c r="O938" s="206" t="str">
        <f t="shared" si="215"/>
        <v/>
      </c>
      <c r="P938" s="84" t="str">
        <f t="shared" si="216"/>
        <v/>
      </c>
      <c r="Q938" s="205"/>
      <c r="R938" s="70" t="str">
        <f>IF(S938="IN",'BOM_Phan II'!$Y$3,"")</f>
        <v/>
      </c>
      <c r="S938" s="69" t="str">
        <f t="shared" si="208"/>
        <v/>
      </c>
      <c r="T938">
        <f t="shared" si="217"/>
        <v>3</v>
      </c>
      <c r="U938" t="str">
        <f t="shared" si="205"/>
        <v>KIỆN 14</v>
      </c>
      <c r="V938" t="str">
        <f t="shared" si="218"/>
        <v/>
      </c>
      <c r="W938" s="266"/>
      <c r="X938" s="266"/>
      <c r="Y938" s="266" t="str">
        <f t="shared" si="210"/>
        <v/>
      </c>
      <c r="Z938" s="266"/>
    </row>
    <row r="939" spans="1:26" ht="27" hidden="1" customHeight="1">
      <c r="A939" s="70" t="str">
        <f t="shared" si="206"/>
        <v/>
      </c>
      <c r="B939" s="70" t="str">
        <f t="shared" si="207"/>
        <v/>
      </c>
      <c r="C939" s="204" t="str" cm="1">
        <f t="array" ref="C939">IF(D939="","",
    IF(AND(ISNUMBER(D939), D939=INT(D939)),
        $V$6 &amp; " " &amp; (IFERROR(MAX($Y$12:$Y938), 0) + 1),
        IF(ISNUMBER(SEARCH(".", D939)), "", INDEX($C$12:$C939, MATCH(2, 1/($C$12:$C939 &lt;&gt; ""))))
    )
)</f>
        <v/>
      </c>
      <c r="D939" s="206"/>
      <c r="E939" s="206" t="str">
        <f>IF(AA939 = "", "",
    IF(ISNUMBER(SEARCH("Kiện", C939)),
       " GÓI " &amp; COUNTIF($C$13:C939, "*Kiện*") &amp; "/" &amp; COUNTIF($C$13:$C$1000, "*Kiện*") &amp; " " &amp; AA939,
       AA939)
)</f>
        <v/>
      </c>
      <c r="F939" s="206"/>
      <c r="G939" s="206"/>
      <c r="H939" s="206"/>
      <c r="I939" s="206"/>
      <c r="J939" s="206" t="str">
        <f t="shared" si="209"/>
        <v/>
      </c>
      <c r="K939" s="206" t="str">
        <f t="shared" si="211"/>
        <v/>
      </c>
      <c r="L939" s="206" t="str">
        <f t="shared" si="212"/>
        <v/>
      </c>
      <c r="M939" s="206" t="str">
        <f t="shared" si="213"/>
        <v/>
      </c>
      <c r="N939" s="206" t="str">
        <f t="shared" si="214"/>
        <v/>
      </c>
      <c r="O939" s="206" t="str">
        <f t="shared" si="215"/>
        <v/>
      </c>
      <c r="P939" s="84" t="str">
        <f t="shared" si="216"/>
        <v/>
      </c>
      <c r="Q939" s="205"/>
      <c r="R939" s="70" t="str">
        <f>IF(S939="IN",'BOM_Phan II'!$Y$3,"")</f>
        <v/>
      </c>
      <c r="S939" s="69" t="str">
        <f t="shared" si="208"/>
        <v/>
      </c>
      <c r="T939">
        <f t="shared" si="217"/>
        <v>3</v>
      </c>
      <c r="U939" t="str">
        <f t="shared" si="205"/>
        <v>KIỆN 14</v>
      </c>
      <c r="V939" t="str">
        <f t="shared" si="218"/>
        <v/>
      </c>
      <c r="W939" s="266"/>
      <c r="X939" s="266"/>
      <c r="Y939" s="266" t="str">
        <f t="shared" si="210"/>
        <v/>
      </c>
      <c r="Z939" s="266"/>
    </row>
    <row r="940" spans="1:26" ht="27" hidden="1" customHeight="1">
      <c r="A940" s="70" t="str">
        <f t="shared" si="206"/>
        <v/>
      </c>
      <c r="B940" s="70" t="str">
        <f t="shared" si="207"/>
        <v/>
      </c>
      <c r="C940" s="204" t="str" cm="1">
        <f t="array" ref="C940">IF(D940="","",
    IF(AND(ISNUMBER(D940), D940=INT(D940)),
        $V$6 &amp; " " &amp; (IFERROR(MAX($Y$12:$Y939), 0) + 1),
        IF(ISNUMBER(SEARCH(".", D940)), "", INDEX($C$12:$C940, MATCH(2, 1/($C$12:$C940 &lt;&gt; ""))))
    )
)</f>
        <v/>
      </c>
      <c r="D940" s="206"/>
      <c r="E940" s="206" t="str">
        <f>IF(AA940 = "", "",
    IF(ISNUMBER(SEARCH("Kiện", C940)),
       " GÓI " &amp; COUNTIF($C$13:C940, "*Kiện*") &amp; "/" &amp; COUNTIF($C$13:$C$1000, "*Kiện*") &amp; " " &amp; AA940,
       AA940)
)</f>
        <v/>
      </c>
      <c r="F940" s="206"/>
      <c r="G940" s="206"/>
      <c r="H940" s="206"/>
      <c r="I940" s="206"/>
      <c r="J940" s="206" t="str">
        <f t="shared" si="209"/>
        <v/>
      </c>
      <c r="K940" s="206" t="str">
        <f t="shared" si="211"/>
        <v/>
      </c>
      <c r="L940" s="206" t="str">
        <f t="shared" si="212"/>
        <v/>
      </c>
      <c r="M940" s="206" t="str">
        <f t="shared" si="213"/>
        <v/>
      </c>
      <c r="N940" s="206" t="str">
        <f t="shared" si="214"/>
        <v/>
      </c>
      <c r="O940" s="206" t="str">
        <f t="shared" si="215"/>
        <v/>
      </c>
      <c r="P940" s="84" t="str">
        <f t="shared" si="216"/>
        <v/>
      </c>
      <c r="Q940" s="205"/>
      <c r="R940" s="70" t="str">
        <f>IF(S940="IN",'BOM_Phan II'!$Y$3,"")</f>
        <v/>
      </c>
      <c r="S940" s="69" t="str">
        <f t="shared" si="208"/>
        <v/>
      </c>
      <c r="T940">
        <f t="shared" si="217"/>
        <v>3</v>
      </c>
      <c r="U940" t="str">
        <f t="shared" si="205"/>
        <v>KIỆN 14</v>
      </c>
      <c r="V940" t="str">
        <f t="shared" si="218"/>
        <v/>
      </c>
      <c r="W940" s="266"/>
      <c r="X940" s="266"/>
      <c r="Y940" s="266" t="str">
        <f t="shared" si="210"/>
        <v/>
      </c>
      <c r="Z940" s="266"/>
    </row>
    <row r="941" spans="1:26" ht="27" hidden="1" customHeight="1">
      <c r="A941" s="70" t="str">
        <f t="shared" si="206"/>
        <v/>
      </c>
      <c r="B941" s="70" t="str">
        <f t="shared" si="207"/>
        <v/>
      </c>
      <c r="C941" s="204" t="str" cm="1">
        <f t="array" ref="C941">IF(D941="","",
    IF(AND(ISNUMBER(D941), D941=INT(D941)),
        $V$6 &amp; " " &amp; (IFERROR(MAX($Y$12:$Y940), 0) + 1),
        IF(ISNUMBER(SEARCH(".", D941)), "", INDEX($C$12:$C941, MATCH(2, 1/($C$12:$C941 &lt;&gt; ""))))
    )
)</f>
        <v/>
      </c>
      <c r="D941" s="206"/>
      <c r="E941" s="206" t="str">
        <f>IF(AA941 = "", "",
    IF(ISNUMBER(SEARCH("Kiện", C941)),
       " GÓI " &amp; COUNTIF($C$13:C941, "*Kiện*") &amp; "/" &amp; COUNTIF($C$13:$C$1000, "*Kiện*") &amp; " " &amp; AA941,
       AA941)
)</f>
        <v/>
      </c>
      <c r="F941" s="206"/>
      <c r="G941" s="206"/>
      <c r="H941" s="206"/>
      <c r="I941" s="206"/>
      <c r="J941" s="206" t="str">
        <f t="shared" si="209"/>
        <v/>
      </c>
      <c r="K941" s="206" t="str">
        <f t="shared" si="211"/>
        <v/>
      </c>
      <c r="L941" s="206" t="str">
        <f t="shared" si="212"/>
        <v/>
      </c>
      <c r="M941" s="206" t="str">
        <f t="shared" si="213"/>
        <v/>
      </c>
      <c r="N941" s="206" t="str">
        <f t="shared" si="214"/>
        <v/>
      </c>
      <c r="O941" s="206" t="str">
        <f t="shared" si="215"/>
        <v/>
      </c>
      <c r="P941" s="84" t="str">
        <f t="shared" si="216"/>
        <v/>
      </c>
      <c r="Q941" s="205"/>
      <c r="R941" s="70" t="str">
        <f>IF(S941="IN",'BOM_Phan II'!$Y$3,"")</f>
        <v/>
      </c>
      <c r="S941" s="69" t="str">
        <f t="shared" si="208"/>
        <v/>
      </c>
      <c r="T941">
        <f t="shared" si="217"/>
        <v>3</v>
      </c>
      <c r="U941" t="str">
        <f t="shared" si="205"/>
        <v>KIỆN 14</v>
      </c>
      <c r="V941" t="str">
        <f t="shared" si="218"/>
        <v/>
      </c>
      <c r="W941" s="266"/>
      <c r="X941" s="266"/>
      <c r="Y941" s="266" t="str">
        <f t="shared" si="210"/>
        <v/>
      </c>
      <c r="Z941" s="266"/>
    </row>
    <row r="942" spans="1:26" ht="27" hidden="1" customHeight="1">
      <c r="A942" s="70" t="str">
        <f t="shared" si="206"/>
        <v/>
      </c>
      <c r="B942" s="70" t="str">
        <f t="shared" si="207"/>
        <v/>
      </c>
      <c r="C942" s="204" t="str" cm="1">
        <f t="array" ref="C942">IF(D942="","",
    IF(AND(ISNUMBER(D942), D942=INT(D942)),
        $V$6 &amp; " " &amp; (IFERROR(MAX($Y$12:$Y941), 0) + 1),
        IF(ISNUMBER(SEARCH(".", D942)), "", INDEX($C$12:$C942, MATCH(2, 1/($C$12:$C942 &lt;&gt; ""))))
    )
)</f>
        <v/>
      </c>
      <c r="D942" s="206"/>
      <c r="E942" s="206" t="str">
        <f>IF(AA942 = "", "",
    IF(ISNUMBER(SEARCH("Kiện", C942)),
       " GÓI " &amp; COUNTIF($C$13:C942, "*Kiện*") &amp; "/" &amp; COUNTIF($C$13:$C$1000, "*Kiện*") &amp; " " &amp; AA942,
       AA942)
)</f>
        <v/>
      </c>
      <c r="F942" s="206"/>
      <c r="G942" s="206"/>
      <c r="H942" s="206"/>
      <c r="I942" s="206"/>
      <c r="J942" s="206" t="str">
        <f t="shared" si="209"/>
        <v/>
      </c>
      <c r="K942" s="206" t="str">
        <f t="shared" si="211"/>
        <v/>
      </c>
      <c r="L942" s="206" t="str">
        <f t="shared" si="212"/>
        <v/>
      </c>
      <c r="M942" s="206" t="str">
        <f t="shared" si="213"/>
        <v/>
      </c>
      <c r="N942" s="206" t="str">
        <f t="shared" si="214"/>
        <v/>
      </c>
      <c r="O942" s="206" t="str">
        <f t="shared" si="215"/>
        <v/>
      </c>
      <c r="P942" s="84" t="str">
        <f t="shared" si="216"/>
        <v/>
      </c>
      <c r="Q942" s="205"/>
      <c r="R942" s="70" t="str">
        <f>IF(S942="IN",'BOM_Phan II'!$Y$3,"")</f>
        <v/>
      </c>
      <c r="S942" s="69" t="str">
        <f t="shared" si="208"/>
        <v/>
      </c>
      <c r="T942">
        <f t="shared" si="217"/>
        <v>3</v>
      </c>
      <c r="U942" t="str">
        <f t="shared" si="205"/>
        <v>KIỆN 14</v>
      </c>
      <c r="V942" t="str">
        <f t="shared" si="218"/>
        <v/>
      </c>
      <c r="W942" s="266"/>
      <c r="X942" s="266"/>
      <c r="Y942" s="266" t="str">
        <f t="shared" si="210"/>
        <v/>
      </c>
      <c r="Z942" s="266"/>
    </row>
    <row r="943" spans="1:26" ht="27" hidden="1" customHeight="1">
      <c r="A943" s="70" t="str">
        <f t="shared" si="206"/>
        <v/>
      </c>
      <c r="B943" s="70" t="str">
        <f t="shared" si="207"/>
        <v/>
      </c>
      <c r="C943" s="204" t="str" cm="1">
        <f t="array" ref="C943">IF(D943="","",
    IF(AND(ISNUMBER(D943), D943=INT(D943)),
        $V$6 &amp; " " &amp; (IFERROR(MAX($Y$12:$Y942), 0) + 1),
        IF(ISNUMBER(SEARCH(".", D943)), "", INDEX($C$12:$C943, MATCH(2, 1/($C$12:$C943 &lt;&gt; ""))))
    )
)</f>
        <v/>
      </c>
      <c r="D943" s="206"/>
      <c r="E943" s="206" t="str">
        <f>IF(AA943 = "", "",
    IF(ISNUMBER(SEARCH("Kiện", C943)),
       " GÓI " &amp; COUNTIF($C$13:C943, "*Kiện*") &amp; "/" &amp; COUNTIF($C$13:$C$1000, "*Kiện*") &amp; " " &amp; AA943,
       AA943)
)</f>
        <v/>
      </c>
      <c r="F943" s="206"/>
      <c r="G943" s="206"/>
      <c r="H943" s="206"/>
      <c r="I943" s="206"/>
      <c r="J943" s="206" t="str">
        <f t="shared" si="209"/>
        <v/>
      </c>
      <c r="K943" s="206" t="str">
        <f t="shared" si="211"/>
        <v/>
      </c>
      <c r="L943" s="206" t="str">
        <f t="shared" si="212"/>
        <v/>
      </c>
      <c r="M943" s="206" t="str">
        <f t="shared" si="213"/>
        <v/>
      </c>
      <c r="N943" s="206" t="str">
        <f t="shared" si="214"/>
        <v/>
      </c>
      <c r="O943" s="206" t="str">
        <f t="shared" si="215"/>
        <v/>
      </c>
      <c r="P943" s="84" t="str">
        <f t="shared" si="216"/>
        <v/>
      </c>
      <c r="Q943" s="205"/>
      <c r="R943" s="70" t="str">
        <f>IF(S943="IN",'BOM_Phan II'!$Y$3,"")</f>
        <v/>
      </c>
      <c r="S943" s="69" t="str">
        <f t="shared" si="208"/>
        <v/>
      </c>
      <c r="T943">
        <f t="shared" si="217"/>
        <v>3</v>
      </c>
      <c r="U943" t="str">
        <f t="shared" si="205"/>
        <v>KIỆN 14</v>
      </c>
      <c r="V943" t="str">
        <f t="shared" si="218"/>
        <v/>
      </c>
      <c r="W943" s="266"/>
      <c r="X943" s="266"/>
      <c r="Y943" s="266" t="str">
        <f t="shared" si="210"/>
        <v/>
      </c>
      <c r="Z943" s="266"/>
    </row>
    <row r="944" spans="1:26" ht="27" hidden="1" customHeight="1">
      <c r="A944" s="70" t="str">
        <f t="shared" si="206"/>
        <v/>
      </c>
      <c r="B944" s="70" t="str">
        <f t="shared" si="207"/>
        <v/>
      </c>
      <c r="C944" s="204" t="str" cm="1">
        <f t="array" ref="C944">IF(D944="","",
    IF(AND(ISNUMBER(D944), D944=INT(D944)),
        $V$6 &amp; " " &amp; (IFERROR(MAX($Y$12:$Y943), 0) + 1),
        IF(ISNUMBER(SEARCH(".", D944)), "", INDEX($C$12:$C944, MATCH(2, 1/($C$12:$C944 &lt;&gt; ""))))
    )
)</f>
        <v/>
      </c>
      <c r="D944" s="206"/>
      <c r="E944" s="206" t="str">
        <f>IF(AA944 = "", "",
    IF(ISNUMBER(SEARCH("Kiện", C944)),
       " GÓI " &amp; COUNTIF($C$13:C944, "*Kiện*") &amp; "/" &amp; COUNTIF($C$13:$C$1000, "*Kiện*") &amp; " " &amp; AA944,
       AA944)
)</f>
        <v/>
      </c>
      <c r="F944" s="206"/>
      <c r="G944" s="206"/>
      <c r="H944" s="206"/>
      <c r="I944" s="206"/>
      <c r="J944" s="206" t="str">
        <f t="shared" si="209"/>
        <v/>
      </c>
      <c r="K944" s="206" t="str">
        <f t="shared" si="211"/>
        <v/>
      </c>
      <c r="L944" s="206" t="str">
        <f t="shared" si="212"/>
        <v/>
      </c>
      <c r="M944" s="206" t="str">
        <f t="shared" si="213"/>
        <v/>
      </c>
      <c r="N944" s="206" t="str">
        <f t="shared" si="214"/>
        <v/>
      </c>
      <c r="O944" s="206" t="str">
        <f t="shared" si="215"/>
        <v/>
      </c>
      <c r="P944" s="84" t="str">
        <f t="shared" si="216"/>
        <v/>
      </c>
      <c r="Q944" s="205"/>
      <c r="R944" s="70" t="str">
        <f>IF(S944="IN",'BOM_Phan II'!$Y$3,"")</f>
        <v/>
      </c>
      <c r="S944" s="69" t="str">
        <f t="shared" si="208"/>
        <v/>
      </c>
      <c r="T944">
        <f t="shared" si="217"/>
        <v>3</v>
      </c>
      <c r="U944" t="str">
        <f t="shared" si="205"/>
        <v>KIỆN 14</v>
      </c>
      <c r="V944" t="str">
        <f t="shared" si="218"/>
        <v/>
      </c>
      <c r="W944" s="266"/>
      <c r="X944" s="266"/>
      <c r="Y944" s="266" t="str">
        <f t="shared" si="210"/>
        <v/>
      </c>
      <c r="Z944" s="266"/>
    </row>
    <row r="945" spans="1:26" ht="27" hidden="1" customHeight="1">
      <c r="A945" s="70" t="str">
        <f t="shared" si="206"/>
        <v/>
      </c>
      <c r="B945" s="70" t="str">
        <f t="shared" si="207"/>
        <v/>
      </c>
      <c r="C945" s="204" t="str" cm="1">
        <f t="array" ref="C945">IF(D945="","",
    IF(AND(ISNUMBER(D945), D945=INT(D945)),
        $V$6 &amp; " " &amp; (IFERROR(MAX($Y$12:$Y944), 0) + 1),
        IF(ISNUMBER(SEARCH(".", D945)), "", INDEX($C$12:$C945, MATCH(2, 1/($C$12:$C945 &lt;&gt; ""))))
    )
)</f>
        <v/>
      </c>
      <c r="D945" s="206"/>
      <c r="E945" s="206" t="str">
        <f>IF(AA945 = "", "",
    IF(ISNUMBER(SEARCH("Kiện", C945)),
       " GÓI " &amp; COUNTIF($C$13:C945, "*Kiện*") &amp; "/" &amp; COUNTIF($C$13:$C$1000, "*Kiện*") &amp; " " &amp; AA945,
       AA945)
)</f>
        <v/>
      </c>
      <c r="F945" s="206"/>
      <c r="G945" s="206"/>
      <c r="H945" s="206"/>
      <c r="I945" s="206"/>
      <c r="J945" s="206" t="str">
        <f t="shared" si="209"/>
        <v/>
      </c>
      <c r="K945" s="206" t="str">
        <f t="shared" si="211"/>
        <v/>
      </c>
      <c r="L945" s="206" t="str">
        <f t="shared" si="212"/>
        <v/>
      </c>
      <c r="M945" s="206" t="str">
        <f t="shared" si="213"/>
        <v/>
      </c>
      <c r="N945" s="206" t="str">
        <f t="shared" si="214"/>
        <v/>
      </c>
      <c r="O945" s="206" t="str">
        <f t="shared" si="215"/>
        <v/>
      </c>
      <c r="P945" s="84" t="str">
        <f t="shared" si="216"/>
        <v/>
      </c>
      <c r="Q945" s="205"/>
      <c r="R945" s="70" t="str">
        <f>IF(S945="IN",'BOM_Phan II'!$Y$3,"")</f>
        <v/>
      </c>
      <c r="S945" s="69" t="str">
        <f t="shared" si="208"/>
        <v/>
      </c>
      <c r="T945">
        <f t="shared" si="217"/>
        <v>3</v>
      </c>
      <c r="U945" t="str">
        <f t="shared" si="205"/>
        <v>KIỆN 14</v>
      </c>
      <c r="V945" t="str">
        <f t="shared" si="218"/>
        <v/>
      </c>
      <c r="W945" s="266"/>
      <c r="X945" s="266"/>
      <c r="Y945" s="266" t="str">
        <f t="shared" si="210"/>
        <v/>
      </c>
      <c r="Z945" s="266"/>
    </row>
    <row r="946" spans="1:26" ht="27" hidden="1" customHeight="1">
      <c r="A946" s="70" t="str">
        <f t="shared" si="206"/>
        <v/>
      </c>
      <c r="B946" s="70" t="str">
        <f t="shared" si="207"/>
        <v/>
      </c>
      <c r="C946" s="204" t="str" cm="1">
        <f t="array" ref="C946">IF(D946="","",
    IF(AND(ISNUMBER(D946), D946=INT(D946)),
        $V$6 &amp; " " &amp; (IFERROR(MAX($Y$12:$Y945), 0) + 1),
        IF(ISNUMBER(SEARCH(".", D946)), "", INDEX($C$12:$C946, MATCH(2, 1/($C$12:$C946 &lt;&gt; ""))))
    )
)</f>
        <v/>
      </c>
      <c r="D946" s="206"/>
      <c r="E946" s="206" t="str">
        <f>IF(AA946 = "", "",
    IF(ISNUMBER(SEARCH("Kiện", C946)),
       " GÓI " &amp; COUNTIF($C$13:C946, "*Kiện*") &amp; "/" &amp; COUNTIF($C$13:$C$1000, "*Kiện*") &amp; " " &amp; AA946,
       AA946)
)</f>
        <v/>
      </c>
      <c r="F946" s="206"/>
      <c r="G946" s="206"/>
      <c r="H946" s="206"/>
      <c r="I946" s="206"/>
      <c r="J946" s="206" t="str">
        <f t="shared" si="209"/>
        <v/>
      </c>
      <c r="K946" s="206" t="str">
        <f t="shared" si="211"/>
        <v/>
      </c>
      <c r="L946" s="206" t="str">
        <f t="shared" si="212"/>
        <v/>
      </c>
      <c r="M946" s="206" t="str">
        <f t="shared" si="213"/>
        <v/>
      </c>
      <c r="N946" s="206" t="str">
        <f t="shared" si="214"/>
        <v/>
      </c>
      <c r="O946" s="206" t="str">
        <f t="shared" si="215"/>
        <v/>
      </c>
      <c r="P946" s="84" t="str">
        <f t="shared" si="216"/>
        <v/>
      </c>
      <c r="Q946" s="205"/>
      <c r="R946" s="70" t="str">
        <f>IF(S946="IN",'BOM_Phan II'!$Y$3,"")</f>
        <v/>
      </c>
      <c r="S946" s="69" t="str">
        <f t="shared" si="208"/>
        <v/>
      </c>
      <c r="T946">
        <f t="shared" si="217"/>
        <v>3</v>
      </c>
      <c r="U946" t="str">
        <f t="shared" si="205"/>
        <v>KIỆN 14</v>
      </c>
      <c r="V946" t="str">
        <f t="shared" si="218"/>
        <v/>
      </c>
      <c r="W946" s="266"/>
      <c r="X946" s="266"/>
      <c r="Y946" s="266" t="str">
        <f t="shared" si="210"/>
        <v/>
      </c>
      <c r="Z946" s="266"/>
    </row>
    <row r="947" spans="1:26" ht="27" hidden="1" customHeight="1">
      <c r="A947" s="70" t="str">
        <f t="shared" si="206"/>
        <v/>
      </c>
      <c r="B947" s="70" t="str">
        <f t="shared" si="207"/>
        <v/>
      </c>
      <c r="C947" s="204" t="str" cm="1">
        <f t="array" ref="C947">IF(D947="","",
    IF(AND(ISNUMBER(D947), D947=INT(D947)),
        $V$6 &amp; " " &amp; (IFERROR(MAX($Y$12:$Y946), 0) + 1),
        IF(ISNUMBER(SEARCH(".", D947)), "", INDEX($C$12:$C947, MATCH(2, 1/($C$12:$C947 &lt;&gt; ""))))
    )
)</f>
        <v/>
      </c>
      <c r="D947" s="206"/>
      <c r="E947" s="206" t="str">
        <f>IF(AA947 = "", "",
    IF(ISNUMBER(SEARCH("Kiện", C947)),
       " GÓI " &amp; COUNTIF($C$13:C947, "*Kiện*") &amp; "/" &amp; COUNTIF($C$13:$C$1000, "*Kiện*") &amp; " " &amp; AA947,
       AA947)
)</f>
        <v/>
      </c>
      <c r="F947" s="206"/>
      <c r="G947" s="206"/>
      <c r="H947" s="206"/>
      <c r="I947" s="206"/>
      <c r="J947" s="206" t="str">
        <f t="shared" si="209"/>
        <v/>
      </c>
      <c r="K947" s="206" t="str">
        <f t="shared" si="211"/>
        <v/>
      </c>
      <c r="L947" s="206" t="str">
        <f t="shared" si="212"/>
        <v/>
      </c>
      <c r="M947" s="206" t="str">
        <f t="shared" si="213"/>
        <v/>
      </c>
      <c r="N947" s="206" t="str">
        <f t="shared" si="214"/>
        <v/>
      </c>
      <c r="O947" s="206" t="str">
        <f t="shared" si="215"/>
        <v/>
      </c>
      <c r="P947" s="84" t="str">
        <f t="shared" si="216"/>
        <v/>
      </c>
      <c r="Q947" s="205"/>
      <c r="R947" s="70" t="str">
        <f>IF(S947="IN",'BOM_Phan II'!$Y$3,"")</f>
        <v/>
      </c>
      <c r="S947" s="69" t="str">
        <f t="shared" si="208"/>
        <v/>
      </c>
      <c r="T947">
        <f t="shared" si="217"/>
        <v>3</v>
      </c>
      <c r="U947" t="str">
        <f t="shared" si="205"/>
        <v>KIỆN 14</v>
      </c>
      <c r="V947" t="str">
        <f t="shared" si="218"/>
        <v/>
      </c>
      <c r="W947" s="266"/>
      <c r="X947" s="266"/>
      <c r="Y947" s="266" t="str">
        <f t="shared" si="210"/>
        <v/>
      </c>
      <c r="Z947" s="266"/>
    </row>
    <row r="948" spans="1:26" ht="27" hidden="1" customHeight="1">
      <c r="A948" s="70" t="str">
        <f t="shared" si="206"/>
        <v/>
      </c>
      <c r="B948" s="70" t="str">
        <f t="shared" si="207"/>
        <v/>
      </c>
      <c r="C948" s="204" t="str" cm="1">
        <f t="array" ref="C948">IF(D948="","",
    IF(AND(ISNUMBER(D948), D948=INT(D948)),
        $V$6 &amp; " " &amp; (IFERROR(MAX($Y$12:$Y947), 0) + 1),
        IF(ISNUMBER(SEARCH(".", D948)), "", INDEX($C$12:$C948, MATCH(2, 1/($C$12:$C948 &lt;&gt; ""))))
    )
)</f>
        <v/>
      </c>
      <c r="D948" s="206"/>
      <c r="E948" s="206" t="str">
        <f>IF(AA948 = "", "",
    IF(ISNUMBER(SEARCH("Kiện", C948)),
       " GÓI " &amp; COUNTIF($C$13:C948, "*Kiện*") &amp; "/" &amp; COUNTIF($C$13:$C$1000, "*Kiện*") &amp; " " &amp; AA948,
       AA948)
)</f>
        <v/>
      </c>
      <c r="F948" s="206"/>
      <c r="G948" s="206"/>
      <c r="H948" s="206"/>
      <c r="I948" s="206"/>
      <c r="J948" s="206" t="str">
        <f t="shared" si="209"/>
        <v/>
      </c>
      <c r="K948" s="206" t="str">
        <f t="shared" si="211"/>
        <v/>
      </c>
      <c r="L948" s="206" t="str">
        <f t="shared" si="212"/>
        <v/>
      </c>
      <c r="M948" s="206" t="str">
        <f t="shared" si="213"/>
        <v/>
      </c>
      <c r="N948" s="206" t="str">
        <f t="shared" si="214"/>
        <v/>
      </c>
      <c r="O948" s="206" t="str">
        <f t="shared" si="215"/>
        <v/>
      </c>
      <c r="P948" s="84" t="str">
        <f t="shared" si="216"/>
        <v/>
      </c>
      <c r="Q948" s="205"/>
      <c r="R948" s="70" t="str">
        <f>IF(S948="IN",'BOM_Phan II'!$Y$3,"")</f>
        <v/>
      </c>
      <c r="S948" s="69" t="str">
        <f t="shared" si="208"/>
        <v/>
      </c>
      <c r="T948">
        <f t="shared" si="217"/>
        <v>3</v>
      </c>
      <c r="U948" t="str">
        <f t="shared" si="205"/>
        <v>KIỆN 14</v>
      </c>
      <c r="V948" t="str">
        <f t="shared" si="218"/>
        <v/>
      </c>
      <c r="W948" s="266"/>
      <c r="X948" s="266"/>
      <c r="Y948" s="266" t="str">
        <f t="shared" si="210"/>
        <v/>
      </c>
      <c r="Z948" s="266"/>
    </row>
    <row r="949" spans="1:26" ht="27" hidden="1" customHeight="1">
      <c r="A949" s="70" t="str">
        <f t="shared" si="206"/>
        <v/>
      </c>
      <c r="B949" s="70" t="str">
        <f t="shared" si="207"/>
        <v/>
      </c>
      <c r="C949" s="204" t="str" cm="1">
        <f t="array" ref="C949">IF(D949="","",
    IF(AND(ISNUMBER(D949), D949=INT(D949)),
        $V$6 &amp; " " &amp; (IFERROR(MAX($Y$12:$Y948), 0) + 1),
        IF(ISNUMBER(SEARCH(".", D949)), "", INDEX($C$12:$C949, MATCH(2, 1/($C$12:$C949 &lt;&gt; ""))))
    )
)</f>
        <v/>
      </c>
      <c r="D949" s="206"/>
      <c r="E949" s="206" t="str">
        <f>IF(AA949 = "", "",
    IF(ISNUMBER(SEARCH("Kiện", C949)),
       " GÓI " &amp; COUNTIF($C$13:C949, "*Kiện*") &amp; "/" &amp; COUNTIF($C$13:$C$1000, "*Kiện*") &amp; " " &amp; AA949,
       AA949)
)</f>
        <v/>
      </c>
      <c r="F949" s="206"/>
      <c r="G949" s="206"/>
      <c r="H949" s="206"/>
      <c r="I949" s="206"/>
      <c r="J949" s="206" t="str">
        <f t="shared" si="209"/>
        <v/>
      </c>
      <c r="K949" s="206" t="str">
        <f t="shared" si="211"/>
        <v/>
      </c>
      <c r="L949" s="206" t="str">
        <f t="shared" si="212"/>
        <v/>
      </c>
      <c r="M949" s="206" t="str">
        <f t="shared" si="213"/>
        <v/>
      </c>
      <c r="N949" s="206" t="str">
        <f t="shared" si="214"/>
        <v/>
      </c>
      <c r="O949" s="206" t="str">
        <f t="shared" si="215"/>
        <v/>
      </c>
      <c r="P949" s="84" t="str">
        <f t="shared" si="216"/>
        <v/>
      </c>
      <c r="Q949" s="205"/>
      <c r="R949" s="70" t="str">
        <f>IF(S949="IN",'BOM_Phan II'!$Y$3,"")</f>
        <v/>
      </c>
      <c r="S949" s="69" t="str">
        <f t="shared" si="208"/>
        <v/>
      </c>
      <c r="T949">
        <f t="shared" si="217"/>
        <v>3</v>
      </c>
      <c r="U949" t="str">
        <f t="shared" si="205"/>
        <v>KIỆN 14</v>
      </c>
      <c r="V949" t="str">
        <f t="shared" si="218"/>
        <v/>
      </c>
      <c r="W949" s="266"/>
      <c r="X949" s="266"/>
      <c r="Y949" s="266" t="str">
        <f t="shared" si="210"/>
        <v/>
      </c>
      <c r="Z949" s="266"/>
    </row>
    <row r="950" spans="1:26" ht="27" hidden="1" customHeight="1">
      <c r="A950" s="70" t="str">
        <f t="shared" si="206"/>
        <v/>
      </c>
      <c r="B950" s="70" t="str">
        <f t="shared" si="207"/>
        <v/>
      </c>
      <c r="C950" s="204" t="str" cm="1">
        <f t="array" ref="C950">IF(D950="","",
    IF(AND(ISNUMBER(D950), D950=INT(D950)),
        $V$6 &amp; " " &amp; (IFERROR(MAX($Y$12:$Y949), 0) + 1),
        IF(ISNUMBER(SEARCH(".", D950)), "", INDEX($C$12:$C950, MATCH(2, 1/($C$12:$C950 &lt;&gt; ""))))
    )
)</f>
        <v/>
      </c>
      <c r="D950" s="206"/>
      <c r="E950" s="206" t="str">
        <f>IF(AA950 = "", "",
    IF(ISNUMBER(SEARCH("Kiện", C950)),
       " GÓI " &amp; COUNTIF($C$13:C950, "*Kiện*") &amp; "/" &amp; COUNTIF($C$13:$C$1000, "*Kiện*") &amp; " " &amp; AA950,
       AA950)
)</f>
        <v/>
      </c>
      <c r="F950" s="206"/>
      <c r="G950" s="206"/>
      <c r="H950" s="206"/>
      <c r="I950" s="206"/>
      <c r="J950" s="206" t="str">
        <f t="shared" si="209"/>
        <v/>
      </c>
      <c r="K950" s="206" t="str">
        <f t="shared" si="211"/>
        <v/>
      </c>
      <c r="L950" s="206" t="str">
        <f t="shared" si="212"/>
        <v/>
      </c>
      <c r="M950" s="206" t="str">
        <f t="shared" si="213"/>
        <v/>
      </c>
      <c r="N950" s="206" t="str">
        <f t="shared" si="214"/>
        <v/>
      </c>
      <c r="O950" s="206" t="str">
        <f t="shared" si="215"/>
        <v/>
      </c>
      <c r="P950" s="84" t="str">
        <f t="shared" si="216"/>
        <v/>
      </c>
      <c r="Q950" s="205"/>
      <c r="R950" s="70" t="str">
        <f>IF(S950="IN",'BOM_Phan II'!$Y$3,"")</f>
        <v/>
      </c>
      <c r="S950" s="69" t="str">
        <f t="shared" si="208"/>
        <v/>
      </c>
      <c r="T950">
        <f t="shared" si="217"/>
        <v>3</v>
      </c>
      <c r="U950" t="str">
        <f t="shared" si="205"/>
        <v>KIỆN 14</v>
      </c>
      <c r="V950" t="str">
        <f t="shared" si="218"/>
        <v/>
      </c>
      <c r="W950" s="266"/>
      <c r="X950" s="266"/>
      <c r="Y950" s="266" t="str">
        <f t="shared" si="210"/>
        <v/>
      </c>
      <c r="Z950" s="266"/>
    </row>
    <row r="951" spans="1:26" ht="27" hidden="1" customHeight="1">
      <c r="A951" s="70" t="str">
        <f t="shared" si="206"/>
        <v/>
      </c>
      <c r="B951" s="70" t="str">
        <f t="shared" si="207"/>
        <v/>
      </c>
      <c r="C951" s="204" t="str" cm="1">
        <f t="array" ref="C951">IF(D951="","",
    IF(AND(ISNUMBER(D951), D951=INT(D951)),
        $V$6 &amp; " " &amp; (IFERROR(MAX($Y$12:$Y950), 0) + 1),
        IF(ISNUMBER(SEARCH(".", D951)), "", INDEX($C$12:$C951, MATCH(2, 1/($C$12:$C951 &lt;&gt; ""))))
    )
)</f>
        <v/>
      </c>
      <c r="D951" s="206"/>
      <c r="E951" s="206" t="str">
        <f>IF(AA951 = "", "",
    IF(ISNUMBER(SEARCH("Kiện", C951)),
       " GÓI " &amp; COUNTIF($C$13:C951, "*Kiện*") &amp; "/" &amp; COUNTIF($C$13:$C$1000, "*Kiện*") &amp; " " &amp; AA951,
       AA951)
)</f>
        <v/>
      </c>
      <c r="F951" s="206"/>
      <c r="G951" s="206"/>
      <c r="H951" s="206"/>
      <c r="I951" s="206"/>
      <c r="J951" s="206" t="str">
        <f t="shared" si="209"/>
        <v/>
      </c>
      <c r="K951" s="206" t="str">
        <f t="shared" si="211"/>
        <v/>
      </c>
      <c r="L951" s="206" t="str">
        <f t="shared" si="212"/>
        <v/>
      </c>
      <c r="M951" s="206" t="str">
        <f t="shared" si="213"/>
        <v/>
      </c>
      <c r="N951" s="206" t="str">
        <f t="shared" si="214"/>
        <v/>
      </c>
      <c r="O951" s="206" t="str">
        <f t="shared" si="215"/>
        <v/>
      </c>
      <c r="P951" s="84" t="str">
        <f t="shared" si="216"/>
        <v/>
      </c>
      <c r="Q951" s="205"/>
      <c r="R951" s="70" t="str">
        <f>IF(S951="IN",'BOM_Phan II'!$Y$3,"")</f>
        <v/>
      </c>
      <c r="S951" s="69" t="str">
        <f t="shared" si="208"/>
        <v/>
      </c>
      <c r="T951">
        <f t="shared" si="217"/>
        <v>3</v>
      </c>
      <c r="U951" t="str">
        <f t="shared" si="205"/>
        <v>KIỆN 14</v>
      </c>
      <c r="V951" t="str">
        <f t="shared" si="218"/>
        <v/>
      </c>
      <c r="W951" s="266"/>
      <c r="X951" s="266"/>
      <c r="Y951" s="266" t="str">
        <f t="shared" si="210"/>
        <v/>
      </c>
      <c r="Z951" s="266"/>
    </row>
    <row r="952" spans="1:26" ht="27" hidden="1" customHeight="1">
      <c r="A952" s="70" t="str">
        <f t="shared" si="206"/>
        <v/>
      </c>
      <c r="B952" s="70" t="str">
        <f t="shared" si="207"/>
        <v/>
      </c>
      <c r="C952" s="204" t="str" cm="1">
        <f t="array" ref="C952">IF(D952="","",
    IF(AND(ISNUMBER(D952), D952=INT(D952)),
        $V$6 &amp; " " &amp; (IFERROR(MAX($Y$12:$Y951), 0) + 1),
        IF(ISNUMBER(SEARCH(".", D952)), "", INDEX($C$12:$C952, MATCH(2, 1/($C$12:$C952 &lt;&gt; ""))))
    )
)</f>
        <v/>
      </c>
      <c r="D952" s="206"/>
      <c r="E952" s="206" t="str">
        <f>IF(AA952 = "", "",
    IF(ISNUMBER(SEARCH("Kiện", C952)),
       " GÓI " &amp; COUNTIF($C$13:C952, "*Kiện*") &amp; "/" &amp; COUNTIF($C$13:$C$1000, "*Kiện*") &amp; " " &amp; AA952,
       AA952)
)</f>
        <v/>
      </c>
      <c r="F952" s="206"/>
      <c r="G952" s="206"/>
      <c r="H952" s="206"/>
      <c r="I952" s="206"/>
      <c r="J952" s="206" t="str">
        <f t="shared" si="209"/>
        <v/>
      </c>
      <c r="K952" s="206" t="str">
        <f t="shared" si="211"/>
        <v/>
      </c>
      <c r="L952" s="206" t="str">
        <f t="shared" si="212"/>
        <v/>
      </c>
      <c r="M952" s="206" t="str">
        <f t="shared" si="213"/>
        <v/>
      </c>
      <c r="N952" s="206" t="str">
        <f t="shared" si="214"/>
        <v/>
      </c>
      <c r="O952" s="206" t="str">
        <f t="shared" si="215"/>
        <v/>
      </c>
      <c r="P952" s="84" t="str">
        <f t="shared" si="216"/>
        <v/>
      </c>
      <c r="Q952" s="205"/>
      <c r="R952" s="70" t="str">
        <f>IF(S952="IN",'BOM_Phan II'!$Y$3,"")</f>
        <v/>
      </c>
      <c r="S952" s="69" t="str">
        <f t="shared" si="208"/>
        <v/>
      </c>
      <c r="T952">
        <f t="shared" si="217"/>
        <v>3</v>
      </c>
      <c r="U952" t="str">
        <f t="shared" si="205"/>
        <v>KIỆN 14</v>
      </c>
      <c r="V952" t="str">
        <f t="shared" si="218"/>
        <v/>
      </c>
      <c r="W952" s="266"/>
      <c r="X952" s="266"/>
      <c r="Y952" s="266" t="str">
        <f t="shared" si="210"/>
        <v/>
      </c>
      <c r="Z952" s="266"/>
    </row>
    <row r="953" spans="1:26" ht="27" hidden="1" customHeight="1">
      <c r="A953" s="70" t="str">
        <f t="shared" si="206"/>
        <v/>
      </c>
      <c r="B953" s="70" t="str">
        <f t="shared" si="207"/>
        <v/>
      </c>
      <c r="C953" s="204" t="str" cm="1">
        <f t="array" ref="C953">IF(D953="","",
    IF(AND(ISNUMBER(D953), D953=INT(D953)),
        $V$6 &amp; " " &amp; (IFERROR(MAX($Y$12:$Y952), 0) + 1),
        IF(ISNUMBER(SEARCH(".", D953)), "", INDEX($C$12:$C953, MATCH(2, 1/($C$12:$C953 &lt;&gt; ""))))
    )
)</f>
        <v/>
      </c>
      <c r="D953" s="206"/>
      <c r="E953" s="206" t="str">
        <f>IF(AA953 = "", "",
    IF(ISNUMBER(SEARCH("Kiện", C953)),
       " GÓI " &amp; COUNTIF($C$13:C953, "*Kiện*") &amp; "/" &amp; COUNTIF($C$13:$C$1000, "*Kiện*") &amp; " " &amp; AA953,
       AA953)
)</f>
        <v/>
      </c>
      <c r="F953" s="206"/>
      <c r="G953" s="206"/>
      <c r="H953" s="206"/>
      <c r="I953" s="206"/>
      <c r="J953" s="206" t="str">
        <f t="shared" si="209"/>
        <v/>
      </c>
      <c r="K953" s="206" t="str">
        <f t="shared" si="211"/>
        <v/>
      </c>
      <c r="L953" s="206" t="str">
        <f t="shared" si="212"/>
        <v/>
      </c>
      <c r="M953" s="206" t="str">
        <f t="shared" si="213"/>
        <v/>
      </c>
      <c r="N953" s="206" t="str">
        <f t="shared" si="214"/>
        <v/>
      </c>
      <c r="O953" s="206" t="str">
        <f t="shared" si="215"/>
        <v/>
      </c>
      <c r="P953" s="84" t="str">
        <f t="shared" si="216"/>
        <v/>
      </c>
      <c r="Q953" s="205"/>
      <c r="R953" s="70" t="str">
        <f>IF(S953="IN",'BOM_Phan II'!$Y$3,"")</f>
        <v/>
      </c>
      <c r="S953" s="69" t="str">
        <f t="shared" si="208"/>
        <v/>
      </c>
      <c r="T953">
        <f t="shared" si="217"/>
        <v>3</v>
      </c>
      <c r="U953" t="str">
        <f t="shared" si="205"/>
        <v>KIỆN 14</v>
      </c>
      <c r="V953" t="str">
        <f t="shared" si="218"/>
        <v/>
      </c>
      <c r="W953" s="266"/>
      <c r="X953" s="266"/>
      <c r="Y953" s="266" t="str">
        <f t="shared" si="210"/>
        <v/>
      </c>
      <c r="Z953" s="266"/>
    </row>
    <row r="954" spans="1:26" ht="27" hidden="1" customHeight="1">
      <c r="A954" s="70" t="str">
        <f t="shared" si="206"/>
        <v/>
      </c>
      <c r="B954" s="70" t="str">
        <f t="shared" si="207"/>
        <v/>
      </c>
      <c r="C954" s="204" t="str" cm="1">
        <f t="array" ref="C954">IF(D954="","",
    IF(AND(ISNUMBER(D954), D954=INT(D954)),
        $V$6 &amp; " " &amp; (IFERROR(MAX($Y$12:$Y953), 0) + 1),
        IF(ISNUMBER(SEARCH(".", D954)), "", INDEX($C$12:$C954, MATCH(2, 1/($C$12:$C954 &lt;&gt; ""))))
    )
)</f>
        <v/>
      </c>
      <c r="D954" s="206"/>
      <c r="E954" s="206" t="str">
        <f>IF(AA954 = "", "",
    IF(ISNUMBER(SEARCH("Kiện", C954)),
       " GÓI " &amp; COUNTIF($C$13:C954, "*Kiện*") &amp; "/" &amp; COUNTIF($C$13:$C$1000, "*Kiện*") &amp; " " &amp; AA954,
       AA954)
)</f>
        <v/>
      </c>
      <c r="F954" s="206"/>
      <c r="G954" s="206"/>
      <c r="H954" s="206"/>
      <c r="I954" s="206"/>
      <c r="J954" s="206" t="str">
        <f t="shared" si="209"/>
        <v/>
      </c>
      <c r="K954" s="206" t="str">
        <f t="shared" si="211"/>
        <v/>
      </c>
      <c r="L954" s="206" t="str">
        <f t="shared" si="212"/>
        <v/>
      </c>
      <c r="M954" s="206" t="str">
        <f t="shared" si="213"/>
        <v/>
      </c>
      <c r="N954" s="206" t="str">
        <f t="shared" si="214"/>
        <v/>
      </c>
      <c r="O954" s="206" t="str">
        <f t="shared" si="215"/>
        <v/>
      </c>
      <c r="P954" s="84" t="str">
        <f t="shared" si="216"/>
        <v/>
      </c>
      <c r="Q954" s="205"/>
      <c r="R954" s="70" t="str">
        <f>IF(S954="IN",'BOM_Phan II'!$Y$3,"")</f>
        <v/>
      </c>
      <c r="S954" s="69" t="str">
        <f t="shared" si="208"/>
        <v/>
      </c>
      <c r="T954">
        <f t="shared" si="217"/>
        <v>3</v>
      </c>
      <c r="U954" t="str">
        <f t="shared" si="205"/>
        <v>KIỆN 14</v>
      </c>
      <c r="V954" t="str">
        <f t="shared" si="218"/>
        <v/>
      </c>
      <c r="W954" s="266"/>
      <c r="X954" s="266"/>
      <c r="Y954" s="266" t="str">
        <f t="shared" si="210"/>
        <v/>
      </c>
      <c r="Z954" s="266"/>
    </row>
    <row r="955" spans="1:26" ht="27" hidden="1" customHeight="1">
      <c r="A955" s="70" t="str">
        <f t="shared" si="206"/>
        <v/>
      </c>
      <c r="B955" s="70" t="str">
        <f t="shared" si="207"/>
        <v/>
      </c>
      <c r="C955" s="204" t="str" cm="1">
        <f t="array" ref="C955">IF(D955="","",
    IF(AND(ISNUMBER(D955), D955=INT(D955)),
        $V$6 &amp; " " &amp; (IFERROR(MAX($Y$12:$Y954), 0) + 1),
        IF(ISNUMBER(SEARCH(".", D955)), "", INDEX($C$12:$C955, MATCH(2, 1/($C$12:$C955 &lt;&gt; ""))))
    )
)</f>
        <v/>
      </c>
      <c r="D955" s="206"/>
      <c r="E955" s="206" t="str">
        <f>IF(AA955 = "", "",
    IF(ISNUMBER(SEARCH("Kiện", C955)),
       " GÓI " &amp; COUNTIF($C$13:C955, "*Kiện*") &amp; "/" &amp; COUNTIF($C$13:$C$1000, "*Kiện*") &amp; " " &amp; AA955,
       AA955)
)</f>
        <v/>
      </c>
      <c r="F955" s="206"/>
      <c r="G955" s="206"/>
      <c r="H955" s="206"/>
      <c r="I955" s="206"/>
      <c r="J955" s="206" t="str">
        <f t="shared" si="209"/>
        <v/>
      </c>
      <c r="K955" s="206" t="str">
        <f t="shared" si="211"/>
        <v/>
      </c>
      <c r="L955" s="206" t="str">
        <f t="shared" si="212"/>
        <v/>
      </c>
      <c r="M955" s="206" t="str">
        <f t="shared" si="213"/>
        <v/>
      </c>
      <c r="N955" s="206" t="str">
        <f t="shared" si="214"/>
        <v/>
      </c>
      <c r="O955" s="206" t="str">
        <f t="shared" si="215"/>
        <v/>
      </c>
      <c r="P955" s="84" t="str">
        <f t="shared" si="216"/>
        <v/>
      </c>
      <c r="Q955" s="205"/>
      <c r="R955" s="70" t="str">
        <f>IF(S955="IN",'BOM_Phan II'!$Y$3,"")</f>
        <v/>
      </c>
      <c r="S955" s="69" t="str">
        <f t="shared" si="208"/>
        <v/>
      </c>
      <c r="T955">
        <f t="shared" si="217"/>
        <v>3</v>
      </c>
      <c r="U955" t="str">
        <f t="shared" si="205"/>
        <v>KIỆN 14</v>
      </c>
      <c r="V955" t="str">
        <f t="shared" si="218"/>
        <v/>
      </c>
      <c r="W955" s="266"/>
      <c r="X955" s="266"/>
      <c r="Y955" s="266" t="str">
        <f t="shared" si="210"/>
        <v/>
      </c>
      <c r="Z955" s="266"/>
    </row>
    <row r="956" spans="1:26" ht="27" hidden="1" customHeight="1">
      <c r="A956" s="70" t="str">
        <f t="shared" si="206"/>
        <v/>
      </c>
      <c r="B956" s="70" t="str">
        <f t="shared" si="207"/>
        <v/>
      </c>
      <c r="C956" s="204" t="str" cm="1">
        <f t="array" ref="C956">IF(D956="","",
    IF(AND(ISNUMBER(D956), D956=INT(D956)),
        $V$6 &amp; " " &amp; (IFERROR(MAX($Y$12:$Y955), 0) + 1),
        IF(ISNUMBER(SEARCH(".", D956)), "", INDEX($C$12:$C956, MATCH(2, 1/($C$12:$C956 &lt;&gt; ""))))
    )
)</f>
        <v/>
      </c>
      <c r="D956" s="206"/>
      <c r="E956" s="206" t="str">
        <f>IF(AA956 = "", "",
    IF(ISNUMBER(SEARCH("Kiện", C956)),
       " GÓI " &amp; COUNTIF($C$13:C956, "*Kiện*") &amp; "/" &amp; COUNTIF($C$13:$C$1000, "*Kiện*") &amp; " " &amp; AA956,
       AA956)
)</f>
        <v/>
      </c>
      <c r="F956" s="206"/>
      <c r="G956" s="206"/>
      <c r="H956" s="206"/>
      <c r="I956" s="206"/>
      <c r="J956" s="206" t="str">
        <f t="shared" si="209"/>
        <v/>
      </c>
      <c r="K956" s="206" t="str">
        <f t="shared" si="211"/>
        <v/>
      </c>
      <c r="L956" s="206" t="str">
        <f t="shared" si="212"/>
        <v/>
      </c>
      <c r="M956" s="206" t="str">
        <f t="shared" si="213"/>
        <v/>
      </c>
      <c r="N956" s="206" t="str">
        <f t="shared" si="214"/>
        <v/>
      </c>
      <c r="O956" s="206" t="str">
        <f t="shared" si="215"/>
        <v/>
      </c>
      <c r="P956" s="84" t="str">
        <f t="shared" si="216"/>
        <v/>
      </c>
      <c r="Q956" s="205"/>
      <c r="R956" s="70" t="str">
        <f>IF(S956="IN",'BOM_Phan II'!$Y$3,"")</f>
        <v/>
      </c>
      <c r="S956" s="69" t="str">
        <f t="shared" si="208"/>
        <v/>
      </c>
      <c r="T956">
        <f t="shared" si="217"/>
        <v>3</v>
      </c>
      <c r="U956" t="str">
        <f t="shared" si="205"/>
        <v>KIỆN 14</v>
      </c>
      <c r="V956" t="str">
        <f t="shared" si="218"/>
        <v/>
      </c>
      <c r="W956" s="266"/>
      <c r="X956" s="266"/>
      <c r="Y956" s="266" t="str">
        <f t="shared" si="210"/>
        <v/>
      </c>
      <c r="Z956" s="266"/>
    </row>
    <row r="957" spans="1:26" ht="27" hidden="1" customHeight="1">
      <c r="A957" s="70" t="str">
        <f t="shared" si="206"/>
        <v/>
      </c>
      <c r="B957" s="70" t="str">
        <f t="shared" si="207"/>
        <v/>
      </c>
      <c r="C957" s="204" t="str" cm="1">
        <f t="array" ref="C957">IF(D957="","",
    IF(AND(ISNUMBER(D957), D957=INT(D957)),
        $V$6 &amp; " " &amp; (IFERROR(MAX($Y$12:$Y956), 0) + 1),
        IF(ISNUMBER(SEARCH(".", D957)), "", INDEX($C$12:$C957, MATCH(2, 1/($C$12:$C957 &lt;&gt; ""))))
    )
)</f>
        <v/>
      </c>
      <c r="D957" s="206"/>
      <c r="E957" s="206" t="str">
        <f>IF(AA957 = "", "",
    IF(ISNUMBER(SEARCH("Kiện", C957)),
       " GÓI " &amp; COUNTIF($C$13:C957, "*Kiện*") &amp; "/" &amp; COUNTIF($C$13:$C$1000, "*Kiện*") &amp; " " &amp; AA957,
       AA957)
)</f>
        <v/>
      </c>
      <c r="F957" s="206"/>
      <c r="G957" s="206"/>
      <c r="H957" s="206"/>
      <c r="I957" s="206"/>
      <c r="J957" s="206" t="str">
        <f t="shared" si="209"/>
        <v/>
      </c>
      <c r="K957" s="206" t="str">
        <f t="shared" si="211"/>
        <v/>
      </c>
      <c r="L957" s="206" t="str">
        <f t="shared" si="212"/>
        <v/>
      </c>
      <c r="M957" s="206" t="str">
        <f t="shared" si="213"/>
        <v/>
      </c>
      <c r="N957" s="206" t="str">
        <f t="shared" si="214"/>
        <v/>
      </c>
      <c r="O957" s="206" t="str">
        <f t="shared" si="215"/>
        <v/>
      </c>
      <c r="P957" s="84" t="str">
        <f t="shared" si="216"/>
        <v/>
      </c>
      <c r="Q957" s="205"/>
      <c r="R957" s="70" t="str">
        <f>IF(S957="IN",'BOM_Phan II'!$Y$3,"")</f>
        <v/>
      </c>
      <c r="S957" s="69" t="str">
        <f t="shared" si="208"/>
        <v/>
      </c>
      <c r="T957">
        <f t="shared" si="217"/>
        <v>3</v>
      </c>
      <c r="U957" t="str">
        <f t="shared" si="205"/>
        <v>KIỆN 14</v>
      </c>
      <c r="V957" t="str">
        <f t="shared" si="218"/>
        <v/>
      </c>
      <c r="W957" s="266"/>
      <c r="X957" s="266"/>
      <c r="Y957" s="266" t="str">
        <f t="shared" si="210"/>
        <v/>
      </c>
      <c r="Z957" s="266"/>
    </row>
    <row r="958" spans="1:26" ht="27" hidden="1" customHeight="1">
      <c r="A958" s="70" t="str">
        <f t="shared" si="206"/>
        <v/>
      </c>
      <c r="B958" s="70" t="str">
        <f t="shared" si="207"/>
        <v/>
      </c>
      <c r="C958" s="204" t="str" cm="1">
        <f t="array" ref="C958">IF(D958="","",
    IF(AND(ISNUMBER(D958), D958=INT(D958)),
        $V$6 &amp; " " &amp; (IFERROR(MAX($Y$12:$Y957), 0) + 1),
        IF(ISNUMBER(SEARCH(".", D958)), "", INDEX($C$12:$C958, MATCH(2, 1/($C$12:$C958 &lt;&gt; ""))))
    )
)</f>
        <v/>
      </c>
      <c r="D958" s="206"/>
      <c r="E958" s="206" t="str">
        <f>IF(AA958 = "", "",
    IF(ISNUMBER(SEARCH("Kiện", C958)),
       " GÓI " &amp; COUNTIF($C$13:C958, "*Kiện*") &amp; "/" &amp; COUNTIF($C$13:$C$1000, "*Kiện*") &amp; " " &amp; AA958,
       AA958)
)</f>
        <v/>
      </c>
      <c r="F958" s="206"/>
      <c r="G958" s="206"/>
      <c r="H958" s="206"/>
      <c r="I958" s="206"/>
      <c r="J958" s="206" t="str">
        <f t="shared" si="209"/>
        <v/>
      </c>
      <c r="K958" s="206" t="str">
        <f t="shared" si="211"/>
        <v/>
      </c>
      <c r="L958" s="206" t="str">
        <f t="shared" si="212"/>
        <v/>
      </c>
      <c r="M958" s="206" t="str">
        <f t="shared" si="213"/>
        <v/>
      </c>
      <c r="N958" s="206" t="str">
        <f t="shared" si="214"/>
        <v/>
      </c>
      <c r="O958" s="206" t="str">
        <f t="shared" si="215"/>
        <v/>
      </c>
      <c r="P958" s="84" t="str">
        <f t="shared" si="216"/>
        <v/>
      </c>
      <c r="Q958" s="205"/>
      <c r="R958" s="70" t="str">
        <f>IF(S958="IN",'BOM_Phan II'!$Y$3,"")</f>
        <v/>
      </c>
      <c r="S958" s="69" t="str">
        <f t="shared" si="208"/>
        <v/>
      </c>
      <c r="T958">
        <f t="shared" si="217"/>
        <v>3</v>
      </c>
      <c r="U958" t="str">
        <f t="shared" si="205"/>
        <v>KIỆN 14</v>
      </c>
      <c r="V958" t="str">
        <f t="shared" si="218"/>
        <v/>
      </c>
      <c r="W958" s="266"/>
      <c r="X958" s="266"/>
      <c r="Y958" s="266" t="str">
        <f t="shared" si="210"/>
        <v/>
      </c>
      <c r="Z958" s="266"/>
    </row>
    <row r="959" spans="1:26" ht="27" hidden="1" customHeight="1">
      <c r="A959" s="70" t="str">
        <f t="shared" si="206"/>
        <v/>
      </c>
      <c r="B959" s="70" t="str">
        <f t="shared" si="207"/>
        <v/>
      </c>
      <c r="C959" s="204" t="str" cm="1">
        <f t="array" ref="C959">IF(D959="","",
    IF(AND(ISNUMBER(D959), D959=INT(D959)),
        $V$6 &amp; " " &amp; (IFERROR(MAX($Y$12:$Y958), 0) + 1),
        IF(ISNUMBER(SEARCH(".", D959)), "", INDEX($C$12:$C959, MATCH(2, 1/($C$12:$C959 &lt;&gt; ""))))
    )
)</f>
        <v/>
      </c>
      <c r="D959" s="206"/>
      <c r="E959" s="206" t="str">
        <f>IF(AA959 = "", "",
    IF(ISNUMBER(SEARCH("Kiện", C959)),
       " GÓI " &amp; COUNTIF($C$13:C959, "*Kiện*") &amp; "/" &amp; COUNTIF($C$13:$C$1000, "*Kiện*") &amp; " " &amp; AA959,
       AA959)
)</f>
        <v/>
      </c>
      <c r="F959" s="206"/>
      <c r="G959" s="206"/>
      <c r="H959" s="206"/>
      <c r="I959" s="206"/>
      <c r="J959" s="206" t="str">
        <f t="shared" si="209"/>
        <v/>
      </c>
      <c r="K959" s="206" t="str">
        <f t="shared" si="211"/>
        <v/>
      </c>
      <c r="L959" s="206" t="str">
        <f t="shared" si="212"/>
        <v/>
      </c>
      <c r="M959" s="206" t="str">
        <f t="shared" si="213"/>
        <v/>
      </c>
      <c r="N959" s="206" t="str">
        <f t="shared" si="214"/>
        <v/>
      </c>
      <c r="O959" s="206" t="str">
        <f t="shared" si="215"/>
        <v/>
      </c>
      <c r="P959" s="84" t="str">
        <f t="shared" si="216"/>
        <v/>
      </c>
      <c r="Q959" s="205"/>
      <c r="R959" s="70" t="str">
        <f>IF(S959="IN",'BOM_Phan II'!$Y$3,"")</f>
        <v/>
      </c>
      <c r="S959" s="69" t="str">
        <f t="shared" si="208"/>
        <v/>
      </c>
      <c r="T959">
        <f t="shared" si="217"/>
        <v>3</v>
      </c>
      <c r="U959" t="str">
        <f t="shared" si="205"/>
        <v>KIỆN 14</v>
      </c>
      <c r="V959" t="str">
        <f t="shared" si="218"/>
        <v/>
      </c>
      <c r="W959" s="266"/>
      <c r="X959" s="266"/>
      <c r="Y959" s="266" t="str">
        <f t="shared" si="210"/>
        <v/>
      </c>
      <c r="Z959" s="266"/>
    </row>
    <row r="960" spans="1:26" ht="27" hidden="1" customHeight="1">
      <c r="A960" s="70" t="str">
        <f t="shared" si="206"/>
        <v/>
      </c>
      <c r="B960" s="70" t="str">
        <f t="shared" si="207"/>
        <v/>
      </c>
      <c r="C960" s="204" t="str" cm="1">
        <f t="array" ref="C960">IF(D960="","",
    IF(AND(ISNUMBER(D960), D960=INT(D960)),
        $V$6 &amp; " " &amp; (IFERROR(MAX($Y$12:$Y959), 0) + 1),
        IF(ISNUMBER(SEARCH(".", D960)), "", INDEX($C$12:$C960, MATCH(2, 1/($C$12:$C960 &lt;&gt; ""))))
    )
)</f>
        <v/>
      </c>
      <c r="D960" s="206"/>
      <c r="E960" s="206" t="str">
        <f>IF(AA960 = "", "",
    IF(ISNUMBER(SEARCH("Kiện", C960)),
       " GÓI " &amp; COUNTIF($C$13:C960, "*Kiện*") &amp; "/" &amp; COUNTIF($C$13:$C$1000, "*Kiện*") &amp; " " &amp; AA960,
       AA960)
)</f>
        <v/>
      </c>
      <c r="F960" s="206"/>
      <c r="G960" s="206"/>
      <c r="H960" s="206"/>
      <c r="I960" s="206"/>
      <c r="J960" s="206" t="str">
        <f t="shared" si="209"/>
        <v/>
      </c>
      <c r="K960" s="206" t="str">
        <f t="shared" si="211"/>
        <v/>
      </c>
      <c r="L960" s="206" t="str">
        <f t="shared" si="212"/>
        <v/>
      </c>
      <c r="M960" s="206" t="str">
        <f t="shared" si="213"/>
        <v/>
      </c>
      <c r="N960" s="206" t="str">
        <f t="shared" si="214"/>
        <v/>
      </c>
      <c r="O960" s="206" t="str">
        <f t="shared" si="215"/>
        <v/>
      </c>
      <c r="P960" s="84" t="str">
        <f t="shared" si="216"/>
        <v/>
      </c>
      <c r="Q960" s="205"/>
      <c r="R960" s="70" t="str">
        <f>IF(S960="IN",'BOM_Phan II'!$Y$3,"")</f>
        <v/>
      </c>
      <c r="S960" s="69" t="str">
        <f t="shared" si="208"/>
        <v/>
      </c>
      <c r="T960">
        <f t="shared" si="217"/>
        <v>3</v>
      </c>
      <c r="U960" t="str">
        <f t="shared" si="205"/>
        <v>KIỆN 14</v>
      </c>
      <c r="V960" t="str">
        <f t="shared" si="218"/>
        <v/>
      </c>
      <c r="W960" s="266"/>
      <c r="X960" s="266"/>
      <c r="Y960" s="266" t="str">
        <f t="shared" si="210"/>
        <v/>
      </c>
      <c r="Z960" s="266"/>
    </row>
    <row r="961" spans="1:26" ht="27" hidden="1" customHeight="1">
      <c r="A961" s="70" t="str">
        <f t="shared" si="206"/>
        <v/>
      </c>
      <c r="B961" s="70" t="str">
        <f t="shared" si="207"/>
        <v/>
      </c>
      <c r="C961" s="204" t="str" cm="1">
        <f t="array" ref="C961">IF(D961="","",
    IF(AND(ISNUMBER(D961), D961=INT(D961)),
        $V$6 &amp; " " &amp; (IFERROR(MAX($Y$12:$Y960), 0) + 1),
        IF(ISNUMBER(SEARCH(".", D961)), "", INDEX($C$12:$C961, MATCH(2, 1/($C$12:$C961 &lt;&gt; ""))))
    )
)</f>
        <v/>
      </c>
      <c r="D961" s="206"/>
      <c r="E961" s="206" t="str">
        <f>IF(AA961 = "", "",
    IF(ISNUMBER(SEARCH("Kiện", C961)),
       " GÓI " &amp; COUNTIF($C$13:C961, "*Kiện*") &amp; "/" &amp; COUNTIF($C$13:$C$1000, "*Kiện*") &amp; " " &amp; AA961,
       AA961)
)</f>
        <v/>
      </c>
      <c r="F961" s="206"/>
      <c r="G961" s="206"/>
      <c r="H961" s="206"/>
      <c r="I961" s="206"/>
      <c r="J961" s="206" t="str">
        <f t="shared" si="209"/>
        <v/>
      </c>
      <c r="K961" s="206" t="str">
        <f t="shared" si="211"/>
        <v/>
      </c>
      <c r="L961" s="206" t="str">
        <f t="shared" si="212"/>
        <v/>
      </c>
      <c r="M961" s="206" t="str">
        <f t="shared" si="213"/>
        <v/>
      </c>
      <c r="N961" s="206" t="str">
        <f t="shared" si="214"/>
        <v/>
      </c>
      <c r="O961" s="206" t="str">
        <f t="shared" si="215"/>
        <v/>
      </c>
      <c r="P961" s="84" t="str">
        <f t="shared" si="216"/>
        <v/>
      </c>
      <c r="Q961" s="205"/>
      <c r="R961" s="70" t="str">
        <f>IF(S961="IN",'BOM_Phan II'!$Y$3,"")</f>
        <v/>
      </c>
      <c r="S961" s="69" t="str">
        <f t="shared" si="208"/>
        <v/>
      </c>
      <c r="T961">
        <f t="shared" si="217"/>
        <v>3</v>
      </c>
      <c r="U961" t="str">
        <f t="shared" si="205"/>
        <v>KIỆN 14</v>
      </c>
      <c r="V961" t="str">
        <f t="shared" si="218"/>
        <v/>
      </c>
      <c r="W961" s="266"/>
      <c r="X961" s="266"/>
      <c r="Y961" s="266" t="str">
        <f t="shared" si="210"/>
        <v/>
      </c>
      <c r="Z961" s="266"/>
    </row>
    <row r="962" spans="1:26" ht="27" hidden="1" customHeight="1">
      <c r="A962" s="70" t="str">
        <f t="shared" si="206"/>
        <v/>
      </c>
      <c r="B962" s="70" t="str">
        <f t="shared" si="207"/>
        <v/>
      </c>
      <c r="C962" s="204" t="str" cm="1">
        <f t="array" ref="C962">IF(D962="","",
    IF(AND(ISNUMBER(D962), D962=INT(D962)),
        $V$6 &amp; " " &amp; (IFERROR(MAX($Y$12:$Y961), 0) + 1),
        IF(ISNUMBER(SEARCH(".", D962)), "", INDEX($C$12:$C962, MATCH(2, 1/($C$12:$C962 &lt;&gt; ""))))
    )
)</f>
        <v/>
      </c>
      <c r="D962" s="206"/>
      <c r="E962" s="206" t="str">
        <f>IF(AA962 = "", "",
    IF(ISNUMBER(SEARCH("Kiện", C962)),
       " GÓI " &amp; COUNTIF($C$13:C962, "*Kiện*") &amp; "/" &amp; COUNTIF($C$13:$C$1000, "*Kiện*") &amp; " " &amp; AA962,
       AA962)
)</f>
        <v/>
      </c>
      <c r="F962" s="206"/>
      <c r="G962" s="206"/>
      <c r="H962" s="206"/>
      <c r="I962" s="206"/>
      <c r="J962" s="206" t="str">
        <f t="shared" si="209"/>
        <v/>
      </c>
      <c r="K962" s="206" t="str">
        <f t="shared" si="211"/>
        <v/>
      </c>
      <c r="L962" s="206" t="str">
        <f t="shared" si="212"/>
        <v/>
      </c>
      <c r="M962" s="206" t="str">
        <f t="shared" si="213"/>
        <v/>
      </c>
      <c r="N962" s="206" t="str">
        <f t="shared" si="214"/>
        <v/>
      </c>
      <c r="O962" s="206" t="str">
        <f t="shared" si="215"/>
        <v/>
      </c>
      <c r="P962" s="84" t="str">
        <f t="shared" si="216"/>
        <v/>
      </c>
      <c r="Q962" s="205"/>
      <c r="R962" s="70" t="str">
        <f>IF(S962="IN",'BOM_Phan II'!$Y$3,"")</f>
        <v/>
      </c>
      <c r="S962" s="69" t="str">
        <f t="shared" si="208"/>
        <v/>
      </c>
      <c r="T962">
        <f t="shared" si="217"/>
        <v>3</v>
      </c>
      <c r="U962" t="str">
        <f t="shared" si="205"/>
        <v>KIỆN 14</v>
      </c>
      <c r="V962" t="str">
        <f t="shared" si="218"/>
        <v/>
      </c>
      <c r="W962" s="266"/>
      <c r="X962" s="266"/>
      <c r="Y962" s="266" t="str">
        <f t="shared" si="210"/>
        <v/>
      </c>
      <c r="Z962" s="266"/>
    </row>
    <row r="963" spans="1:26" ht="27" hidden="1" customHeight="1">
      <c r="A963" s="70" t="str">
        <f t="shared" si="206"/>
        <v/>
      </c>
      <c r="B963" s="70" t="str">
        <f t="shared" si="207"/>
        <v/>
      </c>
      <c r="C963" s="204" t="str" cm="1">
        <f t="array" ref="C963">IF(D963="","",
    IF(AND(ISNUMBER(D963), D963=INT(D963)),
        $V$6 &amp; " " &amp; (IFERROR(MAX($Y$12:$Y962), 0) + 1),
        IF(ISNUMBER(SEARCH(".", D963)), "", INDEX($C$12:$C963, MATCH(2, 1/($C$12:$C963 &lt;&gt; ""))))
    )
)</f>
        <v/>
      </c>
      <c r="D963" s="206"/>
      <c r="E963" s="206" t="str">
        <f>IF(AA963 = "", "",
    IF(ISNUMBER(SEARCH("Kiện", C963)),
       " GÓI " &amp; COUNTIF($C$13:C963, "*Kiện*") &amp; "/" &amp; COUNTIF($C$13:$C$1000, "*Kiện*") &amp; " " &amp; AA963,
       AA963)
)</f>
        <v/>
      </c>
      <c r="F963" s="206"/>
      <c r="G963" s="206"/>
      <c r="H963" s="206"/>
      <c r="I963" s="206"/>
      <c r="J963" s="206" t="str">
        <f t="shared" si="209"/>
        <v/>
      </c>
      <c r="K963" s="206" t="str">
        <f t="shared" si="211"/>
        <v/>
      </c>
      <c r="L963" s="206" t="str">
        <f t="shared" si="212"/>
        <v/>
      </c>
      <c r="M963" s="206" t="str">
        <f t="shared" si="213"/>
        <v/>
      </c>
      <c r="N963" s="206" t="str">
        <f t="shared" si="214"/>
        <v/>
      </c>
      <c r="O963" s="206" t="str">
        <f t="shared" si="215"/>
        <v/>
      </c>
      <c r="P963" s="84" t="str">
        <f t="shared" si="216"/>
        <v/>
      </c>
      <c r="Q963" s="205"/>
      <c r="R963" s="70" t="str">
        <f>IF(S963="IN",'BOM_Phan II'!$Y$3,"")</f>
        <v/>
      </c>
      <c r="S963" s="69" t="str">
        <f t="shared" si="208"/>
        <v/>
      </c>
      <c r="T963">
        <f t="shared" si="217"/>
        <v>3</v>
      </c>
      <c r="U963" t="str">
        <f t="shared" ref="U963:U1026" si="219">IF(C963="",U962,C963)</f>
        <v>KIỆN 14</v>
      </c>
      <c r="V963" t="str">
        <f t="shared" si="218"/>
        <v/>
      </c>
      <c r="W963" s="266"/>
      <c r="X963" s="266"/>
      <c r="Y963" s="266" t="str">
        <f t="shared" si="210"/>
        <v/>
      </c>
      <c r="Z963" s="266"/>
    </row>
    <row r="964" spans="1:26" ht="27" hidden="1" customHeight="1">
      <c r="A964" s="70" t="str">
        <f t="shared" si="206"/>
        <v/>
      </c>
      <c r="B964" s="70" t="str">
        <f t="shared" si="207"/>
        <v/>
      </c>
      <c r="C964" s="204" t="str" cm="1">
        <f t="array" ref="C964">IF(D964="","",
    IF(AND(ISNUMBER(D964), D964=INT(D964)),
        $V$6 &amp; " " &amp; (IFERROR(MAX($Y$12:$Y963), 0) + 1),
        IF(ISNUMBER(SEARCH(".", D964)), "", INDEX($C$12:$C964, MATCH(2, 1/($C$12:$C964 &lt;&gt; ""))))
    )
)</f>
        <v/>
      </c>
      <c r="D964" s="206"/>
      <c r="E964" s="206" t="str">
        <f>IF(AA964 = "", "",
    IF(ISNUMBER(SEARCH("Kiện", C964)),
       " GÓI " &amp; COUNTIF($C$13:C964, "*Kiện*") &amp; "/" &amp; COUNTIF($C$13:$C$1000, "*Kiện*") &amp; " " &amp; AA964,
       AA964)
)</f>
        <v/>
      </c>
      <c r="F964" s="206"/>
      <c r="G964" s="206"/>
      <c r="H964" s="206"/>
      <c r="I964" s="206"/>
      <c r="J964" s="206" t="str">
        <f t="shared" si="209"/>
        <v/>
      </c>
      <c r="K964" s="206" t="str">
        <f t="shared" si="211"/>
        <v/>
      </c>
      <c r="L964" s="206" t="str">
        <f t="shared" si="212"/>
        <v/>
      </c>
      <c r="M964" s="206" t="str">
        <f t="shared" si="213"/>
        <v/>
      </c>
      <c r="N964" s="206" t="str">
        <f t="shared" si="214"/>
        <v/>
      </c>
      <c r="O964" s="206" t="str">
        <f t="shared" si="215"/>
        <v/>
      </c>
      <c r="P964" s="84" t="str">
        <f t="shared" si="216"/>
        <v/>
      </c>
      <c r="Q964" s="205"/>
      <c r="R964" s="70" t="str">
        <f>IF(S964="IN",'BOM_Phan II'!$Y$3,"")</f>
        <v/>
      </c>
      <c r="S964" s="69" t="str">
        <f t="shared" si="208"/>
        <v/>
      </c>
      <c r="T964">
        <f t="shared" si="217"/>
        <v>3</v>
      </c>
      <c r="U964" t="str">
        <f t="shared" si="219"/>
        <v>KIỆN 14</v>
      </c>
      <c r="V964" t="str">
        <f t="shared" si="218"/>
        <v/>
      </c>
      <c r="W964" s="266"/>
      <c r="X964" s="266"/>
      <c r="Y964" s="266" t="str">
        <f t="shared" si="210"/>
        <v/>
      </c>
      <c r="Z964" s="266"/>
    </row>
    <row r="965" spans="1:26" ht="27" hidden="1" customHeight="1">
      <c r="A965" s="70" t="str">
        <f t="shared" si="206"/>
        <v/>
      </c>
      <c r="B965" s="70" t="str">
        <f t="shared" si="207"/>
        <v/>
      </c>
      <c r="C965" s="204" t="str" cm="1">
        <f t="array" ref="C965">IF(D965="","",
    IF(AND(ISNUMBER(D965), D965=INT(D965)),
        $V$6 &amp; " " &amp; (IFERROR(MAX($Y$12:$Y964), 0) + 1),
        IF(ISNUMBER(SEARCH(".", D965)), "", INDEX($C$12:$C965, MATCH(2, 1/($C$12:$C965 &lt;&gt; ""))))
    )
)</f>
        <v/>
      </c>
      <c r="D965" s="206"/>
      <c r="E965" s="206" t="str">
        <f>IF(AA965 = "", "",
    IF(ISNUMBER(SEARCH("Kiện", C965)),
       " GÓI " &amp; COUNTIF($C$13:C965, "*Kiện*") &amp; "/" &amp; COUNTIF($C$13:$C$1000, "*Kiện*") &amp; " " &amp; AA965,
       AA965)
)</f>
        <v/>
      </c>
      <c r="F965" s="206"/>
      <c r="G965" s="206"/>
      <c r="H965" s="206"/>
      <c r="I965" s="206"/>
      <c r="J965" s="206" t="str">
        <f t="shared" si="209"/>
        <v/>
      </c>
      <c r="K965" s="206" t="str">
        <f t="shared" si="211"/>
        <v/>
      </c>
      <c r="L965" s="206" t="str">
        <f t="shared" si="212"/>
        <v/>
      </c>
      <c r="M965" s="206" t="str">
        <f t="shared" si="213"/>
        <v/>
      </c>
      <c r="N965" s="206" t="str">
        <f t="shared" si="214"/>
        <v/>
      </c>
      <c r="O965" s="206" t="str">
        <f t="shared" si="215"/>
        <v/>
      </c>
      <c r="P965" s="84" t="str">
        <f t="shared" si="216"/>
        <v/>
      </c>
      <c r="Q965" s="205"/>
      <c r="R965" s="70" t="str">
        <f>IF(S965="IN",'BOM_Phan II'!$Y$3,"")</f>
        <v/>
      </c>
      <c r="S965" s="69" t="str">
        <f t="shared" si="208"/>
        <v/>
      </c>
      <c r="T965">
        <f t="shared" si="217"/>
        <v>3</v>
      </c>
      <c r="U965" t="str">
        <f t="shared" si="219"/>
        <v>KIỆN 14</v>
      </c>
      <c r="V965" t="str">
        <f t="shared" si="218"/>
        <v/>
      </c>
      <c r="W965" s="266"/>
      <c r="X965" s="266"/>
      <c r="Y965" s="266" t="str">
        <f t="shared" si="210"/>
        <v/>
      </c>
      <c r="Z965" s="266"/>
    </row>
    <row r="966" spans="1:26" ht="27" hidden="1" customHeight="1">
      <c r="A966" s="70" t="str">
        <f t="shared" si="206"/>
        <v/>
      </c>
      <c r="B966" s="70" t="str">
        <f t="shared" si="207"/>
        <v/>
      </c>
      <c r="C966" s="204" t="str" cm="1">
        <f t="array" ref="C966">IF(D966="","",
    IF(AND(ISNUMBER(D966), D966=INT(D966)),
        $V$6 &amp; " " &amp; (IFERROR(MAX($Y$12:$Y965), 0) + 1),
        IF(ISNUMBER(SEARCH(".", D966)), "", INDEX($C$12:$C966, MATCH(2, 1/($C$12:$C966 &lt;&gt; ""))))
    )
)</f>
        <v/>
      </c>
      <c r="D966" s="206"/>
      <c r="E966" s="206" t="str">
        <f>IF(AA966 = "", "",
    IF(ISNUMBER(SEARCH("Kiện", C966)),
       " GÓI " &amp; COUNTIF($C$13:C966, "*Kiện*") &amp; "/" &amp; COUNTIF($C$13:$C$1000, "*Kiện*") &amp; " " &amp; AA966,
       AA966)
)</f>
        <v/>
      </c>
      <c r="F966" s="206"/>
      <c r="G966" s="206"/>
      <c r="H966" s="206"/>
      <c r="I966" s="206"/>
      <c r="J966" s="206" t="str">
        <f t="shared" si="209"/>
        <v/>
      </c>
      <c r="K966" s="206" t="str">
        <f t="shared" si="211"/>
        <v/>
      </c>
      <c r="L966" s="206" t="str">
        <f t="shared" si="212"/>
        <v/>
      </c>
      <c r="M966" s="206" t="str">
        <f t="shared" si="213"/>
        <v/>
      </c>
      <c r="N966" s="206" t="str">
        <f t="shared" si="214"/>
        <v/>
      </c>
      <c r="O966" s="206" t="str">
        <f t="shared" si="215"/>
        <v/>
      </c>
      <c r="P966" s="84" t="str">
        <f t="shared" si="216"/>
        <v/>
      </c>
      <c r="Q966" s="205"/>
      <c r="R966" s="70" t="str">
        <f>IF(S966="IN",'BOM_Phan II'!$Y$3,"")</f>
        <v/>
      </c>
      <c r="S966" s="69" t="str">
        <f t="shared" si="208"/>
        <v/>
      </c>
      <c r="T966">
        <f t="shared" si="217"/>
        <v>3</v>
      </c>
      <c r="U966" t="str">
        <f t="shared" si="219"/>
        <v>KIỆN 14</v>
      </c>
      <c r="V966" t="str">
        <f t="shared" si="218"/>
        <v/>
      </c>
      <c r="W966" s="266"/>
      <c r="X966" s="266"/>
      <c r="Y966" s="266" t="str">
        <f t="shared" si="210"/>
        <v/>
      </c>
      <c r="Z966" s="266"/>
    </row>
    <row r="967" spans="1:26" ht="27" hidden="1" customHeight="1">
      <c r="A967" s="70" t="str">
        <f t="shared" si="206"/>
        <v/>
      </c>
      <c r="B967" s="70" t="str">
        <f t="shared" si="207"/>
        <v/>
      </c>
      <c r="C967" s="204" t="str" cm="1">
        <f t="array" ref="C967">IF(D967="","",
    IF(AND(ISNUMBER(D967), D967=INT(D967)),
        $V$6 &amp; " " &amp; (IFERROR(MAX($Y$12:$Y966), 0) + 1),
        IF(ISNUMBER(SEARCH(".", D967)), "", INDEX($C$12:$C967, MATCH(2, 1/($C$12:$C967 &lt;&gt; ""))))
    )
)</f>
        <v/>
      </c>
      <c r="D967" s="206"/>
      <c r="E967" s="206" t="str">
        <f>IF(AA967 = "", "",
    IF(ISNUMBER(SEARCH("Kiện", C967)),
       " GÓI " &amp; COUNTIF($C$13:C967, "*Kiện*") &amp; "/" &amp; COUNTIF($C$13:$C$1000, "*Kiện*") &amp; " " &amp; AA967,
       AA967)
)</f>
        <v/>
      </c>
      <c r="F967" s="206"/>
      <c r="G967" s="206"/>
      <c r="H967" s="206"/>
      <c r="I967" s="206"/>
      <c r="J967" s="206" t="str">
        <f t="shared" si="209"/>
        <v/>
      </c>
      <c r="K967" s="206" t="str">
        <f t="shared" si="211"/>
        <v/>
      </c>
      <c r="L967" s="206" t="str">
        <f t="shared" si="212"/>
        <v/>
      </c>
      <c r="M967" s="206" t="str">
        <f t="shared" si="213"/>
        <v/>
      </c>
      <c r="N967" s="206" t="str">
        <f t="shared" si="214"/>
        <v/>
      </c>
      <c r="O967" s="206" t="str">
        <f t="shared" si="215"/>
        <v/>
      </c>
      <c r="P967" s="84" t="str">
        <f t="shared" si="216"/>
        <v/>
      </c>
      <c r="Q967" s="205"/>
      <c r="R967" s="70" t="str">
        <f>IF(S967="IN",'BOM_Phan II'!$Y$3,"")</f>
        <v/>
      </c>
      <c r="S967" s="69" t="str">
        <f t="shared" si="208"/>
        <v/>
      </c>
      <c r="T967">
        <f t="shared" si="217"/>
        <v>3</v>
      </c>
      <c r="U967" t="str">
        <f t="shared" si="219"/>
        <v>KIỆN 14</v>
      </c>
      <c r="V967" t="str">
        <f t="shared" si="218"/>
        <v/>
      </c>
      <c r="W967" s="266"/>
      <c r="X967" s="266"/>
      <c r="Y967" s="266" t="str">
        <f t="shared" si="210"/>
        <v/>
      </c>
      <c r="Z967" s="266"/>
    </row>
    <row r="968" spans="1:26" ht="27" hidden="1" customHeight="1">
      <c r="A968" s="70" t="str">
        <f t="shared" si="206"/>
        <v/>
      </c>
      <c r="B968" s="70" t="str">
        <f t="shared" si="207"/>
        <v/>
      </c>
      <c r="C968" s="204" t="str" cm="1">
        <f t="array" ref="C968">IF(D968="","",
    IF(AND(ISNUMBER(D968), D968=INT(D968)),
        $V$6 &amp; " " &amp; (IFERROR(MAX($Y$12:$Y967), 0) + 1),
        IF(ISNUMBER(SEARCH(".", D968)), "", INDEX($C$12:$C968, MATCH(2, 1/($C$12:$C968 &lt;&gt; ""))))
    )
)</f>
        <v/>
      </c>
      <c r="D968" s="206"/>
      <c r="E968" s="206" t="str">
        <f>IF(AA968 = "", "",
    IF(ISNUMBER(SEARCH("Kiện", C968)),
       " GÓI " &amp; COUNTIF($C$13:C968, "*Kiện*") &amp; "/" &amp; COUNTIF($C$13:$C$1000, "*Kiện*") &amp; " " &amp; AA968,
       AA968)
)</f>
        <v/>
      </c>
      <c r="F968" s="206"/>
      <c r="G968" s="206"/>
      <c r="H968" s="206"/>
      <c r="I968" s="206"/>
      <c r="J968" s="206" t="str">
        <f t="shared" si="209"/>
        <v/>
      </c>
      <c r="K968" s="206" t="str">
        <f t="shared" si="211"/>
        <v/>
      </c>
      <c r="L968" s="206" t="str">
        <f t="shared" si="212"/>
        <v/>
      </c>
      <c r="M968" s="206" t="str">
        <f t="shared" si="213"/>
        <v/>
      </c>
      <c r="N968" s="206" t="str">
        <f t="shared" si="214"/>
        <v/>
      </c>
      <c r="O968" s="206" t="str">
        <f t="shared" si="215"/>
        <v/>
      </c>
      <c r="P968" s="84" t="str">
        <f t="shared" si="216"/>
        <v/>
      </c>
      <c r="Q968" s="205"/>
      <c r="R968" s="70" t="str">
        <f>IF(S968="IN",'BOM_Phan II'!$Y$3,"")</f>
        <v/>
      </c>
      <c r="S968" s="69" t="str">
        <f t="shared" si="208"/>
        <v/>
      </c>
      <c r="T968">
        <f t="shared" si="217"/>
        <v>3</v>
      </c>
      <c r="U968" t="str">
        <f t="shared" si="219"/>
        <v>KIỆN 14</v>
      </c>
      <c r="V968" t="str">
        <f t="shared" si="218"/>
        <v/>
      </c>
      <c r="W968" s="266"/>
      <c r="X968" s="266"/>
      <c r="Y968" s="266" t="str">
        <f t="shared" si="210"/>
        <v/>
      </c>
      <c r="Z968" s="266"/>
    </row>
    <row r="969" spans="1:26" ht="27" hidden="1" customHeight="1">
      <c r="A969" s="70" t="str">
        <f t="shared" si="206"/>
        <v/>
      </c>
      <c r="B969" s="70" t="str">
        <f t="shared" si="207"/>
        <v/>
      </c>
      <c r="C969" s="204" t="str" cm="1">
        <f t="array" ref="C969">IF(D969="","",
    IF(AND(ISNUMBER(D969), D969=INT(D969)),
        $V$6 &amp; " " &amp; (IFERROR(MAX($Y$12:$Y968), 0) + 1),
        IF(ISNUMBER(SEARCH(".", D969)), "", INDEX($C$12:$C969, MATCH(2, 1/($C$12:$C969 &lt;&gt; ""))))
    )
)</f>
        <v/>
      </c>
      <c r="D969" s="206"/>
      <c r="E969" s="206" t="str">
        <f>IF(AA969 = "", "",
    IF(ISNUMBER(SEARCH("Kiện", C969)),
       " GÓI " &amp; COUNTIF($C$13:C969, "*Kiện*") &amp; "/" &amp; COUNTIF($C$13:$C$1000, "*Kiện*") &amp; " " &amp; AA969,
       AA969)
)</f>
        <v/>
      </c>
      <c r="F969" s="206"/>
      <c r="G969" s="206"/>
      <c r="H969" s="206"/>
      <c r="I969" s="206"/>
      <c r="J969" s="206" t="str">
        <f t="shared" si="209"/>
        <v/>
      </c>
      <c r="K969" s="206" t="str">
        <f t="shared" si="211"/>
        <v/>
      </c>
      <c r="L969" s="206" t="str">
        <f t="shared" si="212"/>
        <v/>
      </c>
      <c r="M969" s="206" t="str">
        <f t="shared" si="213"/>
        <v/>
      </c>
      <c r="N969" s="206" t="str">
        <f t="shared" si="214"/>
        <v/>
      </c>
      <c r="O969" s="206" t="str">
        <f t="shared" si="215"/>
        <v/>
      </c>
      <c r="P969" s="84" t="str">
        <f t="shared" si="216"/>
        <v/>
      </c>
      <c r="Q969" s="205"/>
      <c r="R969" s="70" t="str">
        <f>IF(S969="IN",'BOM_Phan II'!$Y$3,"")</f>
        <v/>
      </c>
      <c r="S969" s="69" t="str">
        <f t="shared" si="208"/>
        <v/>
      </c>
      <c r="T969">
        <f t="shared" si="217"/>
        <v>3</v>
      </c>
      <c r="U969" t="str">
        <f t="shared" si="219"/>
        <v>KIỆN 14</v>
      </c>
      <c r="V969" t="str">
        <f t="shared" si="218"/>
        <v/>
      </c>
      <c r="W969" s="266"/>
      <c r="X969" s="266"/>
      <c r="Y969" s="266" t="str">
        <f t="shared" si="210"/>
        <v/>
      </c>
      <c r="Z969" s="266"/>
    </row>
    <row r="970" spans="1:26" ht="27" hidden="1" customHeight="1">
      <c r="A970" s="70" t="str">
        <f t="shared" si="206"/>
        <v/>
      </c>
      <c r="B970" s="70" t="str">
        <f t="shared" si="207"/>
        <v/>
      </c>
      <c r="C970" s="204" t="str" cm="1">
        <f t="array" ref="C970">IF(D970="","",
    IF(AND(ISNUMBER(D970), D970=INT(D970)),
        $V$6 &amp; " " &amp; (IFERROR(MAX($Y$12:$Y969), 0) + 1),
        IF(ISNUMBER(SEARCH(".", D970)), "", INDEX($C$12:$C970, MATCH(2, 1/($C$12:$C970 &lt;&gt; ""))))
    )
)</f>
        <v/>
      </c>
      <c r="D970" s="206"/>
      <c r="E970" s="206" t="str">
        <f>IF(AA970 = "", "",
    IF(ISNUMBER(SEARCH("Kiện", C970)),
       " GÓI " &amp; COUNTIF($C$13:C970, "*Kiện*") &amp; "/" &amp; COUNTIF($C$13:$C$1000, "*Kiện*") &amp; " " &amp; AA970,
       AA970)
)</f>
        <v/>
      </c>
      <c r="F970" s="206"/>
      <c r="G970" s="206"/>
      <c r="H970" s="206"/>
      <c r="I970" s="206"/>
      <c r="J970" s="206" t="str">
        <f t="shared" si="209"/>
        <v/>
      </c>
      <c r="K970" s="206" t="str">
        <f t="shared" si="211"/>
        <v/>
      </c>
      <c r="L970" s="206" t="str">
        <f t="shared" si="212"/>
        <v/>
      </c>
      <c r="M970" s="206" t="str">
        <f t="shared" si="213"/>
        <v/>
      </c>
      <c r="N970" s="206" t="str">
        <f t="shared" si="214"/>
        <v/>
      </c>
      <c r="O970" s="206" t="str">
        <f t="shared" si="215"/>
        <v/>
      </c>
      <c r="P970" s="84" t="str">
        <f t="shared" si="216"/>
        <v/>
      </c>
      <c r="Q970" s="205"/>
      <c r="R970" s="70" t="str">
        <f>IF(S970="IN",'BOM_Phan II'!$Y$3,"")</f>
        <v/>
      </c>
      <c r="S970" s="69" t="str">
        <f t="shared" si="208"/>
        <v/>
      </c>
      <c r="T970">
        <f t="shared" si="217"/>
        <v>3</v>
      </c>
      <c r="U970" t="str">
        <f t="shared" si="219"/>
        <v>KIỆN 14</v>
      </c>
      <c r="V970" t="str">
        <f t="shared" si="218"/>
        <v/>
      </c>
      <c r="W970" s="266"/>
      <c r="X970" s="266"/>
      <c r="Y970" s="266" t="str">
        <f t="shared" si="210"/>
        <v/>
      </c>
      <c r="Z970" s="266"/>
    </row>
    <row r="971" spans="1:26" ht="27" hidden="1" customHeight="1">
      <c r="A971" s="70" t="str">
        <f t="shared" si="206"/>
        <v/>
      </c>
      <c r="B971" s="70" t="str">
        <f t="shared" si="207"/>
        <v/>
      </c>
      <c r="C971" s="204" t="str" cm="1">
        <f t="array" ref="C971">IF(D971="","",
    IF(AND(ISNUMBER(D971), D971=INT(D971)),
        $V$6 &amp; " " &amp; (IFERROR(MAX($Y$12:$Y970), 0) + 1),
        IF(ISNUMBER(SEARCH(".", D971)), "", INDEX($C$12:$C971, MATCH(2, 1/($C$12:$C971 &lt;&gt; ""))))
    )
)</f>
        <v/>
      </c>
      <c r="D971" s="206"/>
      <c r="E971" s="206" t="str">
        <f>IF(AA971 = "", "",
    IF(ISNUMBER(SEARCH("Kiện", C971)),
       " GÓI " &amp; COUNTIF($C$13:C971, "*Kiện*") &amp; "/" &amp; COUNTIF($C$13:$C$1000, "*Kiện*") &amp; " " &amp; AA971,
       AA971)
)</f>
        <v/>
      </c>
      <c r="F971" s="206"/>
      <c r="G971" s="206"/>
      <c r="H971" s="206"/>
      <c r="I971" s="206"/>
      <c r="J971" s="206" t="str">
        <f t="shared" si="209"/>
        <v/>
      </c>
      <c r="K971" s="206" t="str">
        <f t="shared" si="211"/>
        <v/>
      </c>
      <c r="L971" s="206" t="str">
        <f t="shared" si="212"/>
        <v/>
      </c>
      <c r="M971" s="206" t="str">
        <f t="shared" si="213"/>
        <v/>
      </c>
      <c r="N971" s="206" t="str">
        <f t="shared" si="214"/>
        <v/>
      </c>
      <c r="O971" s="206" t="str">
        <f t="shared" si="215"/>
        <v/>
      </c>
      <c r="P971" s="84" t="str">
        <f t="shared" si="216"/>
        <v/>
      </c>
      <c r="Q971" s="205"/>
      <c r="R971" s="70" t="str">
        <f>IF(S971="IN",'BOM_Phan II'!$Y$3,"")</f>
        <v/>
      </c>
      <c r="S971" s="69" t="str">
        <f t="shared" si="208"/>
        <v/>
      </c>
      <c r="T971">
        <f t="shared" si="217"/>
        <v>3</v>
      </c>
      <c r="U971" t="str">
        <f t="shared" si="219"/>
        <v>KIỆN 14</v>
      </c>
      <c r="V971" t="str">
        <f t="shared" si="218"/>
        <v/>
      </c>
      <c r="W971" s="266"/>
      <c r="X971" s="266"/>
      <c r="Y971" s="266" t="str">
        <f t="shared" si="210"/>
        <v/>
      </c>
      <c r="Z971" s="266"/>
    </row>
    <row r="972" spans="1:26" ht="27" hidden="1" customHeight="1">
      <c r="A972" s="70" t="str">
        <f t="shared" ref="A972:A1035" si="220">IF(S972="IN",$E$6,"")</f>
        <v/>
      </c>
      <c r="B972" s="70" t="str">
        <f t="shared" ref="B972:B1035" si="221">IF(S972="IN","Muc "&amp;$E$7,"")</f>
        <v/>
      </c>
      <c r="C972" s="204" t="str" cm="1">
        <f t="array" ref="C972">IF(D972="","",
    IF(AND(ISNUMBER(D972), D972=INT(D972)),
        $V$6 &amp; " " &amp; (IFERROR(MAX($Y$12:$Y971), 0) + 1),
        IF(ISNUMBER(SEARCH(".", D972)), "", INDEX($C$12:$C972, MATCH(2, 1/($C$12:$C972 &lt;&gt; ""))))
    )
)</f>
        <v/>
      </c>
      <c r="D972" s="206"/>
      <c r="E972" s="206" t="str">
        <f>IF(AA972 = "", "",
    IF(ISNUMBER(SEARCH("Kiện", C972)),
       " GÓI " &amp; COUNTIF($C$13:C972, "*Kiện*") &amp; "/" &amp; COUNTIF($C$13:$C$1000, "*Kiện*") &amp; " " &amp; AA972,
       AA972)
)</f>
        <v/>
      </c>
      <c r="F972" s="206"/>
      <c r="G972" s="206"/>
      <c r="H972" s="206"/>
      <c r="I972" s="206"/>
      <c r="J972" s="206" t="str">
        <f t="shared" si="209"/>
        <v/>
      </c>
      <c r="K972" s="206" t="str">
        <f t="shared" si="211"/>
        <v/>
      </c>
      <c r="L972" s="206" t="str">
        <f t="shared" si="212"/>
        <v/>
      </c>
      <c r="M972" s="206" t="str">
        <f t="shared" si="213"/>
        <v/>
      </c>
      <c r="N972" s="206" t="str">
        <f t="shared" si="214"/>
        <v/>
      </c>
      <c r="O972" s="206" t="str">
        <f t="shared" si="215"/>
        <v/>
      </c>
      <c r="P972" s="84" t="str">
        <f t="shared" si="216"/>
        <v/>
      </c>
      <c r="Q972" s="205"/>
      <c r="R972" s="70" t="str">
        <f>IF(S972="IN",'BOM_Phan II'!$Y$3,"")</f>
        <v/>
      </c>
      <c r="S972" s="69" t="str">
        <f t="shared" ref="S972:S1035" si="222">IF(OR(E972&lt;&gt;"",D972&lt;&gt;""),"IN","")</f>
        <v/>
      </c>
      <c r="T972">
        <f t="shared" si="217"/>
        <v>3</v>
      </c>
      <c r="U972" t="str">
        <f t="shared" si="219"/>
        <v>KIỆN 14</v>
      </c>
      <c r="V972" t="str">
        <f t="shared" si="218"/>
        <v/>
      </c>
      <c r="W972" s="266"/>
      <c r="X972" s="266"/>
      <c r="Y972" s="266" t="str">
        <f t="shared" si="210"/>
        <v/>
      </c>
      <c r="Z972" s="266"/>
    </row>
    <row r="973" spans="1:26" ht="27" hidden="1" customHeight="1">
      <c r="A973" s="70" t="str">
        <f t="shared" si="220"/>
        <v/>
      </c>
      <c r="B973" s="70" t="str">
        <f t="shared" si="221"/>
        <v/>
      </c>
      <c r="C973" s="204" t="str" cm="1">
        <f t="array" ref="C973">IF(D973="","",
    IF(AND(ISNUMBER(D973), D973=INT(D973)),
        $V$6 &amp; " " &amp; (IFERROR(MAX($Y$12:$Y972), 0) + 1),
        IF(ISNUMBER(SEARCH(".", D973)), "", INDEX($C$12:$C973, MATCH(2, 1/($C$12:$C973 &lt;&gt; ""))))
    )
)</f>
        <v/>
      </c>
      <c r="D973" s="206"/>
      <c r="E973" s="206" t="str">
        <f>IF(AA973 = "", "",
    IF(ISNUMBER(SEARCH("Kiện", C973)),
       " GÓI " &amp; COUNTIF($C$13:C973, "*Kiện*") &amp; "/" &amp; COUNTIF($C$13:$C$1000, "*Kiện*") &amp; " " &amp; AA973,
       AA973)
)</f>
        <v/>
      </c>
      <c r="F973" s="206"/>
      <c r="G973" s="206"/>
      <c r="H973" s="206"/>
      <c r="I973" s="206"/>
      <c r="J973" s="206" t="str">
        <f t="shared" ref="J973:J1036" si="223">IF(C973&lt;&gt;"",C973&amp;"_"&amp;$E$6,"")</f>
        <v/>
      </c>
      <c r="K973" s="206" t="str">
        <f t="shared" si="211"/>
        <v/>
      </c>
      <c r="L973" s="206" t="str">
        <f t="shared" si="212"/>
        <v/>
      </c>
      <c r="M973" s="206" t="str">
        <f t="shared" si="213"/>
        <v/>
      </c>
      <c r="N973" s="206" t="str">
        <f t="shared" si="214"/>
        <v/>
      </c>
      <c r="O973" s="206" t="str">
        <f t="shared" si="215"/>
        <v/>
      </c>
      <c r="P973" s="84" t="str">
        <f t="shared" si="216"/>
        <v/>
      </c>
      <c r="Q973" s="205"/>
      <c r="R973" s="70" t="str">
        <f>IF(S973="IN",'BOM_Phan II'!$Y$3,"")</f>
        <v/>
      </c>
      <c r="S973" s="69" t="str">
        <f t="shared" si="222"/>
        <v/>
      </c>
      <c r="T973">
        <f t="shared" si="217"/>
        <v>3</v>
      </c>
      <c r="U973" t="str">
        <f t="shared" si="219"/>
        <v>KIỆN 14</v>
      </c>
      <c r="V973" t="str">
        <f t="shared" si="218"/>
        <v/>
      </c>
      <c r="W973" s="266"/>
      <c r="X973" s="266"/>
      <c r="Y973" s="266" t="str">
        <f t="shared" ref="Y973:Y1036" si="224">IFERROR(VALUE(RIGHT(C973,LEN(C973)-5)),"")</f>
        <v/>
      </c>
      <c r="Z973" s="266"/>
    </row>
    <row r="974" spans="1:26" ht="27" hidden="1" customHeight="1">
      <c r="A974" s="70" t="str">
        <f t="shared" si="220"/>
        <v/>
      </c>
      <c r="B974" s="70" t="str">
        <f t="shared" si="221"/>
        <v/>
      </c>
      <c r="C974" s="204" t="str" cm="1">
        <f t="array" ref="C974">IF(D974="","",
    IF(AND(ISNUMBER(D974), D974=INT(D974)),
        $V$6 &amp; " " &amp; (IFERROR(MAX($Y$12:$Y973), 0) + 1),
        IF(ISNUMBER(SEARCH(".", D974)), "", INDEX($C$12:$C974, MATCH(2, 1/($C$12:$C974 &lt;&gt; ""))))
    )
)</f>
        <v/>
      </c>
      <c r="D974" s="206"/>
      <c r="E974" s="206" t="str">
        <f>IF(AA974 = "", "",
    IF(ISNUMBER(SEARCH("Kiện", C974)),
       " GÓI " &amp; COUNTIF($C$13:C974, "*Kiện*") &amp; "/" &amp; COUNTIF($C$13:$C$1000, "*Kiện*") &amp; " " &amp; AA974,
       AA974)
)</f>
        <v/>
      </c>
      <c r="F974" s="206"/>
      <c r="G974" s="206"/>
      <c r="H974" s="206"/>
      <c r="I974" s="206"/>
      <c r="J974" s="206" t="str">
        <f t="shared" si="223"/>
        <v/>
      </c>
      <c r="K974" s="206" t="str">
        <f t="shared" ref="K974:K1037" si="225">IFERROR(IF($C974&lt;&gt;"",IF($T$13=1,F974+20,IF($T$13=2,F974+20,IF($T$13=3,F974+50,IF($T$13=4,F974+40,IF($T$13=5,F974+50,IF($T$13=51,F974+50,IF($T$13=6,F974+50,IF($T$13=7,F974+50,"")))))))),""),"")</f>
        <v/>
      </c>
      <c r="L974" s="206" t="str">
        <f t="shared" ref="L974:L1037" si="226">IFERROR(IF($C974&lt;&gt;"",IF($T$13=1,G974+20,IF($T$13=2,G974+20,IF($T$13=3,G974+50,IF($T$13=4,G974+40,IF($T$13=5,G974+50,IF($T$13=51,G974+50,IF($T$13=6,G974+50,IF($T$13=7,G974+50,"")))))))),""),"")</f>
        <v/>
      </c>
      <c r="M974" s="206" t="str">
        <f t="shared" ref="M974:M1037" si="227">IFERROR(IF($C974&lt;&gt;"",IF($T$13=1,H974+20,IF($T$13=2,H974+20,IF($T$13=3,H974+70,IF($T$13=4,H974+40,IF($T$13=5,H974+50,IF($T$13=51,H974+150,IF($T$13=6,H974+50,IF($T$13=7,H974+50,"")))))))),""),"")</f>
        <v/>
      </c>
      <c r="N974" s="206" t="str">
        <f t="shared" ref="N974:N1037" si="228">IF(C974&lt;&gt;"",I974,"")</f>
        <v/>
      </c>
      <c r="O974" s="206" t="str">
        <f t="shared" ref="O974:O1037" si="229">IF(C974&lt;&gt;"",$O$13,"")</f>
        <v/>
      </c>
      <c r="P974" s="84" t="str">
        <f t="shared" ref="P974:P1037" si="230">IFERROR(IF(C974&lt;&gt;"",SUMIFS($V$13:$V$969,$U$13:$U$969,C974)*$S$6,V974*$S$6),"")</f>
        <v/>
      </c>
      <c r="Q974" s="205"/>
      <c r="R974" s="70" t="str">
        <f>IF(S974="IN",'BOM_Phan II'!$Y$3,"")</f>
        <v/>
      </c>
      <c r="S974" s="69" t="str">
        <f t="shared" si="222"/>
        <v/>
      </c>
      <c r="T974">
        <f t="shared" ref="T974:T1037" si="231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3</v>
      </c>
      <c r="U974" t="str">
        <f t="shared" si="219"/>
        <v>KIỆN 14</v>
      </c>
      <c r="V974" t="str">
        <f t="shared" ref="V974:V1037" si="232">IFERROR(IF(AND(C974="", OR($W974="1", $W974="2")), IF(I974="", "", F974*G974*H974*I974/10^9), ""), "")</f>
        <v/>
      </c>
      <c r="W974" s="266"/>
      <c r="X974" s="266"/>
      <c r="Y974" s="266" t="str">
        <f t="shared" si="224"/>
        <v/>
      </c>
      <c r="Z974" s="266"/>
    </row>
    <row r="975" spans="1:26" ht="27" hidden="1" customHeight="1">
      <c r="A975" s="70" t="str">
        <f t="shared" si="220"/>
        <v/>
      </c>
      <c r="B975" s="70" t="str">
        <f t="shared" si="221"/>
        <v/>
      </c>
      <c r="C975" s="204" t="str" cm="1">
        <f t="array" ref="C975">IF(D975="","",
    IF(AND(ISNUMBER(D975), D975=INT(D975)),
        $V$6 &amp; " " &amp; (IFERROR(MAX($Y$12:$Y974), 0) + 1),
        IF(ISNUMBER(SEARCH(".", D975)), "", INDEX($C$12:$C975, MATCH(2, 1/($C$12:$C975 &lt;&gt; ""))))
    )
)</f>
        <v/>
      </c>
      <c r="D975" s="206"/>
      <c r="E975" s="206" t="str">
        <f>IF(AA975 = "", "",
    IF(ISNUMBER(SEARCH("Kiện", C975)),
       " GÓI " &amp; COUNTIF($C$13:C975, "*Kiện*") &amp; "/" &amp; COUNTIF($C$13:$C$1000, "*Kiện*") &amp; " " &amp; AA975,
       AA975)
)</f>
        <v/>
      </c>
      <c r="F975" s="206"/>
      <c r="G975" s="206"/>
      <c r="H975" s="206"/>
      <c r="I975" s="206"/>
      <c r="J975" s="206" t="str">
        <f t="shared" si="223"/>
        <v/>
      </c>
      <c r="K975" s="206" t="str">
        <f t="shared" si="225"/>
        <v/>
      </c>
      <c r="L975" s="206" t="str">
        <f t="shared" si="226"/>
        <v/>
      </c>
      <c r="M975" s="206" t="str">
        <f t="shared" si="227"/>
        <v/>
      </c>
      <c r="N975" s="206" t="str">
        <f t="shared" si="228"/>
        <v/>
      </c>
      <c r="O975" s="206" t="str">
        <f t="shared" si="229"/>
        <v/>
      </c>
      <c r="P975" s="84" t="str">
        <f t="shared" si="230"/>
        <v/>
      </c>
      <c r="Q975" s="205"/>
      <c r="R975" s="70" t="str">
        <f>IF(S975="IN",'BOM_Phan II'!$Y$3,"")</f>
        <v/>
      </c>
      <c r="S975" s="69" t="str">
        <f t="shared" si="222"/>
        <v/>
      </c>
      <c r="T975">
        <f t="shared" si="231"/>
        <v>3</v>
      </c>
      <c r="U975" t="str">
        <f t="shared" si="219"/>
        <v>KIỆN 14</v>
      </c>
      <c r="V975" t="str">
        <f t="shared" si="232"/>
        <v/>
      </c>
      <c r="W975" s="266"/>
      <c r="X975" s="266"/>
      <c r="Y975" s="266" t="str">
        <f t="shared" si="224"/>
        <v/>
      </c>
      <c r="Z975" s="266"/>
    </row>
    <row r="976" spans="1:26" ht="27" hidden="1" customHeight="1">
      <c r="A976" s="70" t="str">
        <f t="shared" si="220"/>
        <v/>
      </c>
      <c r="B976" s="70" t="str">
        <f t="shared" si="221"/>
        <v/>
      </c>
      <c r="C976" s="204" t="str" cm="1">
        <f t="array" ref="C976">IF(D976="","",
    IF(AND(ISNUMBER(D976), D976=INT(D976)),
        $V$6 &amp; " " &amp; (IFERROR(MAX($Y$12:$Y975), 0) + 1),
        IF(ISNUMBER(SEARCH(".", D976)), "", INDEX($C$12:$C976, MATCH(2, 1/($C$12:$C976 &lt;&gt; ""))))
    )
)</f>
        <v/>
      </c>
      <c r="D976" s="206"/>
      <c r="E976" s="206" t="str">
        <f>IF(AA976 = "", "",
    IF(ISNUMBER(SEARCH("Kiện", C976)),
       " GÓI " &amp; COUNTIF($C$13:C976, "*Kiện*") &amp; "/" &amp; COUNTIF($C$13:$C$1000, "*Kiện*") &amp; " " &amp; AA976,
       AA976)
)</f>
        <v/>
      </c>
      <c r="F976" s="206"/>
      <c r="G976" s="206"/>
      <c r="H976" s="206"/>
      <c r="I976" s="206"/>
      <c r="J976" s="206" t="str">
        <f t="shared" si="223"/>
        <v/>
      </c>
      <c r="K976" s="206" t="str">
        <f t="shared" si="225"/>
        <v/>
      </c>
      <c r="L976" s="206" t="str">
        <f t="shared" si="226"/>
        <v/>
      </c>
      <c r="M976" s="206" t="str">
        <f t="shared" si="227"/>
        <v/>
      </c>
      <c r="N976" s="206" t="str">
        <f t="shared" si="228"/>
        <v/>
      </c>
      <c r="O976" s="206" t="str">
        <f t="shared" si="229"/>
        <v/>
      </c>
      <c r="P976" s="84" t="str">
        <f t="shared" si="230"/>
        <v/>
      </c>
      <c r="Q976" s="205"/>
      <c r="R976" s="70" t="str">
        <f>IF(S976="IN",'BOM_Phan II'!$Y$3,"")</f>
        <v/>
      </c>
      <c r="S976" s="69" t="str">
        <f t="shared" si="222"/>
        <v/>
      </c>
      <c r="T976">
        <f t="shared" si="231"/>
        <v>3</v>
      </c>
      <c r="U976" t="str">
        <f t="shared" si="219"/>
        <v>KIỆN 14</v>
      </c>
      <c r="V976" t="str">
        <f t="shared" si="232"/>
        <v/>
      </c>
      <c r="W976" s="266"/>
      <c r="X976" s="266"/>
      <c r="Y976" s="266" t="str">
        <f t="shared" si="224"/>
        <v/>
      </c>
      <c r="Z976" s="266"/>
    </row>
    <row r="977" spans="1:26" ht="27" hidden="1" customHeight="1">
      <c r="A977" s="70" t="str">
        <f t="shared" si="220"/>
        <v/>
      </c>
      <c r="B977" s="70" t="str">
        <f t="shared" si="221"/>
        <v/>
      </c>
      <c r="C977" s="204" t="str" cm="1">
        <f t="array" ref="C977">IF(D977="","",
    IF(AND(ISNUMBER(D977), D977=INT(D977)),
        $V$6 &amp; " " &amp; (IFERROR(MAX($Y$12:$Y976), 0) + 1),
        IF(ISNUMBER(SEARCH(".", D977)), "", INDEX($C$12:$C977, MATCH(2, 1/($C$12:$C977 &lt;&gt; ""))))
    )
)</f>
        <v/>
      </c>
      <c r="D977" s="206"/>
      <c r="E977" s="206" t="str">
        <f>IF(AA977 = "", "",
    IF(ISNUMBER(SEARCH("Kiện", C977)),
       " GÓI " &amp; COUNTIF($C$13:C977, "*Kiện*") &amp; "/" &amp; COUNTIF($C$13:$C$1000, "*Kiện*") &amp; " " &amp; AA977,
       AA977)
)</f>
        <v/>
      </c>
      <c r="F977" s="206"/>
      <c r="G977" s="206"/>
      <c r="H977" s="206"/>
      <c r="I977" s="206"/>
      <c r="J977" s="206" t="str">
        <f t="shared" si="223"/>
        <v/>
      </c>
      <c r="K977" s="206" t="str">
        <f t="shared" si="225"/>
        <v/>
      </c>
      <c r="L977" s="206" t="str">
        <f t="shared" si="226"/>
        <v/>
      </c>
      <c r="M977" s="206" t="str">
        <f t="shared" si="227"/>
        <v/>
      </c>
      <c r="N977" s="206" t="str">
        <f t="shared" si="228"/>
        <v/>
      </c>
      <c r="O977" s="206" t="str">
        <f t="shared" si="229"/>
        <v/>
      </c>
      <c r="P977" s="84" t="str">
        <f t="shared" si="230"/>
        <v/>
      </c>
      <c r="Q977" s="205"/>
      <c r="R977" s="70" t="str">
        <f>IF(S977="IN",'BOM_Phan II'!$Y$3,"")</f>
        <v/>
      </c>
      <c r="S977" s="69" t="str">
        <f t="shared" si="222"/>
        <v/>
      </c>
      <c r="T977">
        <f t="shared" si="231"/>
        <v>3</v>
      </c>
      <c r="U977" t="str">
        <f t="shared" si="219"/>
        <v>KIỆN 14</v>
      </c>
      <c r="V977" t="str">
        <f t="shared" si="232"/>
        <v/>
      </c>
      <c r="W977" s="266"/>
      <c r="X977" s="266"/>
      <c r="Y977" s="266" t="str">
        <f t="shared" si="224"/>
        <v/>
      </c>
      <c r="Z977" s="266"/>
    </row>
    <row r="978" spans="1:26" ht="27" hidden="1" customHeight="1">
      <c r="A978" s="70" t="str">
        <f t="shared" si="220"/>
        <v/>
      </c>
      <c r="B978" s="70" t="str">
        <f t="shared" si="221"/>
        <v/>
      </c>
      <c r="C978" s="204" t="str" cm="1">
        <f t="array" ref="C978">IF(D978="","",
    IF(AND(ISNUMBER(D978), D978=INT(D978)),
        $V$6 &amp; " " &amp; (IFERROR(MAX($Y$12:$Y977), 0) + 1),
        IF(ISNUMBER(SEARCH(".", D978)), "", INDEX($C$12:$C978, MATCH(2, 1/($C$12:$C978 &lt;&gt; ""))))
    )
)</f>
        <v/>
      </c>
      <c r="D978" s="206"/>
      <c r="E978" s="206" t="str">
        <f>IF(AA978 = "", "",
    IF(ISNUMBER(SEARCH("Kiện", C978)),
       " GÓI " &amp; COUNTIF($C$13:C978, "*Kiện*") &amp; "/" &amp; COUNTIF($C$13:$C$1000, "*Kiện*") &amp; " " &amp; AA978,
       AA978)
)</f>
        <v/>
      </c>
      <c r="F978" s="206"/>
      <c r="G978" s="206"/>
      <c r="H978" s="206"/>
      <c r="I978" s="206"/>
      <c r="J978" s="206" t="str">
        <f t="shared" si="223"/>
        <v/>
      </c>
      <c r="K978" s="206" t="str">
        <f t="shared" si="225"/>
        <v/>
      </c>
      <c r="L978" s="206" t="str">
        <f t="shared" si="226"/>
        <v/>
      </c>
      <c r="M978" s="206" t="str">
        <f t="shared" si="227"/>
        <v/>
      </c>
      <c r="N978" s="206" t="str">
        <f t="shared" si="228"/>
        <v/>
      </c>
      <c r="O978" s="206" t="str">
        <f t="shared" si="229"/>
        <v/>
      </c>
      <c r="P978" s="84" t="str">
        <f t="shared" si="230"/>
        <v/>
      </c>
      <c r="Q978" s="205"/>
      <c r="R978" s="70" t="str">
        <f>IF(S978="IN",'BOM_Phan II'!$Y$3,"")</f>
        <v/>
      </c>
      <c r="S978" s="69" t="str">
        <f t="shared" si="222"/>
        <v/>
      </c>
      <c r="T978">
        <f t="shared" si="231"/>
        <v>3</v>
      </c>
      <c r="U978" t="str">
        <f t="shared" si="219"/>
        <v>KIỆN 14</v>
      </c>
      <c r="V978" t="str">
        <f t="shared" si="232"/>
        <v/>
      </c>
      <c r="W978" s="266"/>
      <c r="X978" s="266"/>
      <c r="Y978" s="266" t="str">
        <f t="shared" si="224"/>
        <v/>
      </c>
      <c r="Z978" s="266"/>
    </row>
    <row r="979" spans="1:26" ht="27" hidden="1" customHeight="1">
      <c r="A979" s="70" t="str">
        <f t="shared" si="220"/>
        <v/>
      </c>
      <c r="B979" s="70" t="str">
        <f t="shared" si="221"/>
        <v/>
      </c>
      <c r="C979" s="204" t="str" cm="1">
        <f t="array" ref="C979">IF(D979="","",
    IF(AND(ISNUMBER(D979), D979=INT(D979)),
        $V$6 &amp; " " &amp; (IFERROR(MAX($Y$12:$Y978), 0) + 1),
        IF(ISNUMBER(SEARCH(".", D979)), "", INDEX($C$12:$C979, MATCH(2, 1/($C$12:$C979 &lt;&gt; ""))))
    )
)</f>
        <v/>
      </c>
      <c r="D979" s="206"/>
      <c r="E979" s="206" t="str">
        <f>IF(AA979 = "", "",
    IF(ISNUMBER(SEARCH("Kiện", C979)),
       " GÓI " &amp; COUNTIF($C$13:C979, "*Kiện*") &amp; "/" &amp; COUNTIF($C$13:$C$1000, "*Kiện*") &amp; " " &amp; AA979,
       AA979)
)</f>
        <v/>
      </c>
      <c r="F979" s="206"/>
      <c r="G979" s="206"/>
      <c r="H979" s="206"/>
      <c r="I979" s="206"/>
      <c r="J979" s="206" t="str">
        <f t="shared" si="223"/>
        <v/>
      </c>
      <c r="K979" s="206" t="str">
        <f t="shared" si="225"/>
        <v/>
      </c>
      <c r="L979" s="206" t="str">
        <f t="shared" si="226"/>
        <v/>
      </c>
      <c r="M979" s="206" t="str">
        <f t="shared" si="227"/>
        <v/>
      </c>
      <c r="N979" s="206" t="str">
        <f t="shared" si="228"/>
        <v/>
      </c>
      <c r="O979" s="206" t="str">
        <f t="shared" si="229"/>
        <v/>
      </c>
      <c r="P979" s="84" t="str">
        <f t="shared" si="230"/>
        <v/>
      </c>
      <c r="Q979" s="205"/>
      <c r="R979" s="70" t="str">
        <f>IF(S979="IN",'BOM_Phan II'!$Y$3,"")</f>
        <v/>
      </c>
      <c r="S979" s="69" t="str">
        <f t="shared" si="222"/>
        <v/>
      </c>
      <c r="T979">
        <f t="shared" si="231"/>
        <v>3</v>
      </c>
      <c r="U979" t="str">
        <f t="shared" si="219"/>
        <v>KIỆN 14</v>
      </c>
      <c r="V979" t="str">
        <f t="shared" si="232"/>
        <v/>
      </c>
      <c r="W979" s="266"/>
      <c r="X979" s="266"/>
      <c r="Y979" s="266" t="str">
        <f t="shared" si="224"/>
        <v/>
      </c>
      <c r="Z979" s="266"/>
    </row>
    <row r="980" spans="1:26" ht="27" hidden="1" customHeight="1">
      <c r="A980" s="70" t="str">
        <f t="shared" si="220"/>
        <v/>
      </c>
      <c r="B980" s="70" t="str">
        <f t="shared" si="221"/>
        <v/>
      </c>
      <c r="C980" s="204" t="str" cm="1">
        <f t="array" ref="C980">IF(D980="","",
    IF(AND(ISNUMBER(D980), D980=INT(D980)),
        $V$6 &amp; " " &amp; (IFERROR(MAX($Y$12:$Y979), 0) + 1),
        IF(ISNUMBER(SEARCH(".", D980)), "", INDEX($C$12:$C980, MATCH(2, 1/($C$12:$C980 &lt;&gt; ""))))
    )
)</f>
        <v/>
      </c>
      <c r="D980" s="206"/>
      <c r="E980" s="206" t="str">
        <f>IF(AA980 = "", "",
    IF(ISNUMBER(SEARCH("Kiện", C980)),
       " GÓI " &amp; COUNTIF($C$13:C980, "*Kiện*") &amp; "/" &amp; COUNTIF($C$13:$C$1000, "*Kiện*") &amp; " " &amp; AA980,
       AA980)
)</f>
        <v/>
      </c>
      <c r="F980" s="206"/>
      <c r="G980" s="206"/>
      <c r="H980" s="206"/>
      <c r="I980" s="206"/>
      <c r="J980" s="206" t="str">
        <f t="shared" si="223"/>
        <v/>
      </c>
      <c r="K980" s="206" t="str">
        <f t="shared" si="225"/>
        <v/>
      </c>
      <c r="L980" s="206" t="str">
        <f t="shared" si="226"/>
        <v/>
      </c>
      <c r="M980" s="206" t="str">
        <f t="shared" si="227"/>
        <v/>
      </c>
      <c r="N980" s="206" t="str">
        <f t="shared" si="228"/>
        <v/>
      </c>
      <c r="O980" s="206" t="str">
        <f t="shared" si="229"/>
        <v/>
      </c>
      <c r="P980" s="84" t="str">
        <f t="shared" si="230"/>
        <v/>
      </c>
      <c r="Q980" s="205"/>
      <c r="R980" s="70" t="str">
        <f>IF(S980="IN",'BOM_Phan II'!$Y$3,"")</f>
        <v/>
      </c>
      <c r="S980" s="69" t="str">
        <f t="shared" si="222"/>
        <v/>
      </c>
      <c r="T980">
        <f t="shared" si="231"/>
        <v>3</v>
      </c>
      <c r="U980" t="str">
        <f t="shared" si="219"/>
        <v>KIỆN 14</v>
      </c>
      <c r="V980" t="str">
        <f t="shared" si="232"/>
        <v/>
      </c>
      <c r="W980" s="266"/>
      <c r="X980" s="266"/>
      <c r="Y980" s="266" t="str">
        <f t="shared" si="224"/>
        <v/>
      </c>
      <c r="Z980" s="266"/>
    </row>
    <row r="981" spans="1:26" ht="27" hidden="1" customHeight="1">
      <c r="A981" s="70" t="str">
        <f t="shared" si="220"/>
        <v/>
      </c>
      <c r="B981" s="70" t="str">
        <f t="shared" si="221"/>
        <v/>
      </c>
      <c r="C981" s="204" t="str" cm="1">
        <f t="array" ref="C981">IF(D981="","",
    IF(AND(ISNUMBER(D981), D981=INT(D981)),
        $V$6 &amp; " " &amp; (IFERROR(MAX($Y$12:$Y980), 0) + 1),
        IF(ISNUMBER(SEARCH(".", D981)), "", INDEX($C$12:$C981, MATCH(2, 1/($C$12:$C981 &lt;&gt; ""))))
    )
)</f>
        <v/>
      </c>
      <c r="D981" s="206"/>
      <c r="E981" s="206" t="str">
        <f>IF(AA981 = "", "",
    IF(ISNUMBER(SEARCH("Kiện", C981)),
       " GÓI " &amp; COUNTIF($C$13:C981, "*Kiện*") &amp; "/" &amp; COUNTIF($C$13:$C$1000, "*Kiện*") &amp; " " &amp; AA981,
       AA981)
)</f>
        <v/>
      </c>
      <c r="F981" s="206"/>
      <c r="G981" s="206"/>
      <c r="H981" s="206"/>
      <c r="I981" s="206"/>
      <c r="J981" s="206" t="str">
        <f t="shared" si="223"/>
        <v/>
      </c>
      <c r="K981" s="206" t="str">
        <f t="shared" si="225"/>
        <v/>
      </c>
      <c r="L981" s="206" t="str">
        <f t="shared" si="226"/>
        <v/>
      </c>
      <c r="M981" s="206" t="str">
        <f t="shared" si="227"/>
        <v/>
      </c>
      <c r="N981" s="206" t="str">
        <f t="shared" si="228"/>
        <v/>
      </c>
      <c r="O981" s="206" t="str">
        <f t="shared" si="229"/>
        <v/>
      </c>
      <c r="P981" s="84" t="str">
        <f t="shared" si="230"/>
        <v/>
      </c>
      <c r="Q981" s="205"/>
      <c r="R981" s="70" t="str">
        <f>IF(S981="IN",'BOM_Phan II'!$Y$3,"")</f>
        <v/>
      </c>
      <c r="S981" s="69" t="str">
        <f t="shared" si="222"/>
        <v/>
      </c>
      <c r="T981">
        <f t="shared" si="231"/>
        <v>3</v>
      </c>
      <c r="U981" t="str">
        <f t="shared" si="219"/>
        <v>KIỆN 14</v>
      </c>
      <c r="V981" t="str">
        <f t="shared" si="232"/>
        <v/>
      </c>
      <c r="W981" s="266"/>
      <c r="X981" s="266"/>
      <c r="Y981" s="266" t="str">
        <f t="shared" si="224"/>
        <v/>
      </c>
      <c r="Z981" s="266"/>
    </row>
    <row r="982" spans="1:26" ht="27" hidden="1" customHeight="1">
      <c r="A982" s="70" t="str">
        <f t="shared" si="220"/>
        <v/>
      </c>
      <c r="B982" s="70" t="str">
        <f t="shared" si="221"/>
        <v/>
      </c>
      <c r="C982" s="204" t="str" cm="1">
        <f t="array" ref="C982">IF(D982="","",
    IF(AND(ISNUMBER(D982), D982=INT(D982)),
        $V$6 &amp; " " &amp; (IFERROR(MAX($Y$12:$Y981), 0) + 1),
        IF(ISNUMBER(SEARCH(".", D982)), "", INDEX($C$12:$C982, MATCH(2, 1/($C$12:$C982 &lt;&gt; ""))))
    )
)</f>
        <v/>
      </c>
      <c r="D982" s="206"/>
      <c r="E982" s="206" t="str">
        <f>IF(AA982 = "", "",
    IF(ISNUMBER(SEARCH("Kiện", C982)),
       " GÓI " &amp; COUNTIF($C$13:C982, "*Kiện*") &amp; "/" &amp; COUNTIF($C$13:$C$1000, "*Kiện*") &amp; " " &amp; AA982,
       AA982)
)</f>
        <v/>
      </c>
      <c r="F982" s="206"/>
      <c r="G982" s="206"/>
      <c r="H982" s="206"/>
      <c r="I982" s="206"/>
      <c r="J982" s="206" t="str">
        <f t="shared" si="223"/>
        <v/>
      </c>
      <c r="K982" s="206" t="str">
        <f t="shared" si="225"/>
        <v/>
      </c>
      <c r="L982" s="206" t="str">
        <f t="shared" si="226"/>
        <v/>
      </c>
      <c r="M982" s="206" t="str">
        <f t="shared" si="227"/>
        <v/>
      </c>
      <c r="N982" s="206" t="str">
        <f t="shared" si="228"/>
        <v/>
      </c>
      <c r="O982" s="206" t="str">
        <f t="shared" si="229"/>
        <v/>
      </c>
      <c r="P982" s="84" t="str">
        <f t="shared" si="230"/>
        <v/>
      </c>
      <c r="Q982" s="205"/>
      <c r="R982" s="70" t="str">
        <f>IF(S982="IN",'BOM_Phan II'!$Y$3,"")</f>
        <v/>
      </c>
      <c r="S982" s="69" t="str">
        <f t="shared" si="222"/>
        <v/>
      </c>
      <c r="T982">
        <f t="shared" si="231"/>
        <v>3</v>
      </c>
      <c r="U982" t="str">
        <f t="shared" si="219"/>
        <v>KIỆN 14</v>
      </c>
      <c r="V982" t="str">
        <f t="shared" si="232"/>
        <v/>
      </c>
      <c r="W982" s="266"/>
      <c r="X982" s="266"/>
      <c r="Y982" s="266" t="str">
        <f t="shared" si="224"/>
        <v/>
      </c>
      <c r="Z982" s="266"/>
    </row>
    <row r="983" spans="1:26" ht="27" hidden="1" customHeight="1">
      <c r="A983" s="70" t="str">
        <f t="shared" si="220"/>
        <v/>
      </c>
      <c r="B983" s="70" t="str">
        <f t="shared" si="221"/>
        <v/>
      </c>
      <c r="C983" s="204" t="str" cm="1">
        <f t="array" ref="C983">IF(D983="","",
    IF(AND(ISNUMBER(D983), D983=INT(D983)),
        $V$6 &amp; " " &amp; (IFERROR(MAX($Y$12:$Y982), 0) + 1),
        IF(ISNUMBER(SEARCH(".", D983)), "", INDEX($C$12:$C983, MATCH(2, 1/($C$12:$C983 &lt;&gt; ""))))
    )
)</f>
        <v/>
      </c>
      <c r="D983" s="206"/>
      <c r="E983" s="206" t="str">
        <f>IF(AA983 = "", "",
    IF(ISNUMBER(SEARCH("Kiện", C983)),
       " GÓI " &amp; COUNTIF($C$13:C983, "*Kiện*") &amp; "/" &amp; COUNTIF($C$13:$C$1000, "*Kiện*") &amp; " " &amp; AA983,
       AA983)
)</f>
        <v/>
      </c>
      <c r="F983" s="206"/>
      <c r="G983" s="206"/>
      <c r="H983" s="206"/>
      <c r="I983" s="206"/>
      <c r="J983" s="206" t="str">
        <f t="shared" si="223"/>
        <v/>
      </c>
      <c r="K983" s="206" t="str">
        <f t="shared" si="225"/>
        <v/>
      </c>
      <c r="L983" s="206" t="str">
        <f t="shared" si="226"/>
        <v/>
      </c>
      <c r="M983" s="206" t="str">
        <f t="shared" si="227"/>
        <v/>
      </c>
      <c r="N983" s="206" t="str">
        <f t="shared" si="228"/>
        <v/>
      </c>
      <c r="O983" s="206" t="str">
        <f t="shared" si="229"/>
        <v/>
      </c>
      <c r="P983" s="84" t="str">
        <f t="shared" si="230"/>
        <v/>
      </c>
      <c r="Q983" s="205"/>
      <c r="R983" s="70" t="str">
        <f>IF(S983="IN",'BOM_Phan II'!$Y$3,"")</f>
        <v/>
      </c>
      <c r="S983" s="69" t="str">
        <f t="shared" si="222"/>
        <v/>
      </c>
      <c r="T983">
        <f t="shared" si="231"/>
        <v>3</v>
      </c>
      <c r="U983" t="str">
        <f t="shared" si="219"/>
        <v>KIỆN 14</v>
      </c>
      <c r="V983" t="str">
        <f t="shared" si="232"/>
        <v/>
      </c>
      <c r="W983" s="266"/>
      <c r="X983" s="266"/>
      <c r="Y983" s="266" t="str">
        <f t="shared" si="224"/>
        <v/>
      </c>
      <c r="Z983" s="266"/>
    </row>
    <row r="984" spans="1:26" ht="27" hidden="1" customHeight="1">
      <c r="A984" s="70" t="str">
        <f t="shared" si="220"/>
        <v/>
      </c>
      <c r="B984" s="70" t="str">
        <f t="shared" si="221"/>
        <v/>
      </c>
      <c r="C984" s="204" t="str" cm="1">
        <f t="array" ref="C984">IF(D984="","",
    IF(AND(ISNUMBER(D984), D984=INT(D984)),
        $V$6 &amp; " " &amp; (IFERROR(MAX($Y$12:$Y983), 0) + 1),
        IF(ISNUMBER(SEARCH(".", D984)), "", INDEX($C$12:$C984, MATCH(2, 1/($C$12:$C984 &lt;&gt; ""))))
    )
)</f>
        <v/>
      </c>
      <c r="D984" s="206"/>
      <c r="E984" s="206" t="str">
        <f>IF(AA984 = "", "",
    IF(ISNUMBER(SEARCH("Kiện", C984)),
       " GÓI " &amp; COUNTIF($C$13:C984, "*Kiện*") &amp; "/" &amp; COUNTIF($C$13:$C$1000, "*Kiện*") &amp; " " &amp; AA984,
       AA984)
)</f>
        <v/>
      </c>
      <c r="F984" s="206"/>
      <c r="G984" s="206"/>
      <c r="H984" s="206"/>
      <c r="I984" s="206"/>
      <c r="J984" s="206" t="str">
        <f t="shared" si="223"/>
        <v/>
      </c>
      <c r="K984" s="206" t="str">
        <f t="shared" si="225"/>
        <v/>
      </c>
      <c r="L984" s="206" t="str">
        <f t="shared" si="226"/>
        <v/>
      </c>
      <c r="M984" s="206" t="str">
        <f t="shared" si="227"/>
        <v/>
      </c>
      <c r="N984" s="206" t="str">
        <f t="shared" si="228"/>
        <v/>
      </c>
      <c r="O984" s="206" t="str">
        <f t="shared" si="229"/>
        <v/>
      </c>
      <c r="P984" s="84" t="str">
        <f t="shared" si="230"/>
        <v/>
      </c>
      <c r="Q984" s="205"/>
      <c r="R984" s="70" t="str">
        <f>IF(S984="IN",'BOM_Phan II'!$Y$3,"")</f>
        <v/>
      </c>
      <c r="S984" s="69" t="str">
        <f t="shared" si="222"/>
        <v/>
      </c>
      <c r="T984">
        <f t="shared" si="231"/>
        <v>3</v>
      </c>
      <c r="U984" t="str">
        <f t="shared" si="219"/>
        <v>KIỆN 14</v>
      </c>
      <c r="V984" t="str">
        <f t="shared" si="232"/>
        <v/>
      </c>
      <c r="W984" s="266"/>
      <c r="X984" s="266"/>
      <c r="Y984" s="266" t="str">
        <f t="shared" si="224"/>
        <v/>
      </c>
      <c r="Z984" s="266"/>
    </row>
    <row r="985" spans="1:26" ht="27" hidden="1" customHeight="1">
      <c r="A985" s="70" t="str">
        <f t="shared" si="220"/>
        <v/>
      </c>
      <c r="B985" s="70" t="str">
        <f t="shared" si="221"/>
        <v/>
      </c>
      <c r="C985" s="204" t="str" cm="1">
        <f t="array" ref="C985">IF(D985="","",
    IF(AND(ISNUMBER(D985), D985=INT(D985)),
        $V$6 &amp; " " &amp; (IFERROR(MAX($Y$12:$Y984), 0) + 1),
        IF(ISNUMBER(SEARCH(".", D985)), "", INDEX($C$12:$C985, MATCH(2, 1/($C$12:$C985 &lt;&gt; ""))))
    )
)</f>
        <v/>
      </c>
      <c r="D985" s="206"/>
      <c r="E985" s="206" t="str">
        <f>IF(AA985 = "", "",
    IF(ISNUMBER(SEARCH("Kiện", C985)),
       " GÓI " &amp; COUNTIF($C$13:C985, "*Kiện*") &amp; "/" &amp; COUNTIF($C$13:$C$1000, "*Kiện*") &amp; " " &amp; AA985,
       AA985)
)</f>
        <v/>
      </c>
      <c r="F985" s="206"/>
      <c r="G985" s="206"/>
      <c r="H985" s="206"/>
      <c r="I985" s="206"/>
      <c r="J985" s="206" t="str">
        <f t="shared" si="223"/>
        <v/>
      </c>
      <c r="K985" s="206" t="str">
        <f t="shared" si="225"/>
        <v/>
      </c>
      <c r="L985" s="206" t="str">
        <f t="shared" si="226"/>
        <v/>
      </c>
      <c r="M985" s="206" t="str">
        <f t="shared" si="227"/>
        <v/>
      </c>
      <c r="N985" s="206" t="str">
        <f t="shared" si="228"/>
        <v/>
      </c>
      <c r="O985" s="206" t="str">
        <f t="shared" si="229"/>
        <v/>
      </c>
      <c r="P985" s="84" t="str">
        <f t="shared" si="230"/>
        <v/>
      </c>
      <c r="Q985" s="205"/>
      <c r="R985" s="70" t="str">
        <f>IF(S985="IN",'BOM_Phan II'!$Y$3,"")</f>
        <v/>
      </c>
      <c r="S985" s="69" t="str">
        <f t="shared" si="222"/>
        <v/>
      </c>
      <c r="T985">
        <f t="shared" si="231"/>
        <v>3</v>
      </c>
      <c r="U985" t="str">
        <f t="shared" si="219"/>
        <v>KIỆN 14</v>
      </c>
      <c r="V985" t="str">
        <f t="shared" si="232"/>
        <v/>
      </c>
      <c r="W985" s="266"/>
      <c r="X985" s="266"/>
      <c r="Y985" s="266" t="str">
        <f t="shared" si="224"/>
        <v/>
      </c>
      <c r="Z985" s="266"/>
    </row>
    <row r="986" spans="1:26" ht="27" hidden="1" customHeight="1">
      <c r="A986" s="70" t="str">
        <f t="shared" si="220"/>
        <v/>
      </c>
      <c r="B986" s="70" t="str">
        <f t="shared" si="221"/>
        <v/>
      </c>
      <c r="C986" s="204" t="str" cm="1">
        <f t="array" ref="C986">IF(D986="","",
    IF(AND(ISNUMBER(D986), D986=INT(D986)),
        $V$6 &amp; " " &amp; (IFERROR(MAX($Y$12:$Y985), 0) + 1),
        IF(ISNUMBER(SEARCH(".", D986)), "", INDEX($C$12:$C986, MATCH(2, 1/($C$12:$C986 &lt;&gt; ""))))
    )
)</f>
        <v/>
      </c>
      <c r="D986" s="206"/>
      <c r="E986" s="206" t="str">
        <f>IF(AA986 = "", "",
    IF(ISNUMBER(SEARCH("Kiện", C986)),
       " GÓI " &amp; COUNTIF($C$13:C986, "*Kiện*") &amp; "/" &amp; COUNTIF($C$13:$C$1000, "*Kiện*") &amp; " " &amp; AA986,
       AA986)
)</f>
        <v/>
      </c>
      <c r="F986" s="206"/>
      <c r="G986" s="206"/>
      <c r="H986" s="206"/>
      <c r="I986" s="206"/>
      <c r="J986" s="206" t="str">
        <f t="shared" si="223"/>
        <v/>
      </c>
      <c r="K986" s="206" t="str">
        <f t="shared" si="225"/>
        <v/>
      </c>
      <c r="L986" s="206" t="str">
        <f t="shared" si="226"/>
        <v/>
      </c>
      <c r="M986" s="206" t="str">
        <f t="shared" si="227"/>
        <v/>
      </c>
      <c r="N986" s="206" t="str">
        <f t="shared" si="228"/>
        <v/>
      </c>
      <c r="O986" s="206" t="str">
        <f t="shared" si="229"/>
        <v/>
      </c>
      <c r="P986" s="84" t="str">
        <f t="shared" si="230"/>
        <v/>
      </c>
      <c r="Q986" s="205"/>
      <c r="R986" s="70" t="str">
        <f>IF(S986="IN",'BOM_Phan II'!$Y$3,"")</f>
        <v/>
      </c>
      <c r="S986" s="69" t="str">
        <f t="shared" si="222"/>
        <v/>
      </c>
      <c r="T986">
        <f t="shared" si="231"/>
        <v>3</v>
      </c>
      <c r="U986" t="str">
        <f t="shared" si="219"/>
        <v>KIỆN 14</v>
      </c>
      <c r="V986" t="str">
        <f t="shared" si="232"/>
        <v/>
      </c>
      <c r="W986" s="266"/>
      <c r="X986" s="266"/>
      <c r="Y986" s="266" t="str">
        <f t="shared" si="224"/>
        <v/>
      </c>
      <c r="Z986" s="266"/>
    </row>
    <row r="987" spans="1:26" ht="27" hidden="1" customHeight="1">
      <c r="A987" s="70" t="str">
        <f t="shared" si="220"/>
        <v/>
      </c>
      <c r="B987" s="70" t="str">
        <f t="shared" si="221"/>
        <v/>
      </c>
      <c r="C987" s="204" t="str" cm="1">
        <f t="array" ref="C987">IF(D987="","",
    IF(AND(ISNUMBER(D987), D987=INT(D987)),
        $V$6 &amp; " " &amp; (IFERROR(MAX($Y$12:$Y986), 0) + 1),
        IF(ISNUMBER(SEARCH(".", D987)), "", INDEX($C$12:$C987, MATCH(2, 1/($C$12:$C987 &lt;&gt; ""))))
    )
)</f>
        <v/>
      </c>
      <c r="D987" s="206"/>
      <c r="E987" s="206" t="str">
        <f>IF(AA987 = "", "",
    IF(ISNUMBER(SEARCH("Kiện", C987)),
       " GÓI " &amp; COUNTIF($C$13:C987, "*Kiện*") &amp; "/" &amp; COUNTIF($C$13:$C$1000, "*Kiện*") &amp; " " &amp; AA987,
       AA987)
)</f>
        <v/>
      </c>
      <c r="F987" s="206"/>
      <c r="G987" s="206"/>
      <c r="H987" s="206"/>
      <c r="I987" s="206"/>
      <c r="J987" s="206" t="str">
        <f t="shared" si="223"/>
        <v/>
      </c>
      <c r="K987" s="206" t="str">
        <f t="shared" si="225"/>
        <v/>
      </c>
      <c r="L987" s="206" t="str">
        <f t="shared" si="226"/>
        <v/>
      </c>
      <c r="M987" s="206" t="str">
        <f t="shared" si="227"/>
        <v/>
      </c>
      <c r="N987" s="206" t="str">
        <f t="shared" si="228"/>
        <v/>
      </c>
      <c r="O987" s="206" t="str">
        <f t="shared" si="229"/>
        <v/>
      </c>
      <c r="P987" s="84" t="str">
        <f t="shared" si="230"/>
        <v/>
      </c>
      <c r="Q987" s="205"/>
      <c r="R987" s="70" t="str">
        <f>IF(S987="IN",'BOM_Phan II'!$Y$3,"")</f>
        <v/>
      </c>
      <c r="S987" s="69" t="str">
        <f t="shared" si="222"/>
        <v/>
      </c>
      <c r="T987">
        <f t="shared" si="231"/>
        <v>3</v>
      </c>
      <c r="U987" t="str">
        <f t="shared" si="219"/>
        <v>KIỆN 14</v>
      </c>
      <c r="V987" t="str">
        <f t="shared" si="232"/>
        <v/>
      </c>
      <c r="W987" s="266"/>
      <c r="X987" s="266"/>
      <c r="Y987" s="266" t="str">
        <f t="shared" si="224"/>
        <v/>
      </c>
      <c r="Z987" s="266"/>
    </row>
    <row r="988" spans="1:26" ht="27" hidden="1" customHeight="1">
      <c r="A988" s="70" t="str">
        <f t="shared" si="220"/>
        <v/>
      </c>
      <c r="B988" s="70" t="str">
        <f t="shared" si="221"/>
        <v/>
      </c>
      <c r="C988" s="204" t="str" cm="1">
        <f t="array" ref="C988">IF(D988="","",
    IF(AND(ISNUMBER(D988), D988=INT(D988)),
        $V$6 &amp; " " &amp; (IFERROR(MAX($Y$12:$Y987), 0) + 1),
        IF(ISNUMBER(SEARCH(".", D988)), "", INDEX($C$12:$C988, MATCH(2, 1/($C$12:$C988 &lt;&gt; ""))))
    )
)</f>
        <v/>
      </c>
      <c r="D988" s="206"/>
      <c r="E988" s="206" t="str">
        <f>IF(AA988 = "", "",
    IF(ISNUMBER(SEARCH("Kiện", C988)),
       " GÓI " &amp; COUNTIF($C$13:C988, "*Kiện*") &amp; "/" &amp; COUNTIF($C$13:$C$1000, "*Kiện*") &amp; " " &amp; AA988,
       AA988)
)</f>
        <v/>
      </c>
      <c r="F988" s="206"/>
      <c r="G988" s="206"/>
      <c r="H988" s="206"/>
      <c r="I988" s="206"/>
      <c r="J988" s="206" t="str">
        <f t="shared" si="223"/>
        <v/>
      </c>
      <c r="K988" s="206" t="str">
        <f t="shared" si="225"/>
        <v/>
      </c>
      <c r="L988" s="206" t="str">
        <f t="shared" si="226"/>
        <v/>
      </c>
      <c r="M988" s="206" t="str">
        <f t="shared" si="227"/>
        <v/>
      </c>
      <c r="N988" s="206" t="str">
        <f t="shared" si="228"/>
        <v/>
      </c>
      <c r="O988" s="206" t="str">
        <f t="shared" si="229"/>
        <v/>
      </c>
      <c r="P988" s="84" t="str">
        <f t="shared" si="230"/>
        <v/>
      </c>
      <c r="Q988" s="205"/>
      <c r="R988" s="70" t="str">
        <f>IF(S988="IN",'BOM_Phan II'!$Y$3,"")</f>
        <v/>
      </c>
      <c r="S988" s="69" t="str">
        <f t="shared" si="222"/>
        <v/>
      </c>
      <c r="T988">
        <f t="shared" si="231"/>
        <v>3</v>
      </c>
      <c r="U988" t="str">
        <f t="shared" si="219"/>
        <v>KIỆN 14</v>
      </c>
      <c r="V988" t="str">
        <f t="shared" si="232"/>
        <v/>
      </c>
      <c r="W988" s="266"/>
      <c r="X988" s="266"/>
      <c r="Y988" s="266" t="str">
        <f t="shared" si="224"/>
        <v/>
      </c>
      <c r="Z988" s="266"/>
    </row>
    <row r="989" spans="1:26" ht="27" hidden="1" customHeight="1">
      <c r="A989" s="70" t="str">
        <f t="shared" si="220"/>
        <v/>
      </c>
      <c r="B989" s="70" t="str">
        <f t="shared" si="221"/>
        <v/>
      </c>
      <c r="C989" s="204" t="str" cm="1">
        <f t="array" ref="C989">IF(D989="","",
    IF(AND(ISNUMBER(D989), D989=INT(D989)),
        $V$6 &amp; " " &amp; (IFERROR(MAX($Y$12:$Y988), 0) + 1),
        IF(ISNUMBER(SEARCH(".", D989)), "", INDEX($C$12:$C989, MATCH(2, 1/($C$12:$C989 &lt;&gt; ""))))
    )
)</f>
        <v/>
      </c>
      <c r="D989" s="206"/>
      <c r="E989" s="206" t="str">
        <f>IF(AA989 = "", "",
    IF(ISNUMBER(SEARCH("Kiện", C989)),
       " GÓI " &amp; COUNTIF($C$13:C989, "*Kiện*") &amp; "/" &amp; COUNTIF($C$13:$C$1000, "*Kiện*") &amp; " " &amp; AA989,
       AA989)
)</f>
        <v/>
      </c>
      <c r="F989" s="206"/>
      <c r="G989" s="206"/>
      <c r="H989" s="206"/>
      <c r="I989" s="206"/>
      <c r="J989" s="206" t="str">
        <f t="shared" si="223"/>
        <v/>
      </c>
      <c r="K989" s="206" t="str">
        <f t="shared" si="225"/>
        <v/>
      </c>
      <c r="L989" s="206" t="str">
        <f t="shared" si="226"/>
        <v/>
      </c>
      <c r="M989" s="206" t="str">
        <f t="shared" si="227"/>
        <v/>
      </c>
      <c r="N989" s="206" t="str">
        <f t="shared" si="228"/>
        <v/>
      </c>
      <c r="O989" s="206" t="str">
        <f t="shared" si="229"/>
        <v/>
      </c>
      <c r="P989" s="84" t="str">
        <f t="shared" si="230"/>
        <v/>
      </c>
      <c r="Q989" s="205"/>
      <c r="R989" s="70" t="str">
        <f>IF(S989="IN",'BOM_Phan II'!$Y$3,"")</f>
        <v/>
      </c>
      <c r="S989" s="69" t="str">
        <f t="shared" si="222"/>
        <v/>
      </c>
      <c r="T989">
        <f t="shared" si="231"/>
        <v>3</v>
      </c>
      <c r="U989" t="str">
        <f t="shared" si="219"/>
        <v>KIỆN 14</v>
      </c>
      <c r="V989" t="str">
        <f t="shared" si="232"/>
        <v/>
      </c>
      <c r="W989" s="266"/>
      <c r="X989" s="266"/>
      <c r="Y989" s="266" t="str">
        <f t="shared" si="224"/>
        <v/>
      </c>
      <c r="Z989" s="266"/>
    </row>
    <row r="990" spans="1:26" ht="27" hidden="1" customHeight="1">
      <c r="A990" s="70" t="str">
        <f t="shared" si="220"/>
        <v/>
      </c>
      <c r="B990" s="70" t="str">
        <f t="shared" si="221"/>
        <v/>
      </c>
      <c r="C990" s="204" t="str" cm="1">
        <f t="array" ref="C990">IF(D990="","",
    IF(AND(ISNUMBER(D990), D990=INT(D990)),
        $V$6 &amp; " " &amp; (IFERROR(MAX($Y$12:$Y989), 0) + 1),
        IF(ISNUMBER(SEARCH(".", D990)), "", INDEX($C$12:$C990, MATCH(2, 1/($C$12:$C990 &lt;&gt; ""))))
    )
)</f>
        <v/>
      </c>
      <c r="D990" s="206"/>
      <c r="E990" s="206" t="str">
        <f>IF(AA990 = "", "",
    IF(ISNUMBER(SEARCH("Kiện", C990)),
       " GÓI " &amp; COUNTIF($C$13:C990, "*Kiện*") &amp; "/" &amp; COUNTIF($C$13:$C$1000, "*Kiện*") &amp; " " &amp; AA990,
       AA990)
)</f>
        <v/>
      </c>
      <c r="F990" s="206"/>
      <c r="G990" s="206"/>
      <c r="H990" s="206"/>
      <c r="I990" s="206"/>
      <c r="J990" s="206" t="str">
        <f t="shared" si="223"/>
        <v/>
      </c>
      <c r="K990" s="206" t="str">
        <f t="shared" si="225"/>
        <v/>
      </c>
      <c r="L990" s="206" t="str">
        <f t="shared" si="226"/>
        <v/>
      </c>
      <c r="M990" s="206" t="str">
        <f t="shared" si="227"/>
        <v/>
      </c>
      <c r="N990" s="206" t="str">
        <f t="shared" si="228"/>
        <v/>
      </c>
      <c r="O990" s="206" t="str">
        <f t="shared" si="229"/>
        <v/>
      </c>
      <c r="P990" s="84" t="str">
        <f t="shared" si="230"/>
        <v/>
      </c>
      <c r="Q990" s="205"/>
      <c r="R990" s="70" t="str">
        <f>IF(S990="IN",'BOM_Phan II'!$Y$3,"")</f>
        <v/>
      </c>
      <c r="S990" s="69" t="str">
        <f t="shared" si="222"/>
        <v/>
      </c>
      <c r="T990">
        <f t="shared" si="231"/>
        <v>3</v>
      </c>
      <c r="U990" t="str">
        <f t="shared" si="219"/>
        <v>KIỆN 14</v>
      </c>
      <c r="V990" t="str">
        <f t="shared" si="232"/>
        <v/>
      </c>
      <c r="W990" s="266"/>
      <c r="X990" s="266"/>
      <c r="Y990" s="266" t="str">
        <f t="shared" si="224"/>
        <v/>
      </c>
      <c r="Z990" s="266"/>
    </row>
    <row r="991" spans="1:26" ht="27" hidden="1" customHeight="1">
      <c r="A991" s="70" t="str">
        <f t="shared" si="220"/>
        <v/>
      </c>
      <c r="B991" s="70" t="str">
        <f t="shared" si="221"/>
        <v/>
      </c>
      <c r="C991" s="204" t="str" cm="1">
        <f t="array" ref="C991">IF(D991="","",
    IF(AND(ISNUMBER(D991), D991=INT(D991)),
        $V$6 &amp; " " &amp; (IFERROR(MAX($Y$12:$Y990), 0) + 1),
        IF(ISNUMBER(SEARCH(".", D991)), "", INDEX($C$12:$C991, MATCH(2, 1/($C$12:$C991 &lt;&gt; ""))))
    )
)</f>
        <v/>
      </c>
      <c r="D991" s="206"/>
      <c r="E991" s="206" t="str">
        <f>IF(AA991 = "", "",
    IF(ISNUMBER(SEARCH("Kiện", C991)),
       " GÓI " &amp; COUNTIF($C$13:C991, "*Kiện*") &amp; "/" &amp; COUNTIF($C$13:$C$1000, "*Kiện*") &amp; " " &amp; AA991,
       AA991)
)</f>
        <v/>
      </c>
      <c r="F991" s="206"/>
      <c r="G991" s="206"/>
      <c r="H991" s="206"/>
      <c r="I991" s="206"/>
      <c r="J991" s="206" t="str">
        <f t="shared" si="223"/>
        <v/>
      </c>
      <c r="K991" s="206" t="str">
        <f t="shared" si="225"/>
        <v/>
      </c>
      <c r="L991" s="206" t="str">
        <f t="shared" si="226"/>
        <v/>
      </c>
      <c r="M991" s="206" t="str">
        <f t="shared" si="227"/>
        <v/>
      </c>
      <c r="N991" s="206" t="str">
        <f t="shared" si="228"/>
        <v/>
      </c>
      <c r="O991" s="206" t="str">
        <f t="shared" si="229"/>
        <v/>
      </c>
      <c r="P991" s="84" t="str">
        <f t="shared" si="230"/>
        <v/>
      </c>
      <c r="Q991" s="205"/>
      <c r="R991" s="70" t="str">
        <f>IF(S991="IN",'BOM_Phan II'!$Y$3,"")</f>
        <v/>
      </c>
      <c r="S991" s="69" t="str">
        <f t="shared" si="222"/>
        <v/>
      </c>
      <c r="T991">
        <f t="shared" si="231"/>
        <v>3</v>
      </c>
      <c r="U991" t="str">
        <f t="shared" si="219"/>
        <v>KIỆN 14</v>
      </c>
      <c r="V991" t="str">
        <f t="shared" si="232"/>
        <v/>
      </c>
      <c r="W991" s="266"/>
      <c r="X991" s="266"/>
      <c r="Y991" s="266" t="str">
        <f t="shared" si="224"/>
        <v/>
      </c>
      <c r="Z991" s="266"/>
    </row>
    <row r="992" spans="1:26" ht="27" hidden="1" customHeight="1">
      <c r="A992" s="70" t="str">
        <f t="shared" si="220"/>
        <v/>
      </c>
      <c r="B992" s="70" t="str">
        <f t="shared" si="221"/>
        <v/>
      </c>
      <c r="C992" s="204" t="str" cm="1">
        <f t="array" ref="C992">IF(D992="","",
    IF(AND(ISNUMBER(D992), D992=INT(D992)),
        $V$6 &amp; " " &amp; (IFERROR(MAX($Y$12:$Y991), 0) + 1),
        IF(ISNUMBER(SEARCH(".", D992)), "", INDEX($C$12:$C992, MATCH(2, 1/($C$12:$C992 &lt;&gt; ""))))
    )
)</f>
        <v/>
      </c>
      <c r="D992" s="206"/>
      <c r="E992" s="206" t="str">
        <f>IF(AA992 = "", "",
    IF(ISNUMBER(SEARCH("Kiện", C992)),
       " GÓI " &amp; COUNTIF($C$13:C992, "*Kiện*") &amp; "/" &amp; COUNTIF($C$13:$C$1000, "*Kiện*") &amp; " " &amp; AA992,
       AA992)
)</f>
        <v/>
      </c>
      <c r="F992" s="206"/>
      <c r="G992" s="206"/>
      <c r="H992" s="206"/>
      <c r="I992" s="206"/>
      <c r="J992" s="206" t="str">
        <f t="shared" si="223"/>
        <v/>
      </c>
      <c r="K992" s="206" t="str">
        <f t="shared" si="225"/>
        <v/>
      </c>
      <c r="L992" s="206" t="str">
        <f t="shared" si="226"/>
        <v/>
      </c>
      <c r="M992" s="206" t="str">
        <f t="shared" si="227"/>
        <v/>
      </c>
      <c r="N992" s="206" t="str">
        <f t="shared" si="228"/>
        <v/>
      </c>
      <c r="O992" s="206" t="str">
        <f t="shared" si="229"/>
        <v/>
      </c>
      <c r="P992" s="84" t="str">
        <f t="shared" si="230"/>
        <v/>
      </c>
      <c r="Q992" s="205"/>
      <c r="R992" s="70" t="str">
        <f>IF(S992="IN",'BOM_Phan II'!$Y$3,"")</f>
        <v/>
      </c>
      <c r="S992" s="69" t="str">
        <f t="shared" si="222"/>
        <v/>
      </c>
      <c r="T992">
        <f t="shared" si="231"/>
        <v>3</v>
      </c>
      <c r="U992" t="str">
        <f t="shared" si="219"/>
        <v>KIỆN 14</v>
      </c>
      <c r="V992" t="str">
        <f t="shared" si="232"/>
        <v/>
      </c>
      <c r="W992" s="266"/>
      <c r="X992" s="266"/>
      <c r="Y992" s="266" t="str">
        <f t="shared" si="224"/>
        <v/>
      </c>
      <c r="Z992" s="266"/>
    </row>
    <row r="993" spans="1:26" ht="27" hidden="1" customHeight="1">
      <c r="A993" s="70" t="str">
        <f t="shared" si="220"/>
        <v/>
      </c>
      <c r="B993" s="70" t="str">
        <f t="shared" si="221"/>
        <v/>
      </c>
      <c r="C993" s="204" t="str" cm="1">
        <f t="array" ref="C993">IF(D993="","",
    IF(AND(ISNUMBER(D993), D993=INT(D993)),
        $V$6 &amp; " " &amp; (IFERROR(MAX($Y$12:$Y992), 0) + 1),
        IF(ISNUMBER(SEARCH(".", D993)), "", INDEX($C$12:$C993, MATCH(2, 1/($C$12:$C993 &lt;&gt; ""))))
    )
)</f>
        <v/>
      </c>
      <c r="D993" s="206"/>
      <c r="E993" s="206" t="str">
        <f>IF(AA993 = "", "",
    IF(ISNUMBER(SEARCH("Kiện", C993)),
       " GÓI " &amp; COUNTIF($C$13:C993, "*Kiện*") &amp; "/" &amp; COUNTIF($C$13:$C$1000, "*Kiện*") &amp; " " &amp; AA993,
       AA993)
)</f>
        <v/>
      </c>
      <c r="F993" s="206"/>
      <c r="G993" s="206"/>
      <c r="H993" s="206"/>
      <c r="I993" s="206"/>
      <c r="J993" s="206" t="str">
        <f t="shared" si="223"/>
        <v/>
      </c>
      <c r="K993" s="206" t="str">
        <f t="shared" si="225"/>
        <v/>
      </c>
      <c r="L993" s="206" t="str">
        <f t="shared" si="226"/>
        <v/>
      </c>
      <c r="M993" s="206" t="str">
        <f t="shared" si="227"/>
        <v/>
      </c>
      <c r="N993" s="206" t="str">
        <f t="shared" si="228"/>
        <v/>
      </c>
      <c r="O993" s="206" t="str">
        <f t="shared" si="229"/>
        <v/>
      </c>
      <c r="P993" s="84" t="str">
        <f t="shared" si="230"/>
        <v/>
      </c>
      <c r="Q993" s="205"/>
      <c r="R993" s="70" t="str">
        <f>IF(S993="IN",'BOM_Phan II'!$Y$3,"")</f>
        <v/>
      </c>
      <c r="S993" s="69" t="str">
        <f t="shared" si="222"/>
        <v/>
      </c>
      <c r="T993">
        <f t="shared" si="231"/>
        <v>3</v>
      </c>
      <c r="U993" t="str">
        <f t="shared" si="219"/>
        <v>KIỆN 14</v>
      </c>
      <c r="V993" t="str">
        <f t="shared" si="232"/>
        <v/>
      </c>
      <c r="W993" s="266"/>
      <c r="X993" s="266"/>
      <c r="Y993" s="266" t="str">
        <f t="shared" si="224"/>
        <v/>
      </c>
      <c r="Z993" s="266"/>
    </row>
    <row r="994" spans="1:26" ht="27" hidden="1" customHeight="1">
      <c r="A994" s="70" t="str">
        <f t="shared" si="220"/>
        <v/>
      </c>
      <c r="B994" s="70" t="str">
        <f t="shared" si="221"/>
        <v/>
      </c>
      <c r="C994" s="204" t="str" cm="1">
        <f t="array" ref="C994">IF(D994="","",
    IF(AND(ISNUMBER(D994), D994=INT(D994)),
        $V$6 &amp; " " &amp; (IFERROR(MAX($Y$12:$Y993), 0) + 1),
        IF(ISNUMBER(SEARCH(".", D994)), "", INDEX($C$12:$C994, MATCH(2, 1/($C$12:$C994 &lt;&gt; ""))))
    )
)</f>
        <v/>
      </c>
      <c r="D994" s="206"/>
      <c r="E994" s="206" t="str">
        <f>IF(AA994 = "", "",
    IF(ISNUMBER(SEARCH("Kiện", C994)),
       " GÓI " &amp; COUNTIF($C$13:C994, "*Kiện*") &amp; "/" &amp; COUNTIF($C$13:$C$1000, "*Kiện*") &amp; " " &amp; AA994,
       AA994)
)</f>
        <v/>
      </c>
      <c r="F994" s="206"/>
      <c r="G994" s="206"/>
      <c r="H994" s="206"/>
      <c r="I994" s="206"/>
      <c r="J994" s="206" t="str">
        <f t="shared" si="223"/>
        <v/>
      </c>
      <c r="K994" s="206" t="str">
        <f t="shared" si="225"/>
        <v/>
      </c>
      <c r="L994" s="206" t="str">
        <f t="shared" si="226"/>
        <v/>
      </c>
      <c r="M994" s="206" t="str">
        <f t="shared" si="227"/>
        <v/>
      </c>
      <c r="N994" s="206" t="str">
        <f t="shared" si="228"/>
        <v/>
      </c>
      <c r="O994" s="206" t="str">
        <f t="shared" si="229"/>
        <v/>
      </c>
      <c r="P994" s="84" t="str">
        <f t="shared" si="230"/>
        <v/>
      </c>
      <c r="Q994" s="205"/>
      <c r="R994" s="70" t="str">
        <f>IF(S994="IN",'BOM_Phan II'!$Y$3,"")</f>
        <v/>
      </c>
      <c r="S994" s="69" t="str">
        <f t="shared" si="222"/>
        <v/>
      </c>
      <c r="T994">
        <f t="shared" si="231"/>
        <v>3</v>
      </c>
      <c r="U994" t="str">
        <f t="shared" si="219"/>
        <v>KIỆN 14</v>
      </c>
      <c r="V994" t="str">
        <f t="shared" si="232"/>
        <v/>
      </c>
      <c r="W994" s="266"/>
      <c r="X994" s="266"/>
      <c r="Y994" s="266" t="str">
        <f t="shared" si="224"/>
        <v/>
      </c>
      <c r="Z994" s="266"/>
    </row>
    <row r="995" spans="1:26" ht="27" hidden="1" customHeight="1">
      <c r="A995" s="70" t="str">
        <f t="shared" si="220"/>
        <v/>
      </c>
      <c r="B995" s="70" t="str">
        <f t="shared" si="221"/>
        <v/>
      </c>
      <c r="C995" s="204" t="str" cm="1">
        <f t="array" ref="C995">IF(D995="","",
    IF(AND(ISNUMBER(D995), D995=INT(D995)),
        $V$6 &amp; " " &amp; (IFERROR(MAX($Y$12:$Y994), 0) + 1),
        IF(ISNUMBER(SEARCH(".", D995)), "", INDEX($C$12:$C995, MATCH(2, 1/($C$12:$C995 &lt;&gt; ""))))
    )
)</f>
        <v/>
      </c>
      <c r="D995" s="206"/>
      <c r="E995" s="206" t="str">
        <f>IF(AA995 = "", "",
    IF(ISNUMBER(SEARCH("Kiện", C995)),
       " GÓI " &amp; COUNTIF($C$13:C995, "*Kiện*") &amp; "/" &amp; COUNTIF($C$13:$C$1000, "*Kiện*") &amp; " " &amp; AA995,
       AA995)
)</f>
        <v/>
      </c>
      <c r="F995" s="206"/>
      <c r="G995" s="206"/>
      <c r="H995" s="206"/>
      <c r="I995" s="206"/>
      <c r="J995" s="206" t="str">
        <f t="shared" si="223"/>
        <v/>
      </c>
      <c r="K995" s="206" t="str">
        <f t="shared" si="225"/>
        <v/>
      </c>
      <c r="L995" s="206" t="str">
        <f t="shared" si="226"/>
        <v/>
      </c>
      <c r="M995" s="206" t="str">
        <f t="shared" si="227"/>
        <v/>
      </c>
      <c r="N995" s="206" t="str">
        <f t="shared" si="228"/>
        <v/>
      </c>
      <c r="O995" s="206" t="str">
        <f t="shared" si="229"/>
        <v/>
      </c>
      <c r="P995" s="84" t="str">
        <f t="shared" si="230"/>
        <v/>
      </c>
      <c r="Q995" s="205"/>
      <c r="R995" s="70" t="str">
        <f>IF(S995="IN",'BOM_Phan II'!$Y$3,"")</f>
        <v/>
      </c>
      <c r="S995" s="69" t="str">
        <f t="shared" si="222"/>
        <v/>
      </c>
      <c r="T995">
        <f t="shared" si="231"/>
        <v>3</v>
      </c>
      <c r="U995" t="str">
        <f t="shared" si="219"/>
        <v>KIỆN 14</v>
      </c>
      <c r="V995" t="str">
        <f t="shared" si="232"/>
        <v/>
      </c>
      <c r="W995" s="266"/>
      <c r="X995" s="266"/>
      <c r="Y995" s="266" t="str">
        <f t="shared" si="224"/>
        <v/>
      </c>
      <c r="Z995" s="266"/>
    </row>
    <row r="996" spans="1:26" ht="27" hidden="1" customHeight="1">
      <c r="A996" s="70" t="str">
        <f t="shared" si="220"/>
        <v/>
      </c>
      <c r="B996" s="70" t="str">
        <f t="shared" si="221"/>
        <v/>
      </c>
      <c r="C996" s="204" t="str" cm="1">
        <f t="array" ref="C996">IF(D996="","",
    IF(AND(ISNUMBER(D996), D996=INT(D996)),
        $V$6 &amp; " " &amp; (IFERROR(MAX($Y$12:$Y995), 0) + 1),
        IF(ISNUMBER(SEARCH(".", D996)), "", INDEX($C$12:$C996, MATCH(2, 1/($C$12:$C996 &lt;&gt; ""))))
    )
)</f>
        <v/>
      </c>
      <c r="D996" s="206"/>
      <c r="E996" s="206" t="str">
        <f>IF(AA996 = "", "",
    IF(ISNUMBER(SEARCH("Kiện", C996)),
       " GÓI " &amp; COUNTIF($C$13:C996, "*Kiện*") &amp; "/" &amp; COUNTIF($C$13:$C$1000, "*Kiện*") &amp; " " &amp; AA996,
       AA996)
)</f>
        <v/>
      </c>
      <c r="F996" s="206"/>
      <c r="G996" s="206"/>
      <c r="H996" s="206"/>
      <c r="I996" s="206"/>
      <c r="J996" s="206" t="str">
        <f t="shared" si="223"/>
        <v/>
      </c>
      <c r="K996" s="206" t="str">
        <f t="shared" si="225"/>
        <v/>
      </c>
      <c r="L996" s="206" t="str">
        <f t="shared" si="226"/>
        <v/>
      </c>
      <c r="M996" s="206" t="str">
        <f t="shared" si="227"/>
        <v/>
      </c>
      <c r="N996" s="206" t="str">
        <f t="shared" si="228"/>
        <v/>
      </c>
      <c r="O996" s="206" t="str">
        <f t="shared" si="229"/>
        <v/>
      </c>
      <c r="P996" s="84" t="str">
        <f t="shared" si="230"/>
        <v/>
      </c>
      <c r="Q996" s="205"/>
      <c r="R996" s="70" t="str">
        <f>IF(S996="IN",'BOM_Phan II'!$Y$3,"")</f>
        <v/>
      </c>
      <c r="S996" s="69" t="str">
        <f t="shared" si="222"/>
        <v/>
      </c>
      <c r="T996">
        <f t="shared" si="231"/>
        <v>3</v>
      </c>
      <c r="U996" t="str">
        <f t="shared" si="219"/>
        <v>KIỆN 14</v>
      </c>
      <c r="V996" t="str">
        <f t="shared" si="232"/>
        <v/>
      </c>
      <c r="W996" s="266"/>
      <c r="X996" s="266"/>
      <c r="Y996" s="266" t="str">
        <f t="shared" si="224"/>
        <v/>
      </c>
      <c r="Z996" s="266"/>
    </row>
    <row r="997" spans="1:26" ht="27" hidden="1" customHeight="1">
      <c r="A997" s="70" t="str">
        <f t="shared" si="220"/>
        <v/>
      </c>
      <c r="B997" s="70" t="str">
        <f t="shared" si="221"/>
        <v/>
      </c>
      <c r="C997" s="204" t="str" cm="1">
        <f t="array" ref="C997">IF(D997="","",
    IF(AND(ISNUMBER(D997), D997=INT(D997)),
        $V$6 &amp; " " &amp; (IFERROR(MAX($Y$12:$Y996), 0) + 1),
        IF(ISNUMBER(SEARCH(".", D997)), "", INDEX($C$12:$C997, MATCH(2, 1/($C$12:$C997 &lt;&gt; ""))))
    )
)</f>
        <v/>
      </c>
      <c r="D997" s="206"/>
      <c r="E997" s="206" t="str">
        <f>IF(AA997 = "", "",
    IF(ISNUMBER(SEARCH("Kiện", C997)),
       " GÓI " &amp; COUNTIF($C$13:C997, "*Kiện*") &amp; "/" &amp; COUNTIF($C$13:$C$1000, "*Kiện*") &amp; " " &amp; AA997,
       AA997)
)</f>
        <v/>
      </c>
      <c r="F997" s="206"/>
      <c r="G997" s="206"/>
      <c r="H997" s="206"/>
      <c r="I997" s="206"/>
      <c r="J997" s="206" t="str">
        <f t="shared" si="223"/>
        <v/>
      </c>
      <c r="K997" s="206" t="str">
        <f t="shared" si="225"/>
        <v/>
      </c>
      <c r="L997" s="206" t="str">
        <f t="shared" si="226"/>
        <v/>
      </c>
      <c r="M997" s="206" t="str">
        <f t="shared" si="227"/>
        <v/>
      </c>
      <c r="N997" s="206" t="str">
        <f t="shared" si="228"/>
        <v/>
      </c>
      <c r="O997" s="206" t="str">
        <f t="shared" si="229"/>
        <v/>
      </c>
      <c r="P997" s="84" t="str">
        <f t="shared" si="230"/>
        <v/>
      </c>
      <c r="Q997" s="205"/>
      <c r="R997" s="70" t="str">
        <f>IF(S997="IN",'BOM_Phan II'!$Y$3,"")</f>
        <v/>
      </c>
      <c r="S997" s="69" t="str">
        <f t="shared" si="222"/>
        <v/>
      </c>
      <c r="T997">
        <f t="shared" si="231"/>
        <v>3</v>
      </c>
      <c r="U997" t="str">
        <f t="shared" si="219"/>
        <v>KIỆN 14</v>
      </c>
      <c r="V997" t="str">
        <f t="shared" si="232"/>
        <v/>
      </c>
      <c r="W997" s="266"/>
      <c r="X997" s="266"/>
      <c r="Y997" s="266" t="str">
        <f t="shared" si="224"/>
        <v/>
      </c>
      <c r="Z997" s="266"/>
    </row>
    <row r="998" spans="1:26" ht="27" hidden="1" customHeight="1">
      <c r="A998" s="70" t="str">
        <f t="shared" si="220"/>
        <v/>
      </c>
      <c r="B998" s="70" t="str">
        <f t="shared" si="221"/>
        <v/>
      </c>
      <c r="C998" s="204" t="str" cm="1">
        <f t="array" ref="C998">IF(D998="","",
    IF(AND(ISNUMBER(D998), D998=INT(D998)),
        $V$6 &amp; " " &amp; (IFERROR(MAX($Y$12:$Y997), 0) + 1),
        IF(ISNUMBER(SEARCH(".", D998)), "", INDEX($C$12:$C998, MATCH(2, 1/($C$12:$C998 &lt;&gt; ""))))
    )
)</f>
        <v/>
      </c>
      <c r="D998" s="206"/>
      <c r="E998" s="206" t="str">
        <f>IF(AA998 = "", "",
    IF(ISNUMBER(SEARCH("Kiện", C998)),
       " GÓI " &amp; COUNTIF($C$13:C998, "*Kiện*") &amp; "/" &amp; COUNTIF($C$13:$C$1000, "*Kiện*") &amp; " " &amp; AA998,
       AA998)
)</f>
        <v/>
      </c>
      <c r="F998" s="206"/>
      <c r="G998" s="206"/>
      <c r="H998" s="206"/>
      <c r="I998" s="206"/>
      <c r="J998" s="206" t="str">
        <f t="shared" si="223"/>
        <v/>
      </c>
      <c r="K998" s="206" t="str">
        <f t="shared" si="225"/>
        <v/>
      </c>
      <c r="L998" s="206" t="str">
        <f t="shared" si="226"/>
        <v/>
      </c>
      <c r="M998" s="206" t="str">
        <f t="shared" si="227"/>
        <v/>
      </c>
      <c r="N998" s="206" t="str">
        <f t="shared" si="228"/>
        <v/>
      </c>
      <c r="O998" s="206" t="str">
        <f t="shared" si="229"/>
        <v/>
      </c>
      <c r="P998" s="84" t="str">
        <f t="shared" si="230"/>
        <v/>
      </c>
      <c r="Q998" s="205"/>
      <c r="R998" s="70" t="str">
        <f>IF(S998="IN",'BOM_Phan II'!$Y$3,"")</f>
        <v/>
      </c>
      <c r="S998" s="69" t="str">
        <f t="shared" si="222"/>
        <v/>
      </c>
      <c r="T998">
        <f t="shared" si="231"/>
        <v>3</v>
      </c>
      <c r="U998" t="str">
        <f t="shared" si="219"/>
        <v>KIỆN 14</v>
      </c>
      <c r="V998" t="str">
        <f t="shared" si="232"/>
        <v/>
      </c>
      <c r="W998" s="266"/>
      <c r="X998" s="266"/>
      <c r="Y998" s="266" t="str">
        <f t="shared" si="224"/>
        <v/>
      </c>
      <c r="Z998" s="266"/>
    </row>
    <row r="999" spans="1:26" ht="27" hidden="1" customHeight="1">
      <c r="A999" s="70" t="str">
        <f t="shared" si="220"/>
        <v/>
      </c>
      <c r="B999" s="70" t="str">
        <f t="shared" si="221"/>
        <v/>
      </c>
      <c r="C999" s="204" t="str" cm="1">
        <f t="array" ref="C999">IF(D999="","",
    IF(AND(ISNUMBER(D999), D999=INT(D999)),
        $V$6 &amp; " " &amp; (IFERROR(MAX($Y$12:$Y998), 0) + 1),
        IF(ISNUMBER(SEARCH(".", D999)), "", INDEX($C$12:$C999, MATCH(2, 1/($C$12:$C999 &lt;&gt; ""))))
    )
)</f>
        <v/>
      </c>
      <c r="D999" s="206"/>
      <c r="E999" s="206" t="str">
        <f>IF(AA999 = "", "",
    IF(ISNUMBER(SEARCH("Kiện", C999)),
       " GÓI " &amp; COUNTIF($C$13:C999, "*Kiện*") &amp; "/" &amp; COUNTIF($C$13:$C$1000, "*Kiện*") &amp; " " &amp; AA999,
       AA999)
)</f>
        <v/>
      </c>
      <c r="F999" s="206"/>
      <c r="G999" s="206"/>
      <c r="H999" s="206"/>
      <c r="I999" s="206"/>
      <c r="J999" s="206" t="str">
        <f t="shared" si="223"/>
        <v/>
      </c>
      <c r="K999" s="206" t="str">
        <f t="shared" si="225"/>
        <v/>
      </c>
      <c r="L999" s="206" t="str">
        <f t="shared" si="226"/>
        <v/>
      </c>
      <c r="M999" s="206" t="str">
        <f t="shared" si="227"/>
        <v/>
      </c>
      <c r="N999" s="206" t="str">
        <f t="shared" si="228"/>
        <v/>
      </c>
      <c r="O999" s="206" t="str">
        <f t="shared" si="229"/>
        <v/>
      </c>
      <c r="P999" s="84" t="str">
        <f t="shared" si="230"/>
        <v/>
      </c>
      <c r="Q999" s="205"/>
      <c r="R999" s="70" t="str">
        <f>IF(S999="IN",'BOM_Phan II'!$Y$3,"")</f>
        <v/>
      </c>
      <c r="S999" s="69" t="str">
        <f t="shared" si="222"/>
        <v/>
      </c>
      <c r="T999">
        <f t="shared" si="231"/>
        <v>3</v>
      </c>
      <c r="U999" t="str">
        <f t="shared" si="219"/>
        <v>KIỆN 14</v>
      </c>
      <c r="V999" t="str">
        <f t="shared" si="232"/>
        <v/>
      </c>
      <c r="W999" s="266"/>
      <c r="X999" s="266"/>
      <c r="Y999" s="266" t="str">
        <f t="shared" si="224"/>
        <v/>
      </c>
      <c r="Z999" s="266"/>
    </row>
    <row r="1000" spans="1:26" ht="27" hidden="1" customHeight="1">
      <c r="A1000" s="70" t="str">
        <f t="shared" si="220"/>
        <v/>
      </c>
      <c r="B1000" s="70" t="str">
        <f t="shared" si="221"/>
        <v/>
      </c>
      <c r="C1000" s="204" t="str" cm="1">
        <f t="array" ref="C1000">IF(D1000="","",
    IF(AND(ISNUMBER(D1000), D1000=INT(D1000)),
        $V$6 &amp; " " &amp; (IFERROR(MAX($Y$12:$Y999), 0) + 1),
        IF(ISNUMBER(SEARCH(".", D1000)), "", INDEX($C$12:$C1000, MATCH(2, 1/($C$12:$C1000 &lt;&gt; ""))))
    )
)</f>
        <v/>
      </c>
      <c r="D1000" s="206"/>
      <c r="E1000" s="206" t="str">
        <f>IF(AA1000 = "", "",
    IF(ISNUMBER(SEARCH("Kiện", C1000)),
       " GÓI " &amp; COUNTIF($C$13:C1000, "*Kiện*") &amp; "/" &amp; COUNTIF($C$13:$C$1000, "*Kiện*") &amp; " " &amp; AA1000,
       AA1000)
)</f>
        <v/>
      </c>
      <c r="F1000" s="206"/>
      <c r="G1000" s="206"/>
      <c r="H1000" s="206"/>
      <c r="I1000" s="206"/>
      <c r="J1000" s="206" t="str">
        <f t="shared" si="223"/>
        <v/>
      </c>
      <c r="K1000" s="206" t="str">
        <f t="shared" si="225"/>
        <v/>
      </c>
      <c r="L1000" s="206" t="str">
        <f t="shared" si="226"/>
        <v/>
      </c>
      <c r="M1000" s="206" t="str">
        <f t="shared" si="227"/>
        <v/>
      </c>
      <c r="N1000" s="206" t="str">
        <f t="shared" si="228"/>
        <v/>
      </c>
      <c r="O1000" s="206" t="str">
        <f t="shared" si="229"/>
        <v/>
      </c>
      <c r="P1000" s="84" t="str">
        <f t="shared" si="230"/>
        <v/>
      </c>
      <c r="Q1000" s="205"/>
      <c r="R1000" s="70" t="str">
        <f>IF(S1000="IN",'BOM_Phan II'!$Y$3,"")</f>
        <v/>
      </c>
      <c r="S1000" s="69" t="str">
        <f t="shared" si="222"/>
        <v/>
      </c>
      <c r="T1000">
        <f t="shared" si="231"/>
        <v>3</v>
      </c>
      <c r="U1000" t="str">
        <f t="shared" si="219"/>
        <v>KIỆN 14</v>
      </c>
      <c r="V1000" t="str">
        <f t="shared" si="232"/>
        <v/>
      </c>
      <c r="W1000" s="266"/>
      <c r="X1000" s="266"/>
      <c r="Y1000" s="266" t="str">
        <f t="shared" si="224"/>
        <v/>
      </c>
      <c r="Z1000" s="266"/>
    </row>
    <row r="1001" spans="1:26" ht="27" hidden="1" customHeight="1">
      <c r="A1001" s="70" t="str">
        <f t="shared" si="220"/>
        <v/>
      </c>
      <c r="B1001" s="70" t="str">
        <f t="shared" si="221"/>
        <v/>
      </c>
      <c r="C1001" s="204" t="str" cm="1">
        <f t="array" ref="C1001">IF(D1001="","",
    IF(AND(ISNUMBER(D1001), D1001=INT(D1001)),
        $V$6 &amp; " " &amp; (IFERROR(MAX($Y$12:$Y1000), 0) + 1),
        IF(ISNUMBER(SEARCH(".", D1001)), "", INDEX($C$12:$C1001, MATCH(2, 1/($C$12:$C1001 &lt;&gt; ""))))
    )
)</f>
        <v/>
      </c>
      <c r="D1001" s="206"/>
      <c r="E1001" s="206" t="str">
        <f>IF(AA1001 = "", "",
    IF(ISNUMBER(SEARCH("Kiện", C1001)),
       " GÓI " &amp; COUNTIF($C$13:C1001, "*Kiện*") &amp; "/" &amp; COUNTIF($C$13:$C$1000, "*Kiện*") &amp; " " &amp; AA1001,
       AA1001)
)</f>
        <v/>
      </c>
      <c r="F1001" s="206"/>
      <c r="G1001" s="206"/>
      <c r="H1001" s="206"/>
      <c r="I1001" s="206"/>
      <c r="J1001" s="206" t="str">
        <f t="shared" si="223"/>
        <v/>
      </c>
      <c r="K1001" s="206" t="str">
        <f t="shared" si="225"/>
        <v/>
      </c>
      <c r="L1001" s="206" t="str">
        <f t="shared" si="226"/>
        <v/>
      </c>
      <c r="M1001" s="206" t="str">
        <f t="shared" si="227"/>
        <v/>
      </c>
      <c r="N1001" s="206" t="str">
        <f t="shared" si="228"/>
        <v/>
      </c>
      <c r="O1001" s="206" t="str">
        <f t="shared" si="229"/>
        <v/>
      </c>
      <c r="P1001" s="84" t="str">
        <f t="shared" si="230"/>
        <v/>
      </c>
      <c r="Q1001" s="205"/>
      <c r="R1001" s="70" t="str">
        <f>IF(S1001="IN",'BOM_Phan II'!$Y$3,"")</f>
        <v/>
      </c>
      <c r="S1001" s="69" t="str">
        <f t="shared" si="222"/>
        <v/>
      </c>
      <c r="T1001">
        <f t="shared" si="231"/>
        <v>3</v>
      </c>
      <c r="U1001" t="str">
        <f t="shared" si="219"/>
        <v>KIỆN 14</v>
      </c>
      <c r="V1001" t="str">
        <f t="shared" si="232"/>
        <v/>
      </c>
      <c r="W1001" s="266"/>
      <c r="X1001" s="266"/>
      <c r="Y1001" s="266" t="str">
        <f t="shared" si="224"/>
        <v/>
      </c>
      <c r="Z1001" s="266"/>
    </row>
    <row r="1002" spans="1:26" ht="27" hidden="1" customHeight="1">
      <c r="A1002" s="70" t="str">
        <f t="shared" si="220"/>
        <v/>
      </c>
      <c r="B1002" s="70" t="str">
        <f t="shared" si="221"/>
        <v/>
      </c>
      <c r="C1002" s="204" t="str" cm="1">
        <f t="array" ref="C1002">IF(D1002="","",
    IF(AND(ISNUMBER(D1002), D1002=INT(D1002)),
        $V$6 &amp; " " &amp; (IFERROR(MAX($Y$12:$Y1001), 0) + 1),
        IF(ISNUMBER(SEARCH(".", D1002)), "", INDEX($C$12:$C1002, MATCH(2, 1/($C$12:$C1002 &lt;&gt; ""))))
    )
)</f>
        <v/>
      </c>
      <c r="D1002" s="206"/>
      <c r="E1002" s="206" t="str">
        <f>IF(AA1002 = "", "",
    IF(ISNUMBER(SEARCH("Kiện", C1002)),
       " GÓI " &amp; COUNTIF($C$13:C1002, "*Kiện*") &amp; "/" &amp; COUNTIF($C$13:$C$1000, "*Kiện*") &amp; " " &amp; AA1002,
       AA1002)
)</f>
        <v/>
      </c>
      <c r="F1002" s="206"/>
      <c r="G1002" s="206"/>
      <c r="H1002" s="206"/>
      <c r="I1002" s="206"/>
      <c r="J1002" s="206" t="str">
        <f t="shared" si="223"/>
        <v/>
      </c>
      <c r="K1002" s="206" t="str">
        <f t="shared" si="225"/>
        <v/>
      </c>
      <c r="L1002" s="206" t="str">
        <f t="shared" si="226"/>
        <v/>
      </c>
      <c r="M1002" s="206" t="str">
        <f t="shared" si="227"/>
        <v/>
      </c>
      <c r="N1002" s="206" t="str">
        <f t="shared" si="228"/>
        <v/>
      </c>
      <c r="O1002" s="206" t="str">
        <f t="shared" si="229"/>
        <v/>
      </c>
      <c r="P1002" s="84" t="str">
        <f t="shared" si="230"/>
        <v/>
      </c>
      <c r="Q1002" s="205"/>
      <c r="R1002" s="70" t="str">
        <f>IF(S1002="IN",'BOM_Phan II'!$Y$3,"")</f>
        <v/>
      </c>
      <c r="S1002" s="69" t="str">
        <f t="shared" si="222"/>
        <v/>
      </c>
      <c r="T1002">
        <f t="shared" si="231"/>
        <v>3</v>
      </c>
      <c r="U1002" t="str">
        <f t="shared" si="219"/>
        <v>KIỆN 14</v>
      </c>
      <c r="V1002" t="str">
        <f t="shared" si="232"/>
        <v/>
      </c>
      <c r="W1002" s="266"/>
      <c r="X1002" s="266"/>
      <c r="Y1002" s="266" t="str">
        <f t="shared" si="224"/>
        <v/>
      </c>
      <c r="Z1002" s="266"/>
    </row>
    <row r="1003" spans="1:26" ht="27" hidden="1" customHeight="1">
      <c r="A1003" s="70" t="str">
        <f t="shared" si="220"/>
        <v/>
      </c>
      <c r="B1003" s="70" t="str">
        <f t="shared" si="221"/>
        <v/>
      </c>
      <c r="C1003" s="204" t="str" cm="1">
        <f t="array" ref="C1003">IF(D1003="","",
    IF(AND(ISNUMBER(D1003), D1003=INT(D1003)),
        $V$6 &amp; " " &amp; (IFERROR(MAX($Y$12:$Y1002), 0) + 1),
        IF(ISNUMBER(SEARCH(".", D1003)), "", INDEX($C$12:$C1003, MATCH(2, 1/($C$12:$C1003 &lt;&gt; ""))))
    )
)</f>
        <v/>
      </c>
      <c r="D1003" s="206"/>
      <c r="E1003" s="206" t="str">
        <f>IF(AA1003 = "", "",
    IF(ISNUMBER(SEARCH("Kiện", C1003)),
       " GÓI " &amp; COUNTIF($C$13:C1003, "*Kiện*") &amp; "/" &amp; COUNTIF($C$13:$C$1000, "*Kiện*") &amp; " " &amp; AA1003,
       AA1003)
)</f>
        <v/>
      </c>
      <c r="F1003" s="206"/>
      <c r="G1003" s="206"/>
      <c r="H1003" s="206"/>
      <c r="I1003" s="206"/>
      <c r="J1003" s="206" t="str">
        <f t="shared" si="223"/>
        <v/>
      </c>
      <c r="K1003" s="206" t="str">
        <f t="shared" si="225"/>
        <v/>
      </c>
      <c r="L1003" s="206" t="str">
        <f t="shared" si="226"/>
        <v/>
      </c>
      <c r="M1003" s="206" t="str">
        <f t="shared" si="227"/>
        <v/>
      </c>
      <c r="N1003" s="206" t="str">
        <f t="shared" si="228"/>
        <v/>
      </c>
      <c r="O1003" s="206" t="str">
        <f t="shared" si="229"/>
        <v/>
      </c>
      <c r="P1003" s="84" t="str">
        <f t="shared" si="230"/>
        <v/>
      </c>
      <c r="Q1003" s="205"/>
      <c r="R1003" s="70" t="str">
        <f>IF(S1003="IN",'BOM_Phan II'!$Y$3,"")</f>
        <v/>
      </c>
      <c r="S1003" s="69" t="str">
        <f t="shared" si="222"/>
        <v/>
      </c>
      <c r="T1003">
        <f t="shared" si="231"/>
        <v>3</v>
      </c>
      <c r="U1003" t="str">
        <f t="shared" si="219"/>
        <v>KIỆN 14</v>
      </c>
      <c r="V1003" t="str">
        <f t="shared" si="232"/>
        <v/>
      </c>
      <c r="W1003" s="266"/>
      <c r="X1003" s="266"/>
      <c r="Y1003" s="266" t="str">
        <f t="shared" si="224"/>
        <v/>
      </c>
      <c r="Z1003" s="266"/>
    </row>
    <row r="1004" spans="1:26" ht="27" hidden="1" customHeight="1">
      <c r="A1004" s="70" t="str">
        <f t="shared" si="220"/>
        <v/>
      </c>
      <c r="B1004" s="70" t="str">
        <f t="shared" si="221"/>
        <v/>
      </c>
      <c r="C1004" s="204" t="str" cm="1">
        <f t="array" ref="C1004">IF(D1004="","",
    IF(AND(ISNUMBER(D1004), D1004=INT(D1004)),
        $V$6 &amp; " " &amp; (IFERROR(MAX($Y$12:$Y1003), 0) + 1),
        IF(ISNUMBER(SEARCH(".", D1004)), "", INDEX($C$12:$C1004, MATCH(2, 1/($C$12:$C1004 &lt;&gt; ""))))
    )
)</f>
        <v/>
      </c>
      <c r="D1004" s="206"/>
      <c r="E1004" s="206" t="str">
        <f>IF(AA1004 = "", "",
    IF(ISNUMBER(SEARCH("Kiện", C1004)),
       " GÓI " &amp; COUNTIF($C$13:C1004, "*Kiện*") &amp; "/" &amp; COUNTIF($C$13:$C$1000, "*Kiện*") &amp; " " &amp; AA1004,
       AA1004)
)</f>
        <v/>
      </c>
      <c r="F1004" s="206"/>
      <c r="G1004" s="206"/>
      <c r="H1004" s="206"/>
      <c r="I1004" s="206"/>
      <c r="J1004" s="206" t="str">
        <f t="shared" si="223"/>
        <v/>
      </c>
      <c r="K1004" s="206" t="str">
        <f t="shared" si="225"/>
        <v/>
      </c>
      <c r="L1004" s="206" t="str">
        <f t="shared" si="226"/>
        <v/>
      </c>
      <c r="M1004" s="206" t="str">
        <f t="shared" si="227"/>
        <v/>
      </c>
      <c r="N1004" s="206" t="str">
        <f t="shared" si="228"/>
        <v/>
      </c>
      <c r="O1004" s="206" t="str">
        <f t="shared" si="229"/>
        <v/>
      </c>
      <c r="P1004" s="84" t="str">
        <f t="shared" si="230"/>
        <v/>
      </c>
      <c r="Q1004" s="205"/>
      <c r="R1004" s="70" t="str">
        <f>IF(S1004="IN",'BOM_Phan II'!$Y$3,"")</f>
        <v/>
      </c>
      <c r="S1004" s="69" t="str">
        <f t="shared" si="222"/>
        <v/>
      </c>
      <c r="T1004">
        <f t="shared" si="231"/>
        <v>3</v>
      </c>
      <c r="U1004" t="str">
        <f t="shared" si="219"/>
        <v>KIỆN 14</v>
      </c>
      <c r="V1004" t="str">
        <f t="shared" si="232"/>
        <v/>
      </c>
      <c r="W1004" s="266"/>
      <c r="X1004" s="266"/>
      <c r="Y1004" s="266" t="str">
        <f t="shared" si="224"/>
        <v/>
      </c>
      <c r="Z1004" s="266"/>
    </row>
    <row r="1005" spans="1:26" ht="27" hidden="1" customHeight="1">
      <c r="A1005" s="70" t="str">
        <f t="shared" si="220"/>
        <v/>
      </c>
      <c r="B1005" s="70" t="str">
        <f t="shared" si="221"/>
        <v/>
      </c>
      <c r="C1005" s="204" t="str" cm="1">
        <f t="array" ref="C1005">IF(D1005="","",
    IF(AND(ISNUMBER(D1005), D1005=INT(D1005)),
        $V$6 &amp; " " &amp; (IFERROR(MAX($Y$12:$Y1004), 0) + 1),
        IF(ISNUMBER(SEARCH(".", D1005)), "", INDEX($C$12:$C1005, MATCH(2, 1/($C$12:$C1005 &lt;&gt; ""))))
    )
)</f>
        <v/>
      </c>
      <c r="D1005" s="206"/>
      <c r="E1005" s="206" t="str">
        <f>IF(AA1005 = "", "",
    IF(ISNUMBER(SEARCH("Kiện", C1005)),
       " GÓI " &amp; COUNTIF($C$13:C1005, "*Kiện*") &amp; "/" &amp; COUNTIF($C$13:$C$1000, "*Kiện*") &amp; " " &amp; AA1005,
       AA1005)
)</f>
        <v/>
      </c>
      <c r="F1005" s="206"/>
      <c r="G1005" s="206"/>
      <c r="H1005" s="206"/>
      <c r="I1005" s="206"/>
      <c r="J1005" s="206" t="str">
        <f t="shared" si="223"/>
        <v/>
      </c>
      <c r="K1005" s="206" t="str">
        <f t="shared" si="225"/>
        <v/>
      </c>
      <c r="L1005" s="206" t="str">
        <f t="shared" si="226"/>
        <v/>
      </c>
      <c r="M1005" s="206" t="str">
        <f t="shared" si="227"/>
        <v/>
      </c>
      <c r="N1005" s="206" t="str">
        <f t="shared" si="228"/>
        <v/>
      </c>
      <c r="O1005" s="206" t="str">
        <f t="shared" si="229"/>
        <v/>
      </c>
      <c r="P1005" s="84" t="str">
        <f t="shared" si="230"/>
        <v/>
      </c>
      <c r="Q1005" s="205"/>
      <c r="R1005" s="70" t="str">
        <f>IF(S1005="IN",'BOM_Phan II'!$Y$3,"")</f>
        <v/>
      </c>
      <c r="S1005" s="69" t="str">
        <f t="shared" si="222"/>
        <v/>
      </c>
      <c r="T1005">
        <f t="shared" si="231"/>
        <v>3</v>
      </c>
      <c r="U1005" t="str">
        <f t="shared" si="219"/>
        <v>KIỆN 14</v>
      </c>
      <c r="V1005" t="str">
        <f t="shared" si="232"/>
        <v/>
      </c>
      <c r="W1005" s="266"/>
      <c r="X1005" s="266"/>
      <c r="Y1005" s="266" t="str">
        <f t="shared" si="224"/>
        <v/>
      </c>
      <c r="Z1005" s="266"/>
    </row>
    <row r="1006" spans="1:26" ht="27" hidden="1" customHeight="1">
      <c r="A1006" s="70" t="str">
        <f t="shared" si="220"/>
        <v/>
      </c>
      <c r="B1006" s="70" t="str">
        <f t="shared" si="221"/>
        <v/>
      </c>
      <c r="C1006" s="204" t="str" cm="1">
        <f t="array" ref="C1006">IF(D1006="","",
    IF(AND(ISNUMBER(D1006), D1006=INT(D1006)),
        $V$6 &amp; " " &amp; (IFERROR(MAX($Y$12:$Y1005), 0) + 1),
        IF(ISNUMBER(SEARCH(".", D1006)), "", INDEX($C$12:$C1006, MATCH(2, 1/($C$12:$C1006 &lt;&gt; ""))))
    )
)</f>
        <v/>
      </c>
      <c r="D1006" s="206"/>
      <c r="E1006" s="206" t="str">
        <f>IF(AA1006 = "", "",
    IF(ISNUMBER(SEARCH("Kiện", C1006)),
       " GÓI " &amp; COUNTIF($C$13:C1006, "*Kiện*") &amp; "/" &amp; COUNTIF($C$13:$C$1000, "*Kiện*") &amp; " " &amp; AA1006,
       AA1006)
)</f>
        <v/>
      </c>
      <c r="F1006" s="206"/>
      <c r="G1006" s="206"/>
      <c r="H1006" s="206"/>
      <c r="I1006" s="206"/>
      <c r="J1006" s="206" t="str">
        <f t="shared" si="223"/>
        <v/>
      </c>
      <c r="K1006" s="206" t="str">
        <f t="shared" si="225"/>
        <v/>
      </c>
      <c r="L1006" s="206" t="str">
        <f t="shared" si="226"/>
        <v/>
      </c>
      <c r="M1006" s="206" t="str">
        <f t="shared" si="227"/>
        <v/>
      </c>
      <c r="N1006" s="206" t="str">
        <f t="shared" si="228"/>
        <v/>
      </c>
      <c r="O1006" s="206" t="str">
        <f t="shared" si="229"/>
        <v/>
      </c>
      <c r="P1006" s="84" t="str">
        <f t="shared" si="230"/>
        <v/>
      </c>
      <c r="Q1006" s="205"/>
      <c r="R1006" s="70" t="str">
        <f>IF(S1006="IN",'BOM_Phan II'!$Y$3,"")</f>
        <v/>
      </c>
      <c r="S1006" s="69" t="str">
        <f t="shared" si="222"/>
        <v/>
      </c>
      <c r="T1006">
        <f t="shared" si="231"/>
        <v>3</v>
      </c>
      <c r="U1006" t="str">
        <f t="shared" si="219"/>
        <v>KIỆN 14</v>
      </c>
      <c r="V1006" t="str">
        <f t="shared" si="232"/>
        <v/>
      </c>
      <c r="W1006" s="266"/>
      <c r="X1006" s="266"/>
      <c r="Y1006" s="266" t="str">
        <f t="shared" si="224"/>
        <v/>
      </c>
      <c r="Z1006" s="266"/>
    </row>
    <row r="1007" spans="1:26" ht="27" hidden="1" customHeight="1">
      <c r="A1007" s="70" t="str">
        <f t="shared" si="220"/>
        <v/>
      </c>
      <c r="B1007" s="70" t="str">
        <f t="shared" si="221"/>
        <v/>
      </c>
      <c r="C1007" s="204" t="str" cm="1">
        <f t="array" ref="C1007">IF(D1007="","",
    IF(AND(ISNUMBER(D1007), D1007=INT(D1007)),
        $V$6 &amp; " " &amp; (IFERROR(MAX($Y$12:$Y1006), 0) + 1),
        IF(ISNUMBER(SEARCH(".", D1007)), "", INDEX($C$12:$C1007, MATCH(2, 1/($C$12:$C1007 &lt;&gt; ""))))
    )
)</f>
        <v/>
      </c>
      <c r="D1007" s="206"/>
      <c r="E1007" s="206" t="str">
        <f>IF(AA1007 = "", "",
    IF(ISNUMBER(SEARCH("Kiện", C1007)),
       " GÓI " &amp; COUNTIF($C$13:C1007, "*Kiện*") &amp; "/" &amp; COUNTIF($C$13:$C$1000, "*Kiện*") &amp; " " &amp; AA1007,
       AA1007)
)</f>
        <v/>
      </c>
      <c r="F1007" s="206"/>
      <c r="G1007" s="206"/>
      <c r="H1007" s="206"/>
      <c r="I1007" s="206"/>
      <c r="J1007" s="206" t="str">
        <f t="shared" si="223"/>
        <v/>
      </c>
      <c r="K1007" s="206" t="str">
        <f t="shared" si="225"/>
        <v/>
      </c>
      <c r="L1007" s="206" t="str">
        <f t="shared" si="226"/>
        <v/>
      </c>
      <c r="M1007" s="206" t="str">
        <f t="shared" si="227"/>
        <v/>
      </c>
      <c r="N1007" s="206" t="str">
        <f t="shared" si="228"/>
        <v/>
      </c>
      <c r="O1007" s="206" t="str">
        <f t="shared" si="229"/>
        <v/>
      </c>
      <c r="P1007" s="84" t="str">
        <f t="shared" si="230"/>
        <v/>
      </c>
      <c r="Q1007" s="205"/>
      <c r="R1007" s="70" t="str">
        <f>IF(S1007="IN",'BOM_Phan II'!$Y$3,"")</f>
        <v/>
      </c>
      <c r="S1007" s="69" t="str">
        <f t="shared" si="222"/>
        <v/>
      </c>
      <c r="T1007">
        <f t="shared" si="231"/>
        <v>3</v>
      </c>
      <c r="U1007" t="str">
        <f t="shared" si="219"/>
        <v>KIỆN 14</v>
      </c>
      <c r="V1007" t="str">
        <f t="shared" si="232"/>
        <v/>
      </c>
      <c r="W1007" s="266"/>
      <c r="X1007" s="266"/>
      <c r="Y1007" s="266" t="str">
        <f t="shared" si="224"/>
        <v/>
      </c>
      <c r="Z1007" s="266"/>
    </row>
    <row r="1008" spans="1:26" ht="27" hidden="1" customHeight="1">
      <c r="A1008" s="70" t="str">
        <f t="shared" si="220"/>
        <v/>
      </c>
      <c r="B1008" s="70" t="str">
        <f t="shared" si="221"/>
        <v/>
      </c>
      <c r="C1008" s="204" t="str" cm="1">
        <f t="array" ref="C1008">IF(D1008="","",
    IF(AND(ISNUMBER(D1008), D1008=INT(D1008)),
        $V$6 &amp; " " &amp; (IFERROR(MAX($Y$12:$Y1007), 0) + 1),
        IF(ISNUMBER(SEARCH(".", D1008)), "", INDEX($C$12:$C1008, MATCH(2, 1/($C$12:$C1008 &lt;&gt; ""))))
    )
)</f>
        <v/>
      </c>
      <c r="D1008" s="206"/>
      <c r="E1008" s="206" t="str">
        <f>IF(AA1008 = "", "",
    IF(ISNUMBER(SEARCH("Kiện", C1008)),
       " GÓI " &amp; COUNTIF($C$13:C1008, "*Kiện*") &amp; "/" &amp; COUNTIF($C$13:$C$1000, "*Kiện*") &amp; " " &amp; AA1008,
       AA1008)
)</f>
        <v/>
      </c>
      <c r="F1008" s="206"/>
      <c r="G1008" s="206"/>
      <c r="H1008" s="206"/>
      <c r="I1008" s="206"/>
      <c r="J1008" s="206" t="str">
        <f t="shared" si="223"/>
        <v/>
      </c>
      <c r="K1008" s="206" t="str">
        <f t="shared" si="225"/>
        <v/>
      </c>
      <c r="L1008" s="206" t="str">
        <f t="shared" si="226"/>
        <v/>
      </c>
      <c r="M1008" s="206" t="str">
        <f t="shared" si="227"/>
        <v/>
      </c>
      <c r="N1008" s="206" t="str">
        <f t="shared" si="228"/>
        <v/>
      </c>
      <c r="O1008" s="206" t="str">
        <f t="shared" si="229"/>
        <v/>
      </c>
      <c r="P1008" s="84" t="str">
        <f t="shared" si="230"/>
        <v/>
      </c>
      <c r="Q1008" s="205"/>
      <c r="R1008" s="70" t="str">
        <f>IF(S1008="IN",'BOM_Phan II'!$Y$3,"")</f>
        <v/>
      </c>
      <c r="S1008" s="69" t="str">
        <f t="shared" si="222"/>
        <v/>
      </c>
      <c r="T1008">
        <f t="shared" si="231"/>
        <v>3</v>
      </c>
      <c r="U1008" t="str">
        <f t="shared" si="219"/>
        <v>KIỆN 14</v>
      </c>
      <c r="V1008" t="str">
        <f t="shared" si="232"/>
        <v/>
      </c>
      <c r="W1008" s="266"/>
      <c r="X1008" s="266"/>
      <c r="Y1008" s="266" t="str">
        <f t="shared" si="224"/>
        <v/>
      </c>
      <c r="Z1008" s="266"/>
    </row>
    <row r="1009" spans="1:26" ht="27" hidden="1" customHeight="1">
      <c r="A1009" s="70" t="str">
        <f t="shared" si="220"/>
        <v/>
      </c>
      <c r="B1009" s="70" t="str">
        <f t="shared" si="221"/>
        <v/>
      </c>
      <c r="C1009" s="204" t="str" cm="1">
        <f t="array" ref="C1009">IF(D1009="","",
    IF(AND(ISNUMBER(D1009), D1009=INT(D1009)),
        $V$6 &amp; " " &amp; (IFERROR(MAX($Y$12:$Y1008), 0) + 1),
        IF(ISNUMBER(SEARCH(".", D1009)), "", INDEX($C$12:$C1009, MATCH(2, 1/($C$12:$C1009 &lt;&gt; ""))))
    )
)</f>
        <v/>
      </c>
      <c r="D1009" s="206"/>
      <c r="E1009" s="206" t="str">
        <f>IF(AA1009 = "", "",
    IF(ISNUMBER(SEARCH("Kiện", C1009)),
       " GÓI " &amp; COUNTIF($C$13:C1009, "*Kiện*") &amp; "/" &amp; COUNTIF($C$13:$C$1000, "*Kiện*") &amp; " " &amp; AA1009,
       AA1009)
)</f>
        <v/>
      </c>
      <c r="F1009" s="206"/>
      <c r="G1009" s="206"/>
      <c r="H1009" s="206"/>
      <c r="I1009" s="206"/>
      <c r="J1009" s="206" t="str">
        <f t="shared" si="223"/>
        <v/>
      </c>
      <c r="K1009" s="206" t="str">
        <f t="shared" si="225"/>
        <v/>
      </c>
      <c r="L1009" s="206" t="str">
        <f t="shared" si="226"/>
        <v/>
      </c>
      <c r="M1009" s="206" t="str">
        <f t="shared" si="227"/>
        <v/>
      </c>
      <c r="N1009" s="206" t="str">
        <f t="shared" si="228"/>
        <v/>
      </c>
      <c r="O1009" s="206" t="str">
        <f t="shared" si="229"/>
        <v/>
      </c>
      <c r="P1009" s="84" t="str">
        <f t="shared" si="230"/>
        <v/>
      </c>
      <c r="Q1009" s="205"/>
      <c r="R1009" s="70" t="str">
        <f>IF(S1009="IN",'BOM_Phan II'!$Y$3,"")</f>
        <v/>
      </c>
      <c r="S1009" s="69" t="str">
        <f t="shared" si="222"/>
        <v/>
      </c>
      <c r="T1009">
        <f t="shared" si="231"/>
        <v>3</v>
      </c>
      <c r="U1009" t="str">
        <f t="shared" si="219"/>
        <v>KIỆN 14</v>
      </c>
      <c r="V1009" t="str">
        <f t="shared" si="232"/>
        <v/>
      </c>
      <c r="W1009" s="266"/>
      <c r="X1009" s="266"/>
      <c r="Y1009" s="266" t="str">
        <f t="shared" si="224"/>
        <v/>
      </c>
      <c r="Z1009" s="266"/>
    </row>
    <row r="1010" spans="1:26" ht="27" hidden="1" customHeight="1">
      <c r="A1010" s="70" t="str">
        <f t="shared" si="220"/>
        <v/>
      </c>
      <c r="B1010" s="70" t="str">
        <f t="shared" si="221"/>
        <v/>
      </c>
      <c r="C1010" s="204" t="str" cm="1">
        <f t="array" ref="C1010">IF(D1010="","",
    IF(AND(ISNUMBER(D1010), D1010=INT(D1010)),
        $V$6 &amp; " " &amp; (IFERROR(MAX($Y$12:$Y1009), 0) + 1),
        IF(ISNUMBER(SEARCH(".", D1010)), "", INDEX($C$12:$C1010, MATCH(2, 1/($C$12:$C1010 &lt;&gt; ""))))
    )
)</f>
        <v/>
      </c>
      <c r="D1010" s="206"/>
      <c r="E1010" s="206" t="str">
        <f>IF(AA1010 = "", "",
    IF(ISNUMBER(SEARCH("Kiện", C1010)),
       " GÓI " &amp; COUNTIF($C$13:C1010, "*Kiện*") &amp; "/" &amp; COUNTIF($C$13:$C$1000, "*Kiện*") &amp; " " &amp; AA1010,
       AA1010)
)</f>
        <v/>
      </c>
      <c r="F1010" s="206"/>
      <c r="G1010" s="206"/>
      <c r="H1010" s="206"/>
      <c r="I1010" s="206"/>
      <c r="J1010" s="206" t="str">
        <f t="shared" si="223"/>
        <v/>
      </c>
      <c r="K1010" s="206" t="str">
        <f t="shared" si="225"/>
        <v/>
      </c>
      <c r="L1010" s="206" t="str">
        <f t="shared" si="226"/>
        <v/>
      </c>
      <c r="M1010" s="206" t="str">
        <f t="shared" si="227"/>
        <v/>
      </c>
      <c r="N1010" s="206" t="str">
        <f t="shared" si="228"/>
        <v/>
      </c>
      <c r="O1010" s="206" t="str">
        <f t="shared" si="229"/>
        <v/>
      </c>
      <c r="P1010" s="84" t="str">
        <f t="shared" si="230"/>
        <v/>
      </c>
      <c r="Q1010" s="205"/>
      <c r="R1010" s="70" t="str">
        <f>IF(S1010="IN",'BOM_Phan II'!$Y$3,"")</f>
        <v/>
      </c>
      <c r="S1010" s="69" t="str">
        <f t="shared" si="222"/>
        <v/>
      </c>
      <c r="T1010">
        <f t="shared" si="231"/>
        <v>3</v>
      </c>
      <c r="U1010" t="str">
        <f t="shared" si="219"/>
        <v>KIỆN 14</v>
      </c>
      <c r="V1010" t="str">
        <f t="shared" si="232"/>
        <v/>
      </c>
      <c r="W1010" s="266"/>
      <c r="X1010" s="266"/>
      <c r="Y1010" s="266" t="str">
        <f t="shared" si="224"/>
        <v/>
      </c>
      <c r="Z1010" s="266"/>
    </row>
    <row r="1011" spans="1:26" ht="27" hidden="1" customHeight="1">
      <c r="A1011" s="70" t="str">
        <f t="shared" si="220"/>
        <v/>
      </c>
      <c r="B1011" s="70" t="str">
        <f t="shared" si="221"/>
        <v/>
      </c>
      <c r="C1011" s="204" t="str" cm="1">
        <f t="array" ref="C1011">IF(D1011="","",
    IF(AND(ISNUMBER(D1011), D1011=INT(D1011)),
        $V$6 &amp; " " &amp; (IFERROR(MAX($Y$12:$Y1010), 0) + 1),
        IF(ISNUMBER(SEARCH(".", D1011)), "", INDEX($C$12:$C1011, MATCH(2, 1/($C$12:$C1011 &lt;&gt; ""))))
    )
)</f>
        <v/>
      </c>
      <c r="D1011" s="206"/>
      <c r="E1011" s="206" t="str">
        <f>IF(AA1011 = "", "",
    IF(ISNUMBER(SEARCH("Kiện", C1011)),
       " GÓI " &amp; COUNTIF($C$13:C1011, "*Kiện*") &amp; "/" &amp; COUNTIF($C$13:$C$1000, "*Kiện*") &amp; " " &amp; AA1011,
       AA1011)
)</f>
        <v/>
      </c>
      <c r="F1011" s="206"/>
      <c r="G1011" s="206"/>
      <c r="H1011" s="206"/>
      <c r="I1011" s="206"/>
      <c r="J1011" s="206" t="str">
        <f t="shared" si="223"/>
        <v/>
      </c>
      <c r="K1011" s="206" t="str">
        <f t="shared" si="225"/>
        <v/>
      </c>
      <c r="L1011" s="206" t="str">
        <f t="shared" si="226"/>
        <v/>
      </c>
      <c r="M1011" s="206" t="str">
        <f t="shared" si="227"/>
        <v/>
      </c>
      <c r="N1011" s="206" t="str">
        <f t="shared" si="228"/>
        <v/>
      </c>
      <c r="O1011" s="206" t="str">
        <f t="shared" si="229"/>
        <v/>
      </c>
      <c r="P1011" s="84" t="str">
        <f t="shared" si="230"/>
        <v/>
      </c>
      <c r="Q1011" s="205"/>
      <c r="R1011" s="70" t="str">
        <f>IF(S1011="IN",'BOM_Phan II'!$Y$3,"")</f>
        <v/>
      </c>
      <c r="S1011" s="69" t="str">
        <f t="shared" si="222"/>
        <v/>
      </c>
      <c r="T1011">
        <f t="shared" si="231"/>
        <v>3</v>
      </c>
      <c r="U1011" t="str">
        <f t="shared" si="219"/>
        <v>KIỆN 14</v>
      </c>
      <c r="V1011" t="str">
        <f t="shared" si="232"/>
        <v/>
      </c>
      <c r="W1011" s="266"/>
      <c r="X1011" s="266"/>
      <c r="Y1011" s="266" t="str">
        <f t="shared" si="224"/>
        <v/>
      </c>
      <c r="Z1011" s="266"/>
    </row>
    <row r="1012" spans="1:26" ht="27" hidden="1" customHeight="1">
      <c r="A1012" s="70" t="str">
        <f t="shared" si="220"/>
        <v/>
      </c>
      <c r="B1012" s="70" t="str">
        <f t="shared" si="221"/>
        <v/>
      </c>
      <c r="C1012" s="204" t="str" cm="1">
        <f t="array" ref="C1012">IF(D1012="","",
    IF(AND(ISNUMBER(D1012), D1012=INT(D1012)),
        $V$6 &amp; " " &amp; (IFERROR(MAX($Y$12:$Y1011), 0) + 1),
        IF(ISNUMBER(SEARCH(".", D1012)), "", INDEX($C$12:$C1012, MATCH(2, 1/($C$12:$C1012 &lt;&gt; ""))))
    )
)</f>
        <v/>
      </c>
      <c r="D1012" s="206"/>
      <c r="E1012" s="206" t="str">
        <f>IF(AA1012 = "", "",
    IF(ISNUMBER(SEARCH("Kiện", C1012)),
       " GÓI " &amp; COUNTIF($C$13:C1012, "*Kiện*") &amp; "/" &amp; COUNTIF($C$13:$C$1000, "*Kiện*") &amp; " " &amp; AA1012,
       AA1012)
)</f>
        <v/>
      </c>
      <c r="F1012" s="206"/>
      <c r="G1012" s="206"/>
      <c r="H1012" s="206"/>
      <c r="I1012" s="206"/>
      <c r="J1012" s="206" t="str">
        <f t="shared" si="223"/>
        <v/>
      </c>
      <c r="K1012" s="206" t="str">
        <f t="shared" si="225"/>
        <v/>
      </c>
      <c r="L1012" s="206" t="str">
        <f t="shared" si="226"/>
        <v/>
      </c>
      <c r="M1012" s="206" t="str">
        <f t="shared" si="227"/>
        <v/>
      </c>
      <c r="N1012" s="206" t="str">
        <f t="shared" si="228"/>
        <v/>
      </c>
      <c r="O1012" s="206" t="str">
        <f t="shared" si="229"/>
        <v/>
      </c>
      <c r="P1012" s="84" t="str">
        <f t="shared" si="230"/>
        <v/>
      </c>
      <c r="Q1012" s="205"/>
      <c r="R1012" s="70" t="str">
        <f>IF(S1012="IN",'BOM_Phan II'!$Y$3,"")</f>
        <v/>
      </c>
      <c r="S1012" s="69" t="str">
        <f t="shared" si="222"/>
        <v/>
      </c>
      <c r="T1012">
        <f t="shared" si="231"/>
        <v>3</v>
      </c>
      <c r="U1012" t="str">
        <f t="shared" si="219"/>
        <v>KIỆN 14</v>
      </c>
      <c r="V1012" t="str">
        <f t="shared" si="232"/>
        <v/>
      </c>
      <c r="W1012" s="266"/>
      <c r="X1012" s="266"/>
      <c r="Y1012" s="266" t="str">
        <f t="shared" si="224"/>
        <v/>
      </c>
      <c r="Z1012" s="266"/>
    </row>
    <row r="1013" spans="1:26" ht="27" hidden="1" customHeight="1">
      <c r="A1013" s="70" t="str">
        <f t="shared" si="220"/>
        <v/>
      </c>
      <c r="B1013" s="70" t="str">
        <f t="shared" si="221"/>
        <v/>
      </c>
      <c r="C1013" s="204" t="str" cm="1">
        <f t="array" ref="C1013">IF(D1013="","",
    IF(AND(ISNUMBER(D1013), D1013=INT(D1013)),
        $V$6 &amp; " " &amp; (IFERROR(MAX($Y$12:$Y1012), 0) + 1),
        IF(ISNUMBER(SEARCH(".", D1013)), "", INDEX($C$12:$C1013, MATCH(2, 1/($C$12:$C1013 &lt;&gt; ""))))
    )
)</f>
        <v/>
      </c>
      <c r="D1013" s="206"/>
      <c r="E1013" s="206" t="str">
        <f>IF(AA1013 = "", "",
    IF(ISNUMBER(SEARCH("Kiện", C1013)),
       " GÓI " &amp; COUNTIF($C$13:C1013, "*Kiện*") &amp; "/" &amp; COUNTIF($C$13:$C$1000, "*Kiện*") &amp; " " &amp; AA1013,
       AA1013)
)</f>
        <v/>
      </c>
      <c r="F1013" s="206"/>
      <c r="G1013" s="206"/>
      <c r="H1013" s="206"/>
      <c r="I1013" s="206"/>
      <c r="J1013" s="206" t="str">
        <f t="shared" si="223"/>
        <v/>
      </c>
      <c r="K1013" s="206" t="str">
        <f t="shared" si="225"/>
        <v/>
      </c>
      <c r="L1013" s="206" t="str">
        <f t="shared" si="226"/>
        <v/>
      </c>
      <c r="M1013" s="206" t="str">
        <f t="shared" si="227"/>
        <v/>
      </c>
      <c r="N1013" s="206" t="str">
        <f t="shared" si="228"/>
        <v/>
      </c>
      <c r="O1013" s="206" t="str">
        <f t="shared" si="229"/>
        <v/>
      </c>
      <c r="P1013" s="84" t="str">
        <f t="shared" si="230"/>
        <v/>
      </c>
      <c r="Q1013" s="205"/>
      <c r="R1013" s="70" t="str">
        <f>IF(S1013="IN",'BOM_Phan II'!$Y$3,"")</f>
        <v/>
      </c>
      <c r="S1013" s="69" t="str">
        <f t="shared" si="222"/>
        <v/>
      </c>
      <c r="T1013">
        <f t="shared" si="231"/>
        <v>3</v>
      </c>
      <c r="U1013" t="str">
        <f t="shared" si="219"/>
        <v>KIỆN 14</v>
      </c>
      <c r="V1013" t="str">
        <f t="shared" si="232"/>
        <v/>
      </c>
      <c r="W1013" s="266"/>
      <c r="X1013" s="266"/>
      <c r="Y1013" s="266" t="str">
        <f t="shared" si="224"/>
        <v/>
      </c>
      <c r="Z1013" s="266"/>
    </row>
    <row r="1014" spans="1:26" ht="27" hidden="1" customHeight="1">
      <c r="A1014" s="70" t="str">
        <f t="shared" si="220"/>
        <v/>
      </c>
      <c r="B1014" s="70" t="str">
        <f t="shared" si="221"/>
        <v/>
      </c>
      <c r="C1014" s="204" t="str" cm="1">
        <f t="array" ref="C1014">IF(D1014="","",
    IF(AND(ISNUMBER(D1014), D1014=INT(D1014)),
        $V$6 &amp; " " &amp; (IFERROR(MAX($Y$12:$Y1013), 0) + 1),
        IF(ISNUMBER(SEARCH(".", D1014)), "", INDEX($C$12:$C1014, MATCH(2, 1/($C$12:$C1014 &lt;&gt; ""))))
    )
)</f>
        <v/>
      </c>
      <c r="D1014" s="206"/>
      <c r="E1014" s="206" t="str">
        <f>IF(AA1014 = "", "",
    IF(ISNUMBER(SEARCH("Kiện", C1014)),
       " GÓI " &amp; COUNTIF($C$13:C1014, "*Kiện*") &amp; "/" &amp; COUNTIF($C$13:$C$1000, "*Kiện*") &amp; " " &amp; AA1014,
       AA1014)
)</f>
        <v/>
      </c>
      <c r="F1014" s="206"/>
      <c r="G1014" s="206"/>
      <c r="H1014" s="206"/>
      <c r="I1014" s="206"/>
      <c r="J1014" s="206" t="str">
        <f t="shared" si="223"/>
        <v/>
      </c>
      <c r="K1014" s="206" t="str">
        <f t="shared" si="225"/>
        <v/>
      </c>
      <c r="L1014" s="206" t="str">
        <f t="shared" si="226"/>
        <v/>
      </c>
      <c r="M1014" s="206" t="str">
        <f t="shared" si="227"/>
        <v/>
      </c>
      <c r="N1014" s="206" t="str">
        <f t="shared" si="228"/>
        <v/>
      </c>
      <c r="O1014" s="206" t="str">
        <f t="shared" si="229"/>
        <v/>
      </c>
      <c r="P1014" s="84" t="str">
        <f t="shared" si="230"/>
        <v/>
      </c>
      <c r="Q1014" s="205"/>
      <c r="R1014" s="70" t="str">
        <f>IF(S1014="IN",'BOM_Phan II'!$Y$3,"")</f>
        <v/>
      </c>
      <c r="S1014" s="69" t="str">
        <f t="shared" si="222"/>
        <v/>
      </c>
      <c r="T1014">
        <f t="shared" si="231"/>
        <v>3</v>
      </c>
      <c r="U1014" t="str">
        <f t="shared" si="219"/>
        <v>KIỆN 14</v>
      </c>
      <c r="V1014" t="str">
        <f t="shared" si="232"/>
        <v/>
      </c>
      <c r="W1014" s="266"/>
      <c r="X1014" s="266"/>
      <c r="Y1014" s="266" t="str">
        <f t="shared" si="224"/>
        <v/>
      </c>
      <c r="Z1014" s="266"/>
    </row>
    <row r="1015" spans="1:26" ht="27" hidden="1" customHeight="1">
      <c r="A1015" s="70" t="str">
        <f t="shared" si="220"/>
        <v/>
      </c>
      <c r="B1015" s="70" t="str">
        <f t="shared" si="221"/>
        <v/>
      </c>
      <c r="C1015" s="204" t="str" cm="1">
        <f t="array" ref="C1015">IF(D1015="","",
    IF(AND(ISNUMBER(D1015), D1015=INT(D1015)),
        $V$6 &amp; " " &amp; (IFERROR(MAX($Y$12:$Y1014), 0) + 1),
        IF(ISNUMBER(SEARCH(".", D1015)), "", INDEX($C$12:$C1015, MATCH(2, 1/($C$12:$C1015 &lt;&gt; ""))))
    )
)</f>
        <v/>
      </c>
      <c r="D1015" s="206"/>
      <c r="E1015" s="206" t="str">
        <f>IF(AA1015 = "", "",
    IF(ISNUMBER(SEARCH("Kiện", C1015)),
       " GÓI " &amp; COUNTIF($C$13:C1015, "*Kiện*") &amp; "/" &amp; COUNTIF($C$13:$C$1000, "*Kiện*") &amp; " " &amp; AA1015,
       AA1015)
)</f>
        <v/>
      </c>
      <c r="F1015" s="206"/>
      <c r="G1015" s="206"/>
      <c r="H1015" s="206"/>
      <c r="I1015" s="206"/>
      <c r="J1015" s="206" t="str">
        <f t="shared" si="223"/>
        <v/>
      </c>
      <c r="K1015" s="206" t="str">
        <f t="shared" si="225"/>
        <v/>
      </c>
      <c r="L1015" s="206" t="str">
        <f t="shared" si="226"/>
        <v/>
      </c>
      <c r="M1015" s="206" t="str">
        <f t="shared" si="227"/>
        <v/>
      </c>
      <c r="N1015" s="206" t="str">
        <f t="shared" si="228"/>
        <v/>
      </c>
      <c r="O1015" s="206" t="str">
        <f t="shared" si="229"/>
        <v/>
      </c>
      <c r="P1015" s="84" t="str">
        <f t="shared" si="230"/>
        <v/>
      </c>
      <c r="Q1015" s="205"/>
      <c r="R1015" s="70" t="str">
        <f>IF(S1015="IN",'BOM_Phan II'!$Y$3,"")</f>
        <v/>
      </c>
      <c r="S1015" s="69" t="str">
        <f t="shared" si="222"/>
        <v/>
      </c>
      <c r="T1015">
        <f t="shared" si="231"/>
        <v>3</v>
      </c>
      <c r="U1015" t="str">
        <f t="shared" si="219"/>
        <v>KIỆN 14</v>
      </c>
      <c r="V1015" t="str">
        <f t="shared" si="232"/>
        <v/>
      </c>
      <c r="W1015" s="266"/>
      <c r="X1015" s="266"/>
      <c r="Y1015" s="266" t="str">
        <f t="shared" si="224"/>
        <v/>
      </c>
      <c r="Z1015" s="266"/>
    </row>
    <row r="1016" spans="1:26" ht="27" hidden="1" customHeight="1">
      <c r="A1016" s="70" t="str">
        <f t="shared" si="220"/>
        <v/>
      </c>
      <c r="B1016" s="70" t="str">
        <f t="shared" si="221"/>
        <v/>
      </c>
      <c r="C1016" s="204" t="str" cm="1">
        <f t="array" ref="C1016">IF(D1016="","",
    IF(AND(ISNUMBER(D1016), D1016=INT(D1016)),
        $V$6 &amp; " " &amp; (IFERROR(MAX($Y$12:$Y1015), 0) + 1),
        IF(ISNUMBER(SEARCH(".", D1016)), "", INDEX($C$12:$C1016, MATCH(2, 1/($C$12:$C1016 &lt;&gt; ""))))
    )
)</f>
        <v/>
      </c>
      <c r="D1016" s="206"/>
      <c r="E1016" s="206" t="str">
        <f>IF(AA1016 = "", "",
    IF(ISNUMBER(SEARCH("Kiện", C1016)),
       " GÓI " &amp; COUNTIF($C$13:C1016, "*Kiện*") &amp; "/" &amp; COUNTIF($C$13:$C$1000, "*Kiện*") &amp; " " &amp; AA1016,
       AA1016)
)</f>
        <v/>
      </c>
      <c r="F1016" s="206"/>
      <c r="G1016" s="206"/>
      <c r="H1016" s="206"/>
      <c r="I1016" s="206"/>
      <c r="J1016" s="206" t="str">
        <f t="shared" si="223"/>
        <v/>
      </c>
      <c r="K1016" s="206" t="str">
        <f t="shared" si="225"/>
        <v/>
      </c>
      <c r="L1016" s="206" t="str">
        <f t="shared" si="226"/>
        <v/>
      </c>
      <c r="M1016" s="206" t="str">
        <f t="shared" si="227"/>
        <v/>
      </c>
      <c r="N1016" s="206" t="str">
        <f t="shared" si="228"/>
        <v/>
      </c>
      <c r="O1016" s="206" t="str">
        <f t="shared" si="229"/>
        <v/>
      </c>
      <c r="P1016" s="84" t="str">
        <f t="shared" si="230"/>
        <v/>
      </c>
      <c r="Q1016" s="205"/>
      <c r="R1016" s="70" t="str">
        <f>IF(S1016="IN",'BOM_Phan II'!$Y$3,"")</f>
        <v/>
      </c>
      <c r="S1016" s="69" t="str">
        <f t="shared" si="222"/>
        <v/>
      </c>
      <c r="T1016">
        <f t="shared" si="231"/>
        <v>3</v>
      </c>
      <c r="U1016" t="str">
        <f t="shared" si="219"/>
        <v>KIỆN 14</v>
      </c>
      <c r="V1016" t="str">
        <f t="shared" si="232"/>
        <v/>
      </c>
      <c r="W1016" s="266"/>
      <c r="X1016" s="266"/>
      <c r="Y1016" s="266" t="str">
        <f t="shared" si="224"/>
        <v/>
      </c>
      <c r="Z1016" s="266"/>
    </row>
    <row r="1017" spans="1:26" ht="27" hidden="1" customHeight="1">
      <c r="A1017" s="70" t="str">
        <f t="shared" si="220"/>
        <v/>
      </c>
      <c r="B1017" s="70" t="str">
        <f t="shared" si="221"/>
        <v/>
      </c>
      <c r="C1017" s="204" t="str" cm="1">
        <f t="array" ref="C1017">IF(D1017="","",
    IF(AND(ISNUMBER(D1017), D1017=INT(D1017)),
        $V$6 &amp; " " &amp; (IFERROR(MAX($Y$12:$Y1016), 0) + 1),
        IF(ISNUMBER(SEARCH(".", D1017)), "", INDEX($C$12:$C1017, MATCH(2, 1/($C$12:$C1017 &lt;&gt; ""))))
    )
)</f>
        <v/>
      </c>
      <c r="D1017" s="206"/>
      <c r="E1017" s="206" t="str">
        <f>IF(AA1017 = "", "",
    IF(ISNUMBER(SEARCH("Kiện", C1017)),
       " GÓI " &amp; COUNTIF($C$13:C1017, "*Kiện*") &amp; "/" &amp; COUNTIF($C$13:$C$1000, "*Kiện*") &amp; " " &amp; AA1017,
       AA1017)
)</f>
        <v/>
      </c>
      <c r="F1017" s="206"/>
      <c r="G1017" s="206"/>
      <c r="H1017" s="206"/>
      <c r="I1017" s="206"/>
      <c r="J1017" s="206" t="str">
        <f t="shared" si="223"/>
        <v/>
      </c>
      <c r="K1017" s="206" t="str">
        <f t="shared" si="225"/>
        <v/>
      </c>
      <c r="L1017" s="206" t="str">
        <f t="shared" si="226"/>
        <v/>
      </c>
      <c r="M1017" s="206" t="str">
        <f t="shared" si="227"/>
        <v/>
      </c>
      <c r="N1017" s="206" t="str">
        <f t="shared" si="228"/>
        <v/>
      </c>
      <c r="O1017" s="206" t="str">
        <f t="shared" si="229"/>
        <v/>
      </c>
      <c r="P1017" s="84" t="str">
        <f t="shared" si="230"/>
        <v/>
      </c>
      <c r="Q1017" s="205"/>
      <c r="R1017" s="70" t="str">
        <f>IF(S1017="IN",'BOM_Phan II'!$Y$3,"")</f>
        <v/>
      </c>
      <c r="S1017" s="69" t="str">
        <f t="shared" si="222"/>
        <v/>
      </c>
      <c r="T1017">
        <f t="shared" si="231"/>
        <v>3</v>
      </c>
      <c r="U1017" t="str">
        <f t="shared" si="219"/>
        <v>KIỆN 14</v>
      </c>
      <c r="V1017" t="str">
        <f t="shared" si="232"/>
        <v/>
      </c>
      <c r="W1017" s="266"/>
      <c r="X1017" s="266"/>
      <c r="Y1017" s="266" t="str">
        <f t="shared" si="224"/>
        <v/>
      </c>
      <c r="Z1017" s="266"/>
    </row>
    <row r="1018" spans="1:26" ht="27" hidden="1" customHeight="1">
      <c r="A1018" s="70" t="str">
        <f t="shared" si="220"/>
        <v/>
      </c>
      <c r="B1018" s="70" t="str">
        <f t="shared" si="221"/>
        <v/>
      </c>
      <c r="C1018" s="204" t="str" cm="1">
        <f t="array" ref="C1018">IF(D1018="","",
    IF(AND(ISNUMBER(D1018), D1018=INT(D1018)),
        $V$6 &amp; " " &amp; (IFERROR(MAX($Y$12:$Y1017), 0) + 1),
        IF(ISNUMBER(SEARCH(".", D1018)), "", INDEX($C$12:$C1018, MATCH(2, 1/($C$12:$C1018 &lt;&gt; ""))))
    )
)</f>
        <v/>
      </c>
      <c r="D1018" s="206"/>
      <c r="E1018" s="206" t="str">
        <f>IF(AA1018 = "", "",
    IF(ISNUMBER(SEARCH("Kiện", C1018)),
       " GÓI " &amp; COUNTIF($C$13:C1018, "*Kiện*") &amp; "/" &amp; COUNTIF($C$13:$C$1000, "*Kiện*") &amp; " " &amp; AA1018,
       AA1018)
)</f>
        <v/>
      </c>
      <c r="F1018" s="206"/>
      <c r="G1018" s="206"/>
      <c r="H1018" s="206"/>
      <c r="I1018" s="206"/>
      <c r="J1018" s="206" t="str">
        <f t="shared" si="223"/>
        <v/>
      </c>
      <c r="K1018" s="206" t="str">
        <f t="shared" si="225"/>
        <v/>
      </c>
      <c r="L1018" s="206" t="str">
        <f t="shared" si="226"/>
        <v/>
      </c>
      <c r="M1018" s="206" t="str">
        <f t="shared" si="227"/>
        <v/>
      </c>
      <c r="N1018" s="206" t="str">
        <f t="shared" si="228"/>
        <v/>
      </c>
      <c r="O1018" s="206" t="str">
        <f t="shared" si="229"/>
        <v/>
      </c>
      <c r="P1018" s="84" t="str">
        <f t="shared" si="230"/>
        <v/>
      </c>
      <c r="Q1018" s="205"/>
      <c r="R1018" s="70" t="str">
        <f>IF(S1018="IN",'BOM_Phan II'!$Y$3,"")</f>
        <v/>
      </c>
      <c r="S1018" s="69" t="str">
        <f t="shared" si="222"/>
        <v/>
      </c>
      <c r="T1018">
        <f t="shared" si="231"/>
        <v>3</v>
      </c>
      <c r="U1018" t="str">
        <f t="shared" si="219"/>
        <v>KIỆN 14</v>
      </c>
      <c r="V1018" t="str">
        <f t="shared" si="232"/>
        <v/>
      </c>
      <c r="W1018" s="266"/>
      <c r="X1018" s="266"/>
      <c r="Y1018" s="266" t="str">
        <f t="shared" si="224"/>
        <v/>
      </c>
      <c r="Z1018" s="266"/>
    </row>
    <row r="1019" spans="1:26" ht="27" hidden="1" customHeight="1">
      <c r="A1019" s="70" t="str">
        <f t="shared" si="220"/>
        <v/>
      </c>
      <c r="B1019" s="70" t="str">
        <f t="shared" si="221"/>
        <v/>
      </c>
      <c r="C1019" s="204" t="str" cm="1">
        <f t="array" ref="C1019">IF(D1019="","",
    IF(AND(ISNUMBER(D1019), D1019=INT(D1019)),
        $V$6 &amp; " " &amp; (IFERROR(MAX($Y$12:$Y1018), 0) + 1),
        IF(ISNUMBER(SEARCH(".", D1019)), "", INDEX($C$12:$C1019, MATCH(2, 1/($C$12:$C1019 &lt;&gt; ""))))
    )
)</f>
        <v/>
      </c>
      <c r="D1019" s="206"/>
      <c r="E1019" s="206" t="str">
        <f>IF(AA1019 = "", "",
    IF(ISNUMBER(SEARCH("Kiện", C1019)),
       " GÓI " &amp; COUNTIF($C$13:C1019, "*Kiện*") &amp; "/" &amp; COUNTIF($C$13:$C$1000, "*Kiện*") &amp; " " &amp; AA1019,
       AA1019)
)</f>
        <v/>
      </c>
      <c r="F1019" s="206"/>
      <c r="G1019" s="206"/>
      <c r="H1019" s="206"/>
      <c r="I1019" s="206"/>
      <c r="J1019" s="206" t="str">
        <f t="shared" si="223"/>
        <v/>
      </c>
      <c r="K1019" s="206" t="str">
        <f t="shared" si="225"/>
        <v/>
      </c>
      <c r="L1019" s="206" t="str">
        <f t="shared" si="226"/>
        <v/>
      </c>
      <c r="M1019" s="206" t="str">
        <f t="shared" si="227"/>
        <v/>
      </c>
      <c r="N1019" s="206" t="str">
        <f t="shared" si="228"/>
        <v/>
      </c>
      <c r="O1019" s="206" t="str">
        <f t="shared" si="229"/>
        <v/>
      </c>
      <c r="P1019" s="84" t="str">
        <f t="shared" si="230"/>
        <v/>
      </c>
      <c r="Q1019" s="205"/>
      <c r="R1019" s="70" t="str">
        <f>IF(S1019="IN",'BOM_Phan II'!$Y$3,"")</f>
        <v/>
      </c>
      <c r="S1019" s="69" t="str">
        <f t="shared" si="222"/>
        <v/>
      </c>
      <c r="T1019">
        <f t="shared" si="231"/>
        <v>3</v>
      </c>
      <c r="U1019" t="str">
        <f t="shared" si="219"/>
        <v>KIỆN 14</v>
      </c>
      <c r="V1019" t="str">
        <f t="shared" si="232"/>
        <v/>
      </c>
      <c r="W1019" s="266"/>
      <c r="X1019" s="266"/>
      <c r="Y1019" s="266" t="str">
        <f t="shared" si="224"/>
        <v/>
      </c>
      <c r="Z1019" s="266"/>
    </row>
    <row r="1020" spans="1:26" ht="27" hidden="1" customHeight="1">
      <c r="A1020" s="70" t="str">
        <f t="shared" si="220"/>
        <v/>
      </c>
      <c r="B1020" s="70" t="str">
        <f t="shared" si="221"/>
        <v/>
      </c>
      <c r="C1020" s="204" t="str" cm="1">
        <f t="array" ref="C1020">IF(D1020="","",
    IF(AND(ISNUMBER(D1020), D1020=INT(D1020)),
        $V$6 &amp; " " &amp; (IFERROR(MAX($Y$12:$Y1019), 0) + 1),
        IF(ISNUMBER(SEARCH(".", D1020)), "", INDEX($C$12:$C1020, MATCH(2, 1/($C$12:$C1020 &lt;&gt; ""))))
    )
)</f>
        <v/>
      </c>
      <c r="D1020" s="206"/>
      <c r="E1020" s="206" t="str">
        <f>IF(AA1020 = "", "",
    IF(ISNUMBER(SEARCH("Kiện", C1020)),
       " GÓI " &amp; COUNTIF($C$13:C1020, "*Kiện*") &amp; "/" &amp; COUNTIF($C$13:$C$1000, "*Kiện*") &amp; " " &amp; AA1020,
       AA1020)
)</f>
        <v/>
      </c>
      <c r="F1020" s="206"/>
      <c r="G1020" s="206"/>
      <c r="H1020" s="206"/>
      <c r="I1020" s="206"/>
      <c r="J1020" s="206" t="str">
        <f t="shared" si="223"/>
        <v/>
      </c>
      <c r="K1020" s="206" t="str">
        <f t="shared" si="225"/>
        <v/>
      </c>
      <c r="L1020" s="206" t="str">
        <f t="shared" si="226"/>
        <v/>
      </c>
      <c r="M1020" s="206" t="str">
        <f t="shared" si="227"/>
        <v/>
      </c>
      <c r="N1020" s="206" t="str">
        <f t="shared" si="228"/>
        <v/>
      </c>
      <c r="O1020" s="206" t="str">
        <f t="shared" si="229"/>
        <v/>
      </c>
      <c r="P1020" s="84" t="str">
        <f t="shared" si="230"/>
        <v/>
      </c>
      <c r="Q1020" s="205"/>
      <c r="R1020" s="70" t="str">
        <f>IF(S1020="IN",'BOM_Phan II'!$Y$3,"")</f>
        <v/>
      </c>
      <c r="S1020" s="69" t="str">
        <f t="shared" si="222"/>
        <v/>
      </c>
      <c r="T1020">
        <f t="shared" si="231"/>
        <v>3</v>
      </c>
      <c r="U1020" t="str">
        <f t="shared" si="219"/>
        <v>KIỆN 14</v>
      </c>
      <c r="V1020" t="str">
        <f t="shared" si="232"/>
        <v/>
      </c>
      <c r="W1020" s="266"/>
      <c r="X1020" s="266"/>
      <c r="Y1020" s="266" t="str">
        <f t="shared" si="224"/>
        <v/>
      </c>
      <c r="Z1020" s="266"/>
    </row>
    <row r="1021" spans="1:26" ht="27" hidden="1" customHeight="1">
      <c r="A1021" s="70" t="str">
        <f t="shared" si="220"/>
        <v/>
      </c>
      <c r="B1021" s="70" t="str">
        <f t="shared" si="221"/>
        <v/>
      </c>
      <c r="C1021" s="204" t="str" cm="1">
        <f t="array" ref="C1021">IF(D1021="","",
    IF(AND(ISNUMBER(D1021), D1021=INT(D1021)),
        $V$6 &amp; " " &amp; (IFERROR(MAX($Y$12:$Y1020), 0) + 1),
        IF(ISNUMBER(SEARCH(".", D1021)), "", INDEX($C$12:$C1021, MATCH(2, 1/($C$12:$C1021 &lt;&gt; ""))))
    )
)</f>
        <v/>
      </c>
      <c r="D1021" s="206"/>
      <c r="E1021" s="206" t="str">
        <f>IF(AA1021 = "", "",
    IF(ISNUMBER(SEARCH("Kiện", C1021)),
       " GÓI " &amp; COUNTIF($C$13:C1021, "*Kiện*") &amp; "/" &amp; COUNTIF($C$13:$C$1000, "*Kiện*") &amp; " " &amp; AA1021,
       AA1021)
)</f>
        <v/>
      </c>
      <c r="F1021" s="206"/>
      <c r="G1021" s="206"/>
      <c r="H1021" s="206"/>
      <c r="I1021" s="206"/>
      <c r="J1021" s="206" t="str">
        <f t="shared" si="223"/>
        <v/>
      </c>
      <c r="K1021" s="206" t="str">
        <f t="shared" si="225"/>
        <v/>
      </c>
      <c r="L1021" s="206" t="str">
        <f t="shared" si="226"/>
        <v/>
      </c>
      <c r="M1021" s="206" t="str">
        <f t="shared" si="227"/>
        <v/>
      </c>
      <c r="N1021" s="206" t="str">
        <f t="shared" si="228"/>
        <v/>
      </c>
      <c r="O1021" s="206" t="str">
        <f t="shared" si="229"/>
        <v/>
      </c>
      <c r="P1021" s="84" t="str">
        <f t="shared" si="230"/>
        <v/>
      </c>
      <c r="Q1021" s="205"/>
      <c r="R1021" s="70" t="str">
        <f>IF(S1021="IN",'BOM_Phan II'!$Y$3,"")</f>
        <v/>
      </c>
      <c r="S1021" s="69" t="str">
        <f t="shared" si="222"/>
        <v/>
      </c>
      <c r="T1021">
        <f t="shared" si="231"/>
        <v>3</v>
      </c>
      <c r="U1021" t="str">
        <f t="shared" si="219"/>
        <v>KIỆN 14</v>
      </c>
      <c r="V1021" t="str">
        <f t="shared" si="232"/>
        <v/>
      </c>
      <c r="W1021" s="266"/>
      <c r="X1021" s="266"/>
      <c r="Y1021" s="266" t="str">
        <f t="shared" si="224"/>
        <v/>
      </c>
      <c r="Z1021" s="266"/>
    </row>
    <row r="1022" spans="1:26" ht="27" hidden="1" customHeight="1">
      <c r="A1022" s="70" t="str">
        <f t="shared" si="220"/>
        <v/>
      </c>
      <c r="B1022" s="70" t="str">
        <f t="shared" si="221"/>
        <v/>
      </c>
      <c r="C1022" s="204" t="str" cm="1">
        <f t="array" ref="C1022">IF(D1022="","",
    IF(AND(ISNUMBER(D1022), D1022=INT(D1022)),
        $V$6 &amp; " " &amp; (IFERROR(MAX($Y$12:$Y1021), 0) + 1),
        IF(ISNUMBER(SEARCH(".", D1022)), "", INDEX($C$12:$C1022, MATCH(2, 1/($C$12:$C1022 &lt;&gt; ""))))
    )
)</f>
        <v/>
      </c>
      <c r="D1022" s="206"/>
      <c r="E1022" s="206" t="str">
        <f>IF(AA1022 = "", "",
    IF(ISNUMBER(SEARCH("Kiện", C1022)),
       " GÓI " &amp; COUNTIF($C$13:C1022, "*Kiện*") &amp; "/" &amp; COUNTIF($C$13:$C$1000, "*Kiện*") &amp; " " &amp; AA1022,
       AA1022)
)</f>
        <v/>
      </c>
      <c r="F1022" s="206"/>
      <c r="G1022" s="206"/>
      <c r="H1022" s="206"/>
      <c r="I1022" s="206"/>
      <c r="J1022" s="206" t="str">
        <f t="shared" si="223"/>
        <v/>
      </c>
      <c r="K1022" s="206" t="str">
        <f t="shared" si="225"/>
        <v/>
      </c>
      <c r="L1022" s="206" t="str">
        <f t="shared" si="226"/>
        <v/>
      </c>
      <c r="M1022" s="206" t="str">
        <f t="shared" si="227"/>
        <v/>
      </c>
      <c r="N1022" s="206" t="str">
        <f t="shared" si="228"/>
        <v/>
      </c>
      <c r="O1022" s="206" t="str">
        <f t="shared" si="229"/>
        <v/>
      </c>
      <c r="P1022" s="84" t="str">
        <f t="shared" si="230"/>
        <v/>
      </c>
      <c r="Q1022" s="205"/>
      <c r="R1022" s="70" t="str">
        <f>IF(S1022="IN",'BOM_Phan II'!$Y$3,"")</f>
        <v/>
      </c>
      <c r="S1022" s="69" t="str">
        <f t="shared" si="222"/>
        <v/>
      </c>
      <c r="T1022">
        <f t="shared" si="231"/>
        <v>3</v>
      </c>
      <c r="U1022" t="str">
        <f t="shared" si="219"/>
        <v>KIỆN 14</v>
      </c>
      <c r="V1022" t="str">
        <f t="shared" si="232"/>
        <v/>
      </c>
      <c r="W1022" s="266"/>
      <c r="X1022" s="266"/>
      <c r="Y1022" s="266" t="str">
        <f t="shared" si="224"/>
        <v/>
      </c>
      <c r="Z1022" s="266"/>
    </row>
    <row r="1023" spans="1:26" ht="27" hidden="1" customHeight="1">
      <c r="A1023" s="70" t="str">
        <f t="shared" si="220"/>
        <v/>
      </c>
      <c r="B1023" s="70" t="str">
        <f t="shared" si="221"/>
        <v/>
      </c>
      <c r="C1023" s="204" t="str" cm="1">
        <f t="array" ref="C1023">IF(D1023="","",
    IF(AND(ISNUMBER(D1023), D1023=INT(D1023)),
        $V$6 &amp; " " &amp; (IFERROR(MAX($Y$12:$Y1022), 0) + 1),
        IF(ISNUMBER(SEARCH(".", D1023)), "", INDEX($C$12:$C1023, MATCH(2, 1/($C$12:$C1023 &lt;&gt; ""))))
    )
)</f>
        <v/>
      </c>
      <c r="D1023" s="206"/>
      <c r="E1023" s="206" t="str">
        <f>IF(AA1023 = "", "",
    IF(ISNUMBER(SEARCH("Kiện", C1023)),
       " GÓI " &amp; COUNTIF($C$13:C1023, "*Kiện*") &amp; "/" &amp; COUNTIF($C$13:$C$1000, "*Kiện*") &amp; " " &amp; AA1023,
       AA1023)
)</f>
        <v/>
      </c>
      <c r="F1023" s="206"/>
      <c r="G1023" s="206"/>
      <c r="H1023" s="206"/>
      <c r="I1023" s="206"/>
      <c r="J1023" s="206" t="str">
        <f t="shared" si="223"/>
        <v/>
      </c>
      <c r="K1023" s="206" t="str">
        <f t="shared" si="225"/>
        <v/>
      </c>
      <c r="L1023" s="206" t="str">
        <f t="shared" si="226"/>
        <v/>
      </c>
      <c r="M1023" s="206" t="str">
        <f t="shared" si="227"/>
        <v/>
      </c>
      <c r="N1023" s="206" t="str">
        <f t="shared" si="228"/>
        <v/>
      </c>
      <c r="O1023" s="206" t="str">
        <f t="shared" si="229"/>
        <v/>
      </c>
      <c r="P1023" s="84" t="str">
        <f t="shared" si="230"/>
        <v/>
      </c>
      <c r="Q1023" s="205"/>
      <c r="R1023" s="70" t="str">
        <f>IF(S1023="IN",'BOM_Phan II'!$Y$3,"")</f>
        <v/>
      </c>
      <c r="S1023" s="69" t="str">
        <f t="shared" si="222"/>
        <v/>
      </c>
      <c r="T1023">
        <f t="shared" si="231"/>
        <v>3</v>
      </c>
      <c r="U1023" t="str">
        <f t="shared" si="219"/>
        <v>KIỆN 14</v>
      </c>
      <c r="V1023" t="str">
        <f t="shared" si="232"/>
        <v/>
      </c>
      <c r="W1023" s="266"/>
      <c r="X1023" s="266"/>
      <c r="Y1023" s="266" t="str">
        <f t="shared" si="224"/>
        <v/>
      </c>
      <c r="Z1023" s="266"/>
    </row>
    <row r="1024" spans="1:26" ht="27" hidden="1" customHeight="1">
      <c r="A1024" s="70" t="str">
        <f t="shared" si="220"/>
        <v/>
      </c>
      <c r="B1024" s="70" t="str">
        <f t="shared" si="221"/>
        <v/>
      </c>
      <c r="C1024" s="204" t="str" cm="1">
        <f t="array" ref="C1024">IF(D1024="","",
    IF(AND(ISNUMBER(D1024), D1024=INT(D1024)),
        $V$6 &amp; " " &amp; (IFERROR(MAX($Y$12:$Y1023), 0) + 1),
        IF(ISNUMBER(SEARCH(".", D1024)), "", INDEX($C$12:$C1024, MATCH(2, 1/($C$12:$C1024 &lt;&gt; ""))))
    )
)</f>
        <v/>
      </c>
      <c r="D1024" s="206"/>
      <c r="E1024" s="206" t="str">
        <f>IF(AA1024 = "", "",
    IF(ISNUMBER(SEARCH("Kiện", C1024)),
       " GÓI " &amp; COUNTIF($C$13:C1024, "*Kiện*") &amp; "/" &amp; COUNTIF($C$13:$C$1000, "*Kiện*") &amp; " " &amp; AA1024,
       AA1024)
)</f>
        <v/>
      </c>
      <c r="F1024" s="206"/>
      <c r="G1024" s="206"/>
      <c r="H1024" s="206"/>
      <c r="I1024" s="206"/>
      <c r="J1024" s="206" t="str">
        <f t="shared" si="223"/>
        <v/>
      </c>
      <c r="K1024" s="206" t="str">
        <f t="shared" si="225"/>
        <v/>
      </c>
      <c r="L1024" s="206" t="str">
        <f t="shared" si="226"/>
        <v/>
      </c>
      <c r="M1024" s="206" t="str">
        <f t="shared" si="227"/>
        <v/>
      </c>
      <c r="N1024" s="206" t="str">
        <f t="shared" si="228"/>
        <v/>
      </c>
      <c r="O1024" s="206" t="str">
        <f t="shared" si="229"/>
        <v/>
      </c>
      <c r="P1024" s="84" t="str">
        <f t="shared" si="230"/>
        <v/>
      </c>
      <c r="Q1024" s="205"/>
      <c r="R1024" s="70" t="str">
        <f>IF(S1024="IN",'BOM_Phan II'!$Y$3,"")</f>
        <v/>
      </c>
      <c r="S1024" s="69" t="str">
        <f t="shared" si="222"/>
        <v/>
      </c>
      <c r="T1024">
        <f t="shared" si="231"/>
        <v>3</v>
      </c>
      <c r="U1024" t="str">
        <f t="shared" si="219"/>
        <v>KIỆN 14</v>
      </c>
      <c r="V1024" t="str">
        <f t="shared" si="232"/>
        <v/>
      </c>
      <c r="W1024" s="266"/>
      <c r="X1024" s="266"/>
      <c r="Y1024" s="266" t="str">
        <f t="shared" si="224"/>
        <v/>
      </c>
      <c r="Z1024" s="266"/>
    </row>
    <row r="1025" spans="1:26" ht="27" hidden="1" customHeight="1">
      <c r="A1025" s="70" t="str">
        <f t="shared" si="220"/>
        <v/>
      </c>
      <c r="B1025" s="70" t="str">
        <f t="shared" si="221"/>
        <v/>
      </c>
      <c r="C1025" s="204" t="str" cm="1">
        <f t="array" ref="C1025">IF(D1025="","",
    IF(AND(ISNUMBER(D1025), D1025=INT(D1025)),
        $V$6 &amp; " " &amp; (IFERROR(MAX($Y$12:$Y1024), 0) + 1),
        IF(ISNUMBER(SEARCH(".", D1025)), "", INDEX($C$12:$C1025, MATCH(2, 1/($C$12:$C1025 &lt;&gt; ""))))
    )
)</f>
        <v/>
      </c>
      <c r="D1025" s="206"/>
      <c r="E1025" s="206" t="str">
        <f>IF(AA1025 = "", "",
    IF(ISNUMBER(SEARCH("Kiện", C1025)),
       " GÓI " &amp; COUNTIF($C$13:C1025, "*Kiện*") &amp; "/" &amp; COUNTIF($C$13:$C$1000, "*Kiện*") &amp; " " &amp; AA1025,
       AA1025)
)</f>
        <v/>
      </c>
      <c r="F1025" s="206"/>
      <c r="G1025" s="206"/>
      <c r="H1025" s="206"/>
      <c r="I1025" s="206"/>
      <c r="J1025" s="206" t="str">
        <f t="shared" si="223"/>
        <v/>
      </c>
      <c r="K1025" s="206" t="str">
        <f t="shared" si="225"/>
        <v/>
      </c>
      <c r="L1025" s="206" t="str">
        <f t="shared" si="226"/>
        <v/>
      </c>
      <c r="M1025" s="206" t="str">
        <f t="shared" si="227"/>
        <v/>
      </c>
      <c r="N1025" s="206" t="str">
        <f t="shared" si="228"/>
        <v/>
      </c>
      <c r="O1025" s="206" t="str">
        <f t="shared" si="229"/>
        <v/>
      </c>
      <c r="P1025" s="84" t="str">
        <f t="shared" si="230"/>
        <v/>
      </c>
      <c r="Q1025" s="205"/>
      <c r="R1025" s="70" t="str">
        <f>IF(S1025="IN",'BOM_Phan II'!$Y$3,"")</f>
        <v/>
      </c>
      <c r="S1025" s="69" t="str">
        <f t="shared" si="222"/>
        <v/>
      </c>
      <c r="T1025">
        <f t="shared" si="231"/>
        <v>3</v>
      </c>
      <c r="U1025" t="str">
        <f t="shared" si="219"/>
        <v>KIỆN 14</v>
      </c>
      <c r="V1025" t="str">
        <f t="shared" si="232"/>
        <v/>
      </c>
      <c r="W1025" s="266"/>
      <c r="X1025" s="266"/>
      <c r="Y1025" s="266" t="str">
        <f t="shared" si="224"/>
        <v/>
      </c>
      <c r="Z1025" s="266"/>
    </row>
    <row r="1026" spans="1:26" ht="27" hidden="1" customHeight="1">
      <c r="A1026" s="70" t="str">
        <f t="shared" si="220"/>
        <v/>
      </c>
      <c r="B1026" s="70" t="str">
        <f t="shared" si="221"/>
        <v/>
      </c>
      <c r="C1026" s="204" t="str" cm="1">
        <f t="array" ref="C1026">IF(D1026="","",
    IF(AND(ISNUMBER(D1026), D1026=INT(D1026)),
        $V$6 &amp; " " &amp; (IFERROR(MAX($Y$12:$Y1025), 0) + 1),
        IF(ISNUMBER(SEARCH(".", D1026)), "", INDEX($C$12:$C1026, MATCH(2, 1/($C$12:$C1026 &lt;&gt; ""))))
    )
)</f>
        <v/>
      </c>
      <c r="D1026" s="206"/>
      <c r="E1026" s="206" t="str">
        <f>IF(AA1026 = "", "",
    IF(ISNUMBER(SEARCH("Kiện", C1026)),
       " GÓI " &amp; COUNTIF($C$13:C1026, "*Kiện*") &amp; "/" &amp; COUNTIF($C$13:$C$1000, "*Kiện*") &amp; " " &amp; AA1026,
       AA1026)
)</f>
        <v/>
      </c>
      <c r="F1026" s="206"/>
      <c r="G1026" s="206"/>
      <c r="H1026" s="206"/>
      <c r="I1026" s="206"/>
      <c r="J1026" s="206" t="str">
        <f t="shared" si="223"/>
        <v/>
      </c>
      <c r="K1026" s="206" t="str">
        <f t="shared" si="225"/>
        <v/>
      </c>
      <c r="L1026" s="206" t="str">
        <f t="shared" si="226"/>
        <v/>
      </c>
      <c r="M1026" s="206" t="str">
        <f t="shared" si="227"/>
        <v/>
      </c>
      <c r="N1026" s="206" t="str">
        <f t="shared" si="228"/>
        <v/>
      </c>
      <c r="O1026" s="206" t="str">
        <f t="shared" si="229"/>
        <v/>
      </c>
      <c r="P1026" s="84" t="str">
        <f t="shared" si="230"/>
        <v/>
      </c>
      <c r="Q1026" s="205"/>
      <c r="R1026" s="70" t="str">
        <f>IF(S1026="IN",'BOM_Phan II'!$Y$3,"")</f>
        <v/>
      </c>
      <c r="S1026" s="69" t="str">
        <f t="shared" si="222"/>
        <v/>
      </c>
      <c r="T1026">
        <f t="shared" si="231"/>
        <v>3</v>
      </c>
      <c r="U1026" t="str">
        <f t="shared" si="219"/>
        <v>KIỆN 14</v>
      </c>
      <c r="V1026" t="str">
        <f t="shared" si="232"/>
        <v/>
      </c>
      <c r="W1026" s="266"/>
      <c r="X1026" s="266"/>
      <c r="Y1026" s="266" t="str">
        <f t="shared" si="224"/>
        <v/>
      </c>
      <c r="Z1026" s="266"/>
    </row>
    <row r="1027" spans="1:26" ht="27" hidden="1" customHeight="1">
      <c r="A1027" s="70" t="str">
        <f t="shared" si="220"/>
        <v/>
      </c>
      <c r="B1027" s="70" t="str">
        <f t="shared" si="221"/>
        <v/>
      </c>
      <c r="C1027" s="204" t="str" cm="1">
        <f t="array" ref="C1027">IF(D1027="","",
    IF(AND(ISNUMBER(D1027), D1027=INT(D1027)),
        $V$6 &amp; " " &amp; (IFERROR(MAX($Y$12:$Y1026), 0) + 1),
        IF(ISNUMBER(SEARCH(".", D1027)), "", INDEX($C$12:$C1027, MATCH(2, 1/($C$12:$C1027 &lt;&gt; ""))))
    )
)</f>
        <v/>
      </c>
      <c r="D1027" s="206"/>
      <c r="E1027" s="206" t="str">
        <f>IF(AA1027 = "", "",
    IF(ISNUMBER(SEARCH("Kiện", C1027)),
       " GÓI " &amp; COUNTIF($C$13:C1027, "*Kiện*") &amp; "/" &amp; COUNTIF($C$13:$C$1000, "*Kiện*") &amp; " " &amp; AA1027,
       AA1027)
)</f>
        <v/>
      </c>
      <c r="F1027" s="206"/>
      <c r="G1027" s="206"/>
      <c r="H1027" s="206"/>
      <c r="I1027" s="206"/>
      <c r="J1027" s="206" t="str">
        <f t="shared" si="223"/>
        <v/>
      </c>
      <c r="K1027" s="206" t="str">
        <f t="shared" si="225"/>
        <v/>
      </c>
      <c r="L1027" s="206" t="str">
        <f t="shared" si="226"/>
        <v/>
      </c>
      <c r="M1027" s="206" t="str">
        <f t="shared" si="227"/>
        <v/>
      </c>
      <c r="N1027" s="206" t="str">
        <f t="shared" si="228"/>
        <v/>
      </c>
      <c r="O1027" s="206" t="str">
        <f t="shared" si="229"/>
        <v/>
      </c>
      <c r="P1027" s="84" t="str">
        <f t="shared" si="230"/>
        <v/>
      </c>
      <c r="Q1027" s="205"/>
      <c r="R1027" s="70" t="str">
        <f>IF(S1027="IN",'BOM_Phan II'!$Y$3,"")</f>
        <v/>
      </c>
      <c r="S1027" s="69" t="str">
        <f t="shared" si="222"/>
        <v/>
      </c>
      <c r="T1027">
        <f t="shared" si="231"/>
        <v>3</v>
      </c>
      <c r="U1027" t="str">
        <f t="shared" ref="U1027:U1090" si="233">IF(C1027="",U1026,C1027)</f>
        <v>KIỆN 14</v>
      </c>
      <c r="V1027" t="str">
        <f t="shared" si="232"/>
        <v/>
      </c>
      <c r="W1027" s="266"/>
      <c r="X1027" s="266"/>
      <c r="Y1027" s="266" t="str">
        <f t="shared" si="224"/>
        <v/>
      </c>
      <c r="Z1027" s="266"/>
    </row>
    <row r="1028" spans="1:26" ht="27" hidden="1" customHeight="1">
      <c r="A1028" s="70" t="str">
        <f t="shared" si="220"/>
        <v/>
      </c>
      <c r="B1028" s="70" t="str">
        <f t="shared" si="221"/>
        <v/>
      </c>
      <c r="C1028" s="204" t="str" cm="1">
        <f t="array" ref="C1028">IF(D1028="","",
    IF(AND(ISNUMBER(D1028), D1028=INT(D1028)),
        $V$6 &amp; " " &amp; (IFERROR(MAX($Y$12:$Y1027), 0) + 1),
        IF(ISNUMBER(SEARCH(".", D1028)), "", INDEX($C$12:$C1028, MATCH(2, 1/($C$12:$C1028 &lt;&gt; ""))))
    )
)</f>
        <v/>
      </c>
      <c r="D1028" s="206"/>
      <c r="E1028" s="206" t="str">
        <f>IF(AA1028 = "", "",
    IF(ISNUMBER(SEARCH("Kiện", C1028)),
       " GÓI " &amp; COUNTIF($C$13:C1028, "*Kiện*") &amp; "/" &amp; COUNTIF($C$13:$C$1000, "*Kiện*") &amp; " " &amp; AA1028,
       AA1028)
)</f>
        <v/>
      </c>
      <c r="F1028" s="206"/>
      <c r="G1028" s="206"/>
      <c r="H1028" s="206"/>
      <c r="I1028" s="206"/>
      <c r="J1028" s="206" t="str">
        <f t="shared" si="223"/>
        <v/>
      </c>
      <c r="K1028" s="206" t="str">
        <f t="shared" si="225"/>
        <v/>
      </c>
      <c r="L1028" s="206" t="str">
        <f t="shared" si="226"/>
        <v/>
      </c>
      <c r="M1028" s="206" t="str">
        <f t="shared" si="227"/>
        <v/>
      </c>
      <c r="N1028" s="206" t="str">
        <f t="shared" si="228"/>
        <v/>
      </c>
      <c r="O1028" s="206" t="str">
        <f t="shared" si="229"/>
        <v/>
      </c>
      <c r="P1028" s="84" t="str">
        <f t="shared" si="230"/>
        <v/>
      </c>
      <c r="Q1028" s="205"/>
      <c r="R1028" s="70" t="str">
        <f>IF(S1028="IN",'BOM_Phan II'!$Y$3,"")</f>
        <v/>
      </c>
      <c r="S1028" s="69" t="str">
        <f t="shared" si="222"/>
        <v/>
      </c>
      <c r="T1028">
        <f t="shared" si="231"/>
        <v>3</v>
      </c>
      <c r="U1028" t="str">
        <f t="shared" si="233"/>
        <v>KIỆN 14</v>
      </c>
      <c r="V1028" t="str">
        <f t="shared" si="232"/>
        <v/>
      </c>
      <c r="W1028" s="266"/>
      <c r="X1028" s="266"/>
      <c r="Y1028" s="266" t="str">
        <f t="shared" si="224"/>
        <v/>
      </c>
      <c r="Z1028" s="266"/>
    </row>
    <row r="1029" spans="1:26" ht="27" hidden="1" customHeight="1">
      <c r="A1029" s="70" t="str">
        <f t="shared" si="220"/>
        <v/>
      </c>
      <c r="B1029" s="70" t="str">
        <f t="shared" si="221"/>
        <v/>
      </c>
      <c r="C1029" s="204" t="str" cm="1">
        <f t="array" ref="C1029">IF(D1029="","",
    IF(AND(ISNUMBER(D1029), D1029=INT(D1029)),
        $V$6 &amp; " " &amp; (IFERROR(MAX($Y$12:$Y1028), 0) + 1),
        IF(ISNUMBER(SEARCH(".", D1029)), "", INDEX($C$12:$C1029, MATCH(2, 1/($C$12:$C1029 &lt;&gt; ""))))
    )
)</f>
        <v/>
      </c>
      <c r="D1029" s="206"/>
      <c r="E1029" s="206" t="str">
        <f>IF(AA1029 = "", "",
    IF(ISNUMBER(SEARCH("Kiện", C1029)),
       " GÓI " &amp; COUNTIF($C$13:C1029, "*Kiện*") &amp; "/" &amp; COUNTIF($C$13:$C$1000, "*Kiện*") &amp; " " &amp; AA1029,
       AA1029)
)</f>
        <v/>
      </c>
      <c r="F1029" s="206"/>
      <c r="G1029" s="206"/>
      <c r="H1029" s="206"/>
      <c r="I1029" s="206"/>
      <c r="J1029" s="206" t="str">
        <f t="shared" si="223"/>
        <v/>
      </c>
      <c r="K1029" s="206" t="str">
        <f t="shared" si="225"/>
        <v/>
      </c>
      <c r="L1029" s="206" t="str">
        <f t="shared" si="226"/>
        <v/>
      </c>
      <c r="M1029" s="206" t="str">
        <f t="shared" si="227"/>
        <v/>
      </c>
      <c r="N1029" s="206" t="str">
        <f t="shared" si="228"/>
        <v/>
      </c>
      <c r="O1029" s="206" t="str">
        <f t="shared" si="229"/>
        <v/>
      </c>
      <c r="P1029" s="84" t="str">
        <f t="shared" si="230"/>
        <v/>
      </c>
      <c r="Q1029" s="205"/>
      <c r="R1029" s="70" t="str">
        <f>IF(S1029="IN",'BOM_Phan II'!$Y$3,"")</f>
        <v/>
      </c>
      <c r="S1029" s="69" t="str">
        <f t="shared" si="222"/>
        <v/>
      </c>
      <c r="T1029">
        <f t="shared" si="231"/>
        <v>3</v>
      </c>
      <c r="U1029" t="str">
        <f t="shared" si="233"/>
        <v>KIỆN 14</v>
      </c>
      <c r="V1029" t="str">
        <f t="shared" si="232"/>
        <v/>
      </c>
      <c r="W1029" s="266"/>
      <c r="X1029" s="266"/>
      <c r="Y1029" s="266" t="str">
        <f t="shared" si="224"/>
        <v/>
      </c>
      <c r="Z1029" s="266"/>
    </row>
    <row r="1030" spans="1:26" ht="27" hidden="1" customHeight="1">
      <c r="A1030" s="70" t="str">
        <f t="shared" si="220"/>
        <v/>
      </c>
      <c r="B1030" s="70" t="str">
        <f t="shared" si="221"/>
        <v/>
      </c>
      <c r="C1030" s="204" t="str" cm="1">
        <f t="array" ref="C1030">IF(D1030="","",
    IF(AND(ISNUMBER(D1030), D1030=INT(D1030)),
        $V$6 &amp; " " &amp; (IFERROR(MAX($Y$12:$Y1029), 0) + 1),
        IF(ISNUMBER(SEARCH(".", D1030)), "", INDEX($C$12:$C1030, MATCH(2, 1/($C$12:$C1030 &lt;&gt; ""))))
    )
)</f>
        <v/>
      </c>
      <c r="D1030" s="206"/>
      <c r="E1030" s="206" t="str">
        <f>IF(AA1030 = "", "",
    IF(ISNUMBER(SEARCH("Kiện", C1030)),
       " GÓI " &amp; COUNTIF($C$13:C1030, "*Kiện*") &amp; "/" &amp; COUNTIF($C$13:$C$1000, "*Kiện*") &amp; " " &amp; AA1030,
       AA1030)
)</f>
        <v/>
      </c>
      <c r="F1030" s="206"/>
      <c r="G1030" s="206"/>
      <c r="H1030" s="206"/>
      <c r="I1030" s="206"/>
      <c r="J1030" s="206" t="str">
        <f t="shared" si="223"/>
        <v/>
      </c>
      <c r="K1030" s="206" t="str">
        <f t="shared" si="225"/>
        <v/>
      </c>
      <c r="L1030" s="206" t="str">
        <f t="shared" si="226"/>
        <v/>
      </c>
      <c r="M1030" s="206" t="str">
        <f t="shared" si="227"/>
        <v/>
      </c>
      <c r="N1030" s="206" t="str">
        <f t="shared" si="228"/>
        <v/>
      </c>
      <c r="O1030" s="206" t="str">
        <f t="shared" si="229"/>
        <v/>
      </c>
      <c r="P1030" s="84" t="str">
        <f t="shared" si="230"/>
        <v/>
      </c>
      <c r="Q1030" s="205"/>
      <c r="R1030" s="70" t="str">
        <f>IF(S1030="IN",'BOM_Phan II'!$Y$3,"")</f>
        <v/>
      </c>
      <c r="S1030" s="69" t="str">
        <f t="shared" si="222"/>
        <v/>
      </c>
      <c r="T1030">
        <f t="shared" si="231"/>
        <v>3</v>
      </c>
      <c r="U1030" t="str">
        <f t="shared" si="233"/>
        <v>KIỆN 14</v>
      </c>
      <c r="V1030" t="str">
        <f t="shared" si="232"/>
        <v/>
      </c>
      <c r="W1030" s="266"/>
      <c r="X1030" s="266"/>
      <c r="Y1030" s="266" t="str">
        <f t="shared" si="224"/>
        <v/>
      </c>
      <c r="Z1030" s="266"/>
    </row>
    <row r="1031" spans="1:26" ht="27" hidden="1" customHeight="1">
      <c r="A1031" s="70" t="str">
        <f t="shared" si="220"/>
        <v/>
      </c>
      <c r="B1031" s="70" t="str">
        <f t="shared" si="221"/>
        <v/>
      </c>
      <c r="C1031" s="204" t="str" cm="1">
        <f t="array" ref="C1031">IF(D1031="","",
    IF(AND(ISNUMBER(D1031), D1031=INT(D1031)),
        $V$6 &amp; " " &amp; (IFERROR(MAX($Y$12:$Y1030), 0) + 1),
        IF(ISNUMBER(SEARCH(".", D1031)), "", INDEX($C$12:$C1031, MATCH(2, 1/($C$12:$C1031 &lt;&gt; ""))))
    )
)</f>
        <v/>
      </c>
      <c r="D1031" s="206"/>
      <c r="E1031" s="206" t="str">
        <f>IF(AA1031 = "", "",
    IF(ISNUMBER(SEARCH("Kiện", C1031)),
       " GÓI " &amp; COUNTIF($C$13:C1031, "*Kiện*") &amp; "/" &amp; COUNTIF($C$13:$C$1000, "*Kiện*") &amp; " " &amp; AA1031,
       AA1031)
)</f>
        <v/>
      </c>
      <c r="F1031" s="206"/>
      <c r="G1031" s="206"/>
      <c r="H1031" s="206"/>
      <c r="I1031" s="206"/>
      <c r="J1031" s="206" t="str">
        <f t="shared" si="223"/>
        <v/>
      </c>
      <c r="K1031" s="206" t="str">
        <f t="shared" si="225"/>
        <v/>
      </c>
      <c r="L1031" s="206" t="str">
        <f t="shared" si="226"/>
        <v/>
      </c>
      <c r="M1031" s="206" t="str">
        <f t="shared" si="227"/>
        <v/>
      </c>
      <c r="N1031" s="206" t="str">
        <f t="shared" si="228"/>
        <v/>
      </c>
      <c r="O1031" s="206" t="str">
        <f t="shared" si="229"/>
        <v/>
      </c>
      <c r="P1031" s="84" t="str">
        <f t="shared" si="230"/>
        <v/>
      </c>
      <c r="Q1031" s="205"/>
      <c r="R1031" s="70" t="str">
        <f>IF(S1031="IN",'BOM_Phan II'!$Y$3,"")</f>
        <v/>
      </c>
      <c r="S1031" s="69" t="str">
        <f t="shared" si="222"/>
        <v/>
      </c>
      <c r="T1031">
        <f t="shared" si="231"/>
        <v>3</v>
      </c>
      <c r="U1031" t="str">
        <f t="shared" si="233"/>
        <v>KIỆN 14</v>
      </c>
      <c r="V1031" t="str">
        <f t="shared" si="232"/>
        <v/>
      </c>
      <c r="W1031" s="266"/>
      <c r="X1031" s="266"/>
      <c r="Y1031" s="266" t="str">
        <f t="shared" si="224"/>
        <v/>
      </c>
      <c r="Z1031" s="266"/>
    </row>
    <row r="1032" spans="1:26" ht="27" hidden="1" customHeight="1">
      <c r="A1032" s="70" t="str">
        <f t="shared" si="220"/>
        <v/>
      </c>
      <c r="B1032" s="70" t="str">
        <f t="shared" si="221"/>
        <v/>
      </c>
      <c r="C1032" s="204" t="str" cm="1">
        <f t="array" ref="C1032">IF(D1032="","",
    IF(AND(ISNUMBER(D1032), D1032=INT(D1032)),
        $V$6 &amp; " " &amp; (IFERROR(MAX($Y$12:$Y1031), 0) + 1),
        IF(ISNUMBER(SEARCH(".", D1032)), "", INDEX($C$12:$C1032, MATCH(2, 1/($C$12:$C1032 &lt;&gt; ""))))
    )
)</f>
        <v/>
      </c>
      <c r="D1032" s="206"/>
      <c r="E1032" s="206" t="str">
        <f>IF(AA1032 = "", "",
    IF(ISNUMBER(SEARCH("Kiện", C1032)),
       " GÓI " &amp; COUNTIF($C$13:C1032, "*Kiện*") &amp; "/" &amp; COUNTIF($C$13:$C$1000, "*Kiện*") &amp; " " &amp; AA1032,
       AA1032)
)</f>
        <v/>
      </c>
      <c r="F1032" s="206"/>
      <c r="G1032" s="206"/>
      <c r="H1032" s="206"/>
      <c r="I1032" s="206"/>
      <c r="J1032" s="206" t="str">
        <f t="shared" si="223"/>
        <v/>
      </c>
      <c r="K1032" s="206" t="str">
        <f t="shared" si="225"/>
        <v/>
      </c>
      <c r="L1032" s="206" t="str">
        <f t="shared" si="226"/>
        <v/>
      </c>
      <c r="M1032" s="206" t="str">
        <f t="shared" si="227"/>
        <v/>
      </c>
      <c r="N1032" s="206" t="str">
        <f t="shared" si="228"/>
        <v/>
      </c>
      <c r="O1032" s="206" t="str">
        <f t="shared" si="229"/>
        <v/>
      </c>
      <c r="P1032" s="84" t="str">
        <f t="shared" si="230"/>
        <v/>
      </c>
      <c r="Q1032" s="205"/>
      <c r="R1032" s="70" t="str">
        <f>IF(S1032="IN",'BOM_Phan II'!$Y$3,"")</f>
        <v/>
      </c>
      <c r="S1032" s="69" t="str">
        <f t="shared" si="222"/>
        <v/>
      </c>
      <c r="T1032">
        <f t="shared" si="231"/>
        <v>3</v>
      </c>
      <c r="U1032" t="str">
        <f t="shared" si="233"/>
        <v>KIỆN 14</v>
      </c>
      <c r="V1032" t="str">
        <f t="shared" si="232"/>
        <v/>
      </c>
      <c r="W1032" s="266"/>
      <c r="X1032" s="266"/>
      <c r="Y1032" s="266" t="str">
        <f t="shared" si="224"/>
        <v/>
      </c>
      <c r="Z1032" s="266"/>
    </row>
    <row r="1033" spans="1:26" ht="27" hidden="1" customHeight="1">
      <c r="A1033" s="70" t="str">
        <f t="shared" si="220"/>
        <v/>
      </c>
      <c r="B1033" s="70" t="str">
        <f t="shared" si="221"/>
        <v/>
      </c>
      <c r="C1033" s="204" t="str" cm="1">
        <f t="array" ref="C1033">IF(D1033="","",
    IF(AND(ISNUMBER(D1033), D1033=INT(D1033)),
        $V$6 &amp; " " &amp; (IFERROR(MAX($Y$12:$Y1032), 0) + 1),
        IF(ISNUMBER(SEARCH(".", D1033)), "", INDEX($C$12:$C1033, MATCH(2, 1/($C$12:$C1033 &lt;&gt; ""))))
    )
)</f>
        <v/>
      </c>
      <c r="D1033" s="206"/>
      <c r="E1033" s="206" t="str">
        <f>IF(AA1033 = "", "",
    IF(ISNUMBER(SEARCH("Kiện", C1033)),
       " GÓI " &amp; COUNTIF($C$13:C1033, "*Kiện*") &amp; "/" &amp; COUNTIF($C$13:$C$1000, "*Kiện*") &amp; " " &amp; AA1033,
       AA1033)
)</f>
        <v/>
      </c>
      <c r="F1033" s="206"/>
      <c r="G1033" s="206"/>
      <c r="H1033" s="206"/>
      <c r="I1033" s="206"/>
      <c r="J1033" s="206" t="str">
        <f t="shared" si="223"/>
        <v/>
      </c>
      <c r="K1033" s="206" t="str">
        <f t="shared" si="225"/>
        <v/>
      </c>
      <c r="L1033" s="206" t="str">
        <f t="shared" si="226"/>
        <v/>
      </c>
      <c r="M1033" s="206" t="str">
        <f t="shared" si="227"/>
        <v/>
      </c>
      <c r="N1033" s="206" t="str">
        <f t="shared" si="228"/>
        <v/>
      </c>
      <c r="O1033" s="206" t="str">
        <f t="shared" si="229"/>
        <v/>
      </c>
      <c r="P1033" s="84" t="str">
        <f t="shared" si="230"/>
        <v/>
      </c>
      <c r="Q1033" s="205"/>
      <c r="R1033" s="70" t="str">
        <f>IF(S1033="IN",'BOM_Phan II'!$Y$3,"")</f>
        <v/>
      </c>
      <c r="S1033" s="69" t="str">
        <f t="shared" si="222"/>
        <v/>
      </c>
      <c r="T1033">
        <f t="shared" si="231"/>
        <v>3</v>
      </c>
      <c r="U1033" t="str">
        <f t="shared" si="233"/>
        <v>KIỆN 14</v>
      </c>
      <c r="V1033" t="str">
        <f t="shared" si="232"/>
        <v/>
      </c>
      <c r="W1033" s="266"/>
      <c r="X1033" s="266"/>
      <c r="Y1033" s="266" t="str">
        <f t="shared" si="224"/>
        <v/>
      </c>
      <c r="Z1033" s="266"/>
    </row>
    <row r="1034" spans="1:26" ht="27" hidden="1" customHeight="1">
      <c r="A1034" s="70" t="str">
        <f t="shared" si="220"/>
        <v/>
      </c>
      <c r="B1034" s="70" t="str">
        <f t="shared" si="221"/>
        <v/>
      </c>
      <c r="C1034" s="204" t="str" cm="1">
        <f t="array" ref="C1034">IF(D1034="","",
    IF(AND(ISNUMBER(D1034), D1034=INT(D1034)),
        $V$6 &amp; " " &amp; (IFERROR(MAX($Y$12:$Y1033), 0) + 1),
        IF(ISNUMBER(SEARCH(".", D1034)), "", INDEX($C$12:$C1034, MATCH(2, 1/($C$12:$C1034 &lt;&gt; ""))))
    )
)</f>
        <v/>
      </c>
      <c r="D1034" s="206"/>
      <c r="E1034" s="206" t="str">
        <f>IF(AA1034 = "", "",
    IF(ISNUMBER(SEARCH("Kiện", C1034)),
       " GÓI " &amp; COUNTIF($C$13:C1034, "*Kiện*") &amp; "/" &amp; COUNTIF($C$13:$C$1000, "*Kiện*") &amp; " " &amp; AA1034,
       AA1034)
)</f>
        <v/>
      </c>
      <c r="F1034" s="206"/>
      <c r="G1034" s="206"/>
      <c r="H1034" s="206"/>
      <c r="I1034" s="206"/>
      <c r="J1034" s="206" t="str">
        <f t="shared" si="223"/>
        <v/>
      </c>
      <c r="K1034" s="206" t="str">
        <f t="shared" si="225"/>
        <v/>
      </c>
      <c r="L1034" s="206" t="str">
        <f t="shared" si="226"/>
        <v/>
      </c>
      <c r="M1034" s="206" t="str">
        <f t="shared" si="227"/>
        <v/>
      </c>
      <c r="N1034" s="206" t="str">
        <f t="shared" si="228"/>
        <v/>
      </c>
      <c r="O1034" s="206" t="str">
        <f t="shared" si="229"/>
        <v/>
      </c>
      <c r="P1034" s="84" t="str">
        <f t="shared" si="230"/>
        <v/>
      </c>
      <c r="Q1034" s="205"/>
      <c r="R1034" s="70" t="str">
        <f>IF(S1034="IN",'BOM_Phan II'!$Y$3,"")</f>
        <v/>
      </c>
      <c r="S1034" s="69" t="str">
        <f t="shared" si="222"/>
        <v/>
      </c>
      <c r="T1034">
        <f t="shared" si="231"/>
        <v>3</v>
      </c>
      <c r="U1034" t="str">
        <f t="shared" si="233"/>
        <v>KIỆN 14</v>
      </c>
      <c r="V1034" t="str">
        <f t="shared" si="232"/>
        <v/>
      </c>
      <c r="W1034" s="266"/>
      <c r="X1034" s="266"/>
      <c r="Y1034" s="266" t="str">
        <f t="shared" si="224"/>
        <v/>
      </c>
      <c r="Z1034" s="266"/>
    </row>
    <row r="1035" spans="1:26" ht="27" hidden="1" customHeight="1">
      <c r="A1035" s="70" t="str">
        <f t="shared" si="220"/>
        <v/>
      </c>
      <c r="B1035" s="70" t="str">
        <f t="shared" si="221"/>
        <v/>
      </c>
      <c r="C1035" s="204" t="str" cm="1">
        <f t="array" ref="C1035">IF(D1035="","",
    IF(AND(ISNUMBER(D1035), D1035=INT(D1035)),
        $V$6 &amp; " " &amp; (IFERROR(MAX($Y$12:$Y1034), 0) + 1),
        IF(ISNUMBER(SEARCH(".", D1035)), "", INDEX($C$12:$C1035, MATCH(2, 1/($C$12:$C1035 &lt;&gt; ""))))
    )
)</f>
        <v/>
      </c>
      <c r="D1035" s="206"/>
      <c r="E1035" s="206" t="str">
        <f>IF(AA1035 = "", "",
    IF(ISNUMBER(SEARCH("Kiện", C1035)),
       " GÓI " &amp; COUNTIF($C$13:C1035, "*Kiện*") &amp; "/" &amp; COUNTIF($C$13:$C$1000, "*Kiện*") &amp; " " &amp; AA1035,
       AA1035)
)</f>
        <v/>
      </c>
      <c r="F1035" s="206"/>
      <c r="G1035" s="206"/>
      <c r="H1035" s="206"/>
      <c r="I1035" s="206"/>
      <c r="J1035" s="206" t="str">
        <f t="shared" si="223"/>
        <v/>
      </c>
      <c r="K1035" s="206" t="str">
        <f t="shared" si="225"/>
        <v/>
      </c>
      <c r="L1035" s="206" t="str">
        <f t="shared" si="226"/>
        <v/>
      </c>
      <c r="M1035" s="206" t="str">
        <f t="shared" si="227"/>
        <v/>
      </c>
      <c r="N1035" s="206" t="str">
        <f t="shared" si="228"/>
        <v/>
      </c>
      <c r="O1035" s="206" t="str">
        <f t="shared" si="229"/>
        <v/>
      </c>
      <c r="P1035" s="84" t="str">
        <f t="shared" si="230"/>
        <v/>
      </c>
      <c r="Q1035" s="205"/>
      <c r="R1035" s="70" t="str">
        <f>IF(S1035="IN",'BOM_Phan II'!$Y$3,"")</f>
        <v/>
      </c>
      <c r="S1035" s="69" t="str">
        <f t="shared" si="222"/>
        <v/>
      </c>
      <c r="T1035">
        <f t="shared" si="231"/>
        <v>3</v>
      </c>
      <c r="U1035" t="str">
        <f t="shared" si="233"/>
        <v>KIỆN 14</v>
      </c>
      <c r="V1035" t="str">
        <f t="shared" si="232"/>
        <v/>
      </c>
      <c r="W1035" s="266"/>
      <c r="X1035" s="266"/>
      <c r="Y1035" s="266" t="str">
        <f t="shared" si="224"/>
        <v/>
      </c>
      <c r="Z1035" s="266"/>
    </row>
    <row r="1036" spans="1:26" ht="27" hidden="1" customHeight="1">
      <c r="A1036" s="70" t="str">
        <f t="shared" ref="A1036:A1099" si="234">IF(S1036="IN",$E$6,"")</f>
        <v/>
      </c>
      <c r="B1036" s="70" t="str">
        <f t="shared" ref="B1036:B1099" si="235">IF(S1036="IN","Muc "&amp;$E$7,"")</f>
        <v/>
      </c>
      <c r="C1036" s="204" t="str" cm="1">
        <f t="array" ref="C1036">IF(D1036="","",
    IF(AND(ISNUMBER(D1036), D1036=INT(D1036)),
        $V$6 &amp; " " &amp; (IFERROR(MAX($Y$12:$Y1035), 0) + 1),
        IF(ISNUMBER(SEARCH(".", D1036)), "", INDEX($C$12:$C1036, MATCH(2, 1/($C$12:$C1036 &lt;&gt; ""))))
    )
)</f>
        <v/>
      </c>
      <c r="D1036" s="206"/>
      <c r="E1036" s="206" t="str">
        <f>IF(AA1036 = "", "",
    IF(ISNUMBER(SEARCH("Kiện", C1036)),
       " GÓI " &amp; COUNTIF($C$13:C1036, "*Kiện*") &amp; "/" &amp; COUNTIF($C$13:$C$1000, "*Kiện*") &amp; " " &amp; AA1036,
       AA1036)
)</f>
        <v/>
      </c>
      <c r="F1036" s="206"/>
      <c r="G1036" s="206"/>
      <c r="H1036" s="206"/>
      <c r="I1036" s="206"/>
      <c r="J1036" s="206" t="str">
        <f t="shared" si="223"/>
        <v/>
      </c>
      <c r="K1036" s="206" t="str">
        <f t="shared" si="225"/>
        <v/>
      </c>
      <c r="L1036" s="206" t="str">
        <f t="shared" si="226"/>
        <v/>
      </c>
      <c r="M1036" s="206" t="str">
        <f t="shared" si="227"/>
        <v/>
      </c>
      <c r="N1036" s="206" t="str">
        <f t="shared" si="228"/>
        <v/>
      </c>
      <c r="O1036" s="206" t="str">
        <f t="shared" si="229"/>
        <v/>
      </c>
      <c r="P1036" s="84" t="str">
        <f t="shared" si="230"/>
        <v/>
      </c>
      <c r="Q1036" s="205"/>
      <c r="R1036" s="70" t="str">
        <f>IF(S1036="IN",'BOM_Phan II'!$Y$3,"")</f>
        <v/>
      </c>
      <c r="S1036" s="69" t="str">
        <f t="shared" ref="S1036:S1099" si="236">IF(OR(E1036&lt;&gt;"",D1036&lt;&gt;""),"IN","")</f>
        <v/>
      </c>
      <c r="T1036">
        <f t="shared" si="231"/>
        <v>3</v>
      </c>
      <c r="U1036" t="str">
        <f t="shared" si="233"/>
        <v>KIỆN 14</v>
      </c>
      <c r="V1036" t="str">
        <f t="shared" si="232"/>
        <v/>
      </c>
      <c r="W1036" s="266"/>
      <c r="X1036" s="266"/>
      <c r="Y1036" s="266" t="str">
        <f t="shared" si="224"/>
        <v/>
      </c>
      <c r="Z1036" s="266"/>
    </row>
    <row r="1037" spans="1:26" ht="27" hidden="1" customHeight="1">
      <c r="A1037" s="70" t="str">
        <f t="shared" si="234"/>
        <v/>
      </c>
      <c r="B1037" s="70" t="str">
        <f t="shared" si="235"/>
        <v/>
      </c>
      <c r="C1037" s="204" t="str" cm="1">
        <f t="array" ref="C1037">IF(D1037="","",
    IF(AND(ISNUMBER(D1037), D1037=INT(D1037)),
        $V$6 &amp; " " &amp; (IFERROR(MAX($Y$12:$Y1036), 0) + 1),
        IF(ISNUMBER(SEARCH(".", D1037)), "", INDEX($C$12:$C1037, MATCH(2, 1/($C$12:$C1037 &lt;&gt; ""))))
    )
)</f>
        <v/>
      </c>
      <c r="D1037" s="206"/>
      <c r="E1037" s="206" t="str">
        <f>IF(AA1037 = "", "",
    IF(ISNUMBER(SEARCH("Kiện", C1037)),
       " GÓI " &amp; COUNTIF($C$13:C1037, "*Kiện*") &amp; "/" &amp; COUNTIF($C$13:$C$1000, "*Kiện*") &amp; " " &amp; AA1037,
       AA1037)
)</f>
        <v/>
      </c>
      <c r="F1037" s="206"/>
      <c r="G1037" s="206"/>
      <c r="H1037" s="206"/>
      <c r="I1037" s="206"/>
      <c r="J1037" s="206" t="str">
        <f t="shared" ref="J1037:J1100" si="237">IF(C1037&lt;&gt;"",C1037&amp;"_"&amp;$E$6,"")</f>
        <v/>
      </c>
      <c r="K1037" s="206" t="str">
        <f t="shared" si="225"/>
        <v/>
      </c>
      <c r="L1037" s="206" t="str">
        <f t="shared" si="226"/>
        <v/>
      </c>
      <c r="M1037" s="206" t="str">
        <f t="shared" si="227"/>
        <v/>
      </c>
      <c r="N1037" s="206" t="str">
        <f t="shared" si="228"/>
        <v/>
      </c>
      <c r="O1037" s="206" t="str">
        <f t="shared" si="229"/>
        <v/>
      </c>
      <c r="P1037" s="84" t="str">
        <f t="shared" si="230"/>
        <v/>
      </c>
      <c r="Q1037" s="205"/>
      <c r="R1037" s="70" t="str">
        <f>IF(S1037="IN",'BOM_Phan II'!$Y$3,"")</f>
        <v/>
      </c>
      <c r="S1037" s="69" t="str">
        <f t="shared" si="236"/>
        <v/>
      </c>
      <c r="T1037">
        <f t="shared" si="231"/>
        <v>3</v>
      </c>
      <c r="U1037" t="str">
        <f t="shared" si="233"/>
        <v>KIỆN 14</v>
      </c>
      <c r="V1037" t="str">
        <f t="shared" si="232"/>
        <v/>
      </c>
      <c r="W1037" s="266"/>
      <c r="X1037" s="266"/>
      <c r="Y1037" s="266" t="str">
        <f t="shared" ref="Y1037:Y1100" si="238">IFERROR(VALUE(RIGHT(C1037,LEN(C1037)-5)),"")</f>
        <v/>
      </c>
      <c r="Z1037" s="266"/>
    </row>
    <row r="1038" spans="1:26" ht="27" hidden="1" customHeight="1">
      <c r="A1038" s="70" t="str">
        <f t="shared" si="234"/>
        <v/>
      </c>
      <c r="B1038" s="70" t="str">
        <f t="shared" si="235"/>
        <v/>
      </c>
      <c r="C1038" s="204" t="str" cm="1">
        <f t="array" ref="C1038">IF(D1038="","",
    IF(AND(ISNUMBER(D1038), D1038=INT(D1038)),
        $V$6 &amp; " " &amp; (IFERROR(MAX($Y$12:$Y1037), 0) + 1),
        IF(ISNUMBER(SEARCH(".", D1038)), "", INDEX($C$12:$C1038, MATCH(2, 1/($C$12:$C1038 &lt;&gt; ""))))
    )
)</f>
        <v/>
      </c>
      <c r="D1038" s="206"/>
      <c r="E1038" s="206" t="str">
        <f>IF(AA1038 = "", "",
    IF(ISNUMBER(SEARCH("Kiện", C1038)),
       " GÓI " &amp; COUNTIF($C$13:C1038, "*Kiện*") &amp; "/" &amp; COUNTIF($C$13:$C$1000, "*Kiện*") &amp; " " &amp; AA1038,
       AA1038)
)</f>
        <v/>
      </c>
      <c r="F1038" s="206"/>
      <c r="G1038" s="206"/>
      <c r="H1038" s="206"/>
      <c r="I1038" s="206"/>
      <c r="J1038" s="206" t="str">
        <f t="shared" si="237"/>
        <v/>
      </c>
      <c r="K1038" s="206" t="str">
        <f t="shared" ref="K1038:K1101" si="239">IFERROR(IF($C1038&lt;&gt;"",IF($T$13=1,F1038+20,IF($T$13=2,F1038+20,IF($T$13=3,F1038+50,IF($T$13=4,F1038+40,IF($T$13=5,F1038+50,IF($T$13=51,F1038+50,IF($T$13=6,F1038+50,IF($T$13=7,F1038+50,"")))))))),""),"")</f>
        <v/>
      </c>
      <c r="L1038" s="206" t="str">
        <f t="shared" ref="L1038:L1101" si="240">IFERROR(IF($C1038&lt;&gt;"",IF($T$13=1,G1038+20,IF($T$13=2,G1038+20,IF($T$13=3,G1038+50,IF($T$13=4,G1038+40,IF($T$13=5,G1038+50,IF($T$13=51,G1038+50,IF($T$13=6,G1038+50,IF($T$13=7,G1038+50,"")))))))),""),"")</f>
        <v/>
      </c>
      <c r="M1038" s="206" t="str">
        <f t="shared" ref="M1038:M1101" si="241">IFERROR(IF($C1038&lt;&gt;"",IF($T$13=1,H1038+20,IF($T$13=2,H1038+20,IF($T$13=3,H1038+70,IF($T$13=4,H1038+40,IF($T$13=5,H1038+50,IF($T$13=51,H1038+150,IF($T$13=6,H1038+50,IF($T$13=7,H1038+50,"")))))))),""),"")</f>
        <v/>
      </c>
      <c r="N1038" s="206" t="str">
        <f t="shared" ref="N1038:N1101" si="242">IF(C1038&lt;&gt;"",I1038,"")</f>
        <v/>
      </c>
      <c r="O1038" s="206" t="str">
        <f t="shared" ref="O1038:O1101" si="243">IF(C1038&lt;&gt;"",$O$13,"")</f>
        <v/>
      </c>
      <c r="P1038" s="84" t="str">
        <f t="shared" ref="P1038:P1101" si="244">IFERROR(IF(C1038&lt;&gt;"",SUMIFS($V$13:$V$969,$U$13:$U$969,C1038)*$S$6,V1038*$S$6),"")</f>
        <v/>
      </c>
      <c r="Q1038" s="205"/>
      <c r="R1038" s="70" t="str">
        <f>IF(S1038="IN",'BOM_Phan II'!$Y$3,"")</f>
        <v/>
      </c>
      <c r="S1038" s="69" t="str">
        <f t="shared" si="236"/>
        <v/>
      </c>
      <c r="T1038">
        <f t="shared" ref="T1038:T1101" si="245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3</v>
      </c>
      <c r="U1038" t="str">
        <f t="shared" si="233"/>
        <v>KIỆN 14</v>
      </c>
      <c r="V1038" t="str">
        <f t="shared" ref="V1038:V1101" si="246">IFERROR(IF(AND(C1038="", OR($W1038="1", $W1038="2")), IF(I1038="", "", F1038*G1038*H1038*I1038/10^9), ""), "")</f>
        <v/>
      </c>
      <c r="W1038" s="266"/>
      <c r="X1038" s="266"/>
      <c r="Y1038" s="266" t="str">
        <f t="shared" si="238"/>
        <v/>
      </c>
      <c r="Z1038" s="266"/>
    </row>
    <row r="1039" spans="1:26" ht="27" hidden="1" customHeight="1">
      <c r="A1039" s="70" t="str">
        <f t="shared" si="234"/>
        <v/>
      </c>
      <c r="B1039" s="70" t="str">
        <f t="shared" si="235"/>
        <v/>
      </c>
      <c r="C1039" s="204" t="str" cm="1">
        <f t="array" ref="C1039">IF(D1039="","",
    IF(AND(ISNUMBER(D1039), D1039=INT(D1039)),
        $V$6 &amp; " " &amp; (IFERROR(MAX($Y$12:$Y1038), 0) + 1),
        IF(ISNUMBER(SEARCH(".", D1039)), "", INDEX($C$12:$C1039, MATCH(2, 1/($C$12:$C1039 &lt;&gt; ""))))
    )
)</f>
        <v/>
      </c>
      <c r="D1039" s="206"/>
      <c r="E1039" s="206" t="str">
        <f>IF(AA1039 = "", "",
    IF(ISNUMBER(SEARCH("Kiện", C1039)),
       " GÓI " &amp; COUNTIF($C$13:C1039, "*Kiện*") &amp; "/" &amp; COUNTIF($C$13:$C$1000, "*Kiện*") &amp; " " &amp; AA1039,
       AA1039)
)</f>
        <v/>
      </c>
      <c r="F1039" s="206"/>
      <c r="G1039" s="206"/>
      <c r="H1039" s="206"/>
      <c r="I1039" s="206"/>
      <c r="J1039" s="206" t="str">
        <f t="shared" si="237"/>
        <v/>
      </c>
      <c r="K1039" s="206" t="str">
        <f t="shared" si="239"/>
        <v/>
      </c>
      <c r="L1039" s="206" t="str">
        <f t="shared" si="240"/>
        <v/>
      </c>
      <c r="M1039" s="206" t="str">
        <f t="shared" si="241"/>
        <v/>
      </c>
      <c r="N1039" s="206" t="str">
        <f t="shared" si="242"/>
        <v/>
      </c>
      <c r="O1039" s="206" t="str">
        <f t="shared" si="243"/>
        <v/>
      </c>
      <c r="P1039" s="84" t="str">
        <f t="shared" si="244"/>
        <v/>
      </c>
      <c r="Q1039" s="205"/>
      <c r="R1039" s="70" t="str">
        <f>IF(S1039="IN",'BOM_Phan II'!$Y$3,"")</f>
        <v/>
      </c>
      <c r="S1039" s="69" t="str">
        <f t="shared" si="236"/>
        <v/>
      </c>
      <c r="T1039">
        <f t="shared" si="245"/>
        <v>3</v>
      </c>
      <c r="U1039" t="str">
        <f t="shared" si="233"/>
        <v>KIỆN 14</v>
      </c>
      <c r="V1039" t="str">
        <f t="shared" si="246"/>
        <v/>
      </c>
      <c r="W1039" s="266"/>
      <c r="X1039" s="266"/>
      <c r="Y1039" s="266" t="str">
        <f t="shared" si="238"/>
        <v/>
      </c>
      <c r="Z1039" s="266"/>
    </row>
    <row r="1040" spans="1:26" ht="27" hidden="1" customHeight="1">
      <c r="A1040" s="70" t="str">
        <f t="shared" si="234"/>
        <v/>
      </c>
      <c r="B1040" s="70" t="str">
        <f t="shared" si="235"/>
        <v/>
      </c>
      <c r="C1040" s="204" t="str" cm="1">
        <f t="array" ref="C1040">IF(D1040="","",
    IF(AND(ISNUMBER(D1040), D1040=INT(D1040)),
        $V$6 &amp; " " &amp; (IFERROR(MAX($Y$12:$Y1039), 0) + 1),
        IF(ISNUMBER(SEARCH(".", D1040)), "", INDEX($C$12:$C1040, MATCH(2, 1/($C$12:$C1040 &lt;&gt; ""))))
    )
)</f>
        <v/>
      </c>
      <c r="D1040" s="206"/>
      <c r="E1040" s="206" t="str">
        <f>IF(AA1040 = "", "",
    IF(ISNUMBER(SEARCH("Kiện", C1040)),
       " GÓI " &amp; COUNTIF($C$13:C1040, "*Kiện*") &amp; "/" &amp; COUNTIF($C$13:$C$1000, "*Kiện*") &amp; " " &amp; AA1040,
       AA1040)
)</f>
        <v/>
      </c>
      <c r="F1040" s="206"/>
      <c r="G1040" s="206"/>
      <c r="H1040" s="206"/>
      <c r="I1040" s="206"/>
      <c r="J1040" s="206" t="str">
        <f t="shared" si="237"/>
        <v/>
      </c>
      <c r="K1040" s="206" t="str">
        <f t="shared" si="239"/>
        <v/>
      </c>
      <c r="L1040" s="206" t="str">
        <f t="shared" si="240"/>
        <v/>
      </c>
      <c r="M1040" s="206" t="str">
        <f t="shared" si="241"/>
        <v/>
      </c>
      <c r="N1040" s="206" t="str">
        <f t="shared" si="242"/>
        <v/>
      </c>
      <c r="O1040" s="206" t="str">
        <f t="shared" si="243"/>
        <v/>
      </c>
      <c r="P1040" s="84" t="str">
        <f t="shared" si="244"/>
        <v/>
      </c>
      <c r="Q1040" s="205"/>
      <c r="R1040" s="70" t="str">
        <f>IF(S1040="IN",'BOM_Phan II'!$Y$3,"")</f>
        <v/>
      </c>
      <c r="S1040" s="69" t="str">
        <f t="shared" si="236"/>
        <v/>
      </c>
      <c r="T1040">
        <f t="shared" si="245"/>
        <v>3</v>
      </c>
      <c r="U1040" t="str">
        <f t="shared" si="233"/>
        <v>KIỆN 14</v>
      </c>
      <c r="V1040" t="str">
        <f t="shared" si="246"/>
        <v/>
      </c>
      <c r="W1040" s="266"/>
      <c r="X1040" s="266"/>
      <c r="Y1040" s="266" t="str">
        <f t="shared" si="238"/>
        <v/>
      </c>
      <c r="Z1040" s="266"/>
    </row>
    <row r="1041" spans="1:26" ht="27" hidden="1" customHeight="1">
      <c r="A1041" s="70" t="str">
        <f t="shared" si="234"/>
        <v/>
      </c>
      <c r="B1041" s="70" t="str">
        <f t="shared" si="235"/>
        <v/>
      </c>
      <c r="C1041" s="204" t="str" cm="1">
        <f t="array" ref="C1041">IF(D1041="","",
    IF(AND(ISNUMBER(D1041), D1041=INT(D1041)),
        $V$6 &amp; " " &amp; (IFERROR(MAX($Y$12:$Y1040), 0) + 1),
        IF(ISNUMBER(SEARCH(".", D1041)), "", INDEX($C$12:$C1041, MATCH(2, 1/($C$12:$C1041 &lt;&gt; ""))))
    )
)</f>
        <v/>
      </c>
      <c r="D1041" s="206"/>
      <c r="E1041" s="206" t="str">
        <f>IF(AA1041 = "", "",
    IF(ISNUMBER(SEARCH("Kiện", C1041)),
       " GÓI " &amp; COUNTIF($C$13:C1041, "*Kiện*") &amp; "/" &amp; COUNTIF($C$13:$C$1000, "*Kiện*") &amp; " " &amp; AA1041,
       AA1041)
)</f>
        <v/>
      </c>
      <c r="F1041" s="206"/>
      <c r="G1041" s="206"/>
      <c r="H1041" s="206"/>
      <c r="I1041" s="206"/>
      <c r="J1041" s="206" t="str">
        <f t="shared" si="237"/>
        <v/>
      </c>
      <c r="K1041" s="206" t="str">
        <f t="shared" si="239"/>
        <v/>
      </c>
      <c r="L1041" s="206" t="str">
        <f t="shared" si="240"/>
        <v/>
      </c>
      <c r="M1041" s="206" t="str">
        <f t="shared" si="241"/>
        <v/>
      </c>
      <c r="N1041" s="206" t="str">
        <f t="shared" si="242"/>
        <v/>
      </c>
      <c r="O1041" s="206" t="str">
        <f t="shared" si="243"/>
        <v/>
      </c>
      <c r="P1041" s="84" t="str">
        <f t="shared" si="244"/>
        <v/>
      </c>
      <c r="Q1041" s="205"/>
      <c r="R1041" s="70" t="str">
        <f>IF(S1041="IN",'BOM_Phan II'!$Y$3,"")</f>
        <v/>
      </c>
      <c r="S1041" s="69" t="str">
        <f t="shared" si="236"/>
        <v/>
      </c>
      <c r="T1041">
        <f t="shared" si="245"/>
        <v>3</v>
      </c>
      <c r="U1041" t="str">
        <f t="shared" si="233"/>
        <v>KIỆN 14</v>
      </c>
      <c r="V1041" t="str">
        <f t="shared" si="246"/>
        <v/>
      </c>
      <c r="W1041" s="266"/>
      <c r="X1041" s="266"/>
      <c r="Y1041" s="266" t="str">
        <f t="shared" si="238"/>
        <v/>
      </c>
      <c r="Z1041" s="266"/>
    </row>
    <row r="1042" spans="1:26" ht="27" hidden="1" customHeight="1">
      <c r="A1042" s="70" t="str">
        <f t="shared" si="234"/>
        <v/>
      </c>
      <c r="B1042" s="70" t="str">
        <f t="shared" si="235"/>
        <v/>
      </c>
      <c r="C1042" s="204" t="str" cm="1">
        <f t="array" ref="C1042">IF(D1042="","",
    IF(AND(ISNUMBER(D1042), D1042=INT(D1042)),
        $V$6 &amp; " " &amp; (IFERROR(MAX($Y$12:$Y1041), 0) + 1),
        IF(ISNUMBER(SEARCH(".", D1042)), "", INDEX($C$12:$C1042, MATCH(2, 1/($C$12:$C1042 &lt;&gt; ""))))
    )
)</f>
        <v/>
      </c>
      <c r="D1042" s="206"/>
      <c r="E1042" s="206" t="str">
        <f>IF(AA1042 = "", "",
    IF(ISNUMBER(SEARCH("Kiện", C1042)),
       " GÓI " &amp; COUNTIF($C$13:C1042, "*Kiện*") &amp; "/" &amp; COUNTIF($C$13:$C$1000, "*Kiện*") &amp; " " &amp; AA1042,
       AA1042)
)</f>
        <v/>
      </c>
      <c r="F1042" s="206"/>
      <c r="G1042" s="206"/>
      <c r="H1042" s="206"/>
      <c r="I1042" s="206"/>
      <c r="J1042" s="206" t="str">
        <f t="shared" si="237"/>
        <v/>
      </c>
      <c r="K1042" s="206" t="str">
        <f t="shared" si="239"/>
        <v/>
      </c>
      <c r="L1042" s="206" t="str">
        <f t="shared" si="240"/>
        <v/>
      </c>
      <c r="M1042" s="206" t="str">
        <f t="shared" si="241"/>
        <v/>
      </c>
      <c r="N1042" s="206" t="str">
        <f t="shared" si="242"/>
        <v/>
      </c>
      <c r="O1042" s="206" t="str">
        <f t="shared" si="243"/>
        <v/>
      </c>
      <c r="P1042" s="84" t="str">
        <f t="shared" si="244"/>
        <v/>
      </c>
      <c r="Q1042" s="205"/>
      <c r="R1042" s="70" t="str">
        <f>IF(S1042="IN",'BOM_Phan II'!$Y$3,"")</f>
        <v/>
      </c>
      <c r="S1042" s="69" t="str">
        <f t="shared" si="236"/>
        <v/>
      </c>
      <c r="T1042">
        <f t="shared" si="245"/>
        <v>3</v>
      </c>
      <c r="U1042" t="str">
        <f t="shared" si="233"/>
        <v>KIỆN 14</v>
      </c>
      <c r="V1042" t="str">
        <f t="shared" si="246"/>
        <v/>
      </c>
      <c r="W1042" s="266"/>
      <c r="X1042" s="266"/>
      <c r="Y1042" s="266" t="str">
        <f t="shared" si="238"/>
        <v/>
      </c>
      <c r="Z1042" s="266"/>
    </row>
    <row r="1043" spans="1:26" ht="27" hidden="1" customHeight="1">
      <c r="A1043" s="70" t="str">
        <f t="shared" si="234"/>
        <v/>
      </c>
      <c r="B1043" s="70" t="str">
        <f t="shared" si="235"/>
        <v/>
      </c>
      <c r="C1043" s="204" t="str" cm="1">
        <f t="array" ref="C1043">IF(D1043="","",
    IF(AND(ISNUMBER(D1043), D1043=INT(D1043)),
        $V$6 &amp; " " &amp; (IFERROR(MAX($Y$12:$Y1042), 0) + 1),
        IF(ISNUMBER(SEARCH(".", D1043)), "", INDEX($C$12:$C1043, MATCH(2, 1/($C$12:$C1043 &lt;&gt; ""))))
    )
)</f>
        <v/>
      </c>
      <c r="D1043" s="206"/>
      <c r="E1043" s="206" t="str">
        <f>IF(AA1043 = "", "",
    IF(ISNUMBER(SEARCH("Kiện", C1043)),
       " GÓI " &amp; COUNTIF($C$13:C1043, "*Kiện*") &amp; "/" &amp; COUNTIF($C$13:$C$1000, "*Kiện*") &amp; " " &amp; AA1043,
       AA1043)
)</f>
        <v/>
      </c>
      <c r="F1043" s="206"/>
      <c r="G1043" s="206"/>
      <c r="H1043" s="206"/>
      <c r="I1043" s="206"/>
      <c r="J1043" s="206" t="str">
        <f t="shared" si="237"/>
        <v/>
      </c>
      <c r="K1043" s="206" t="str">
        <f t="shared" si="239"/>
        <v/>
      </c>
      <c r="L1043" s="206" t="str">
        <f t="shared" si="240"/>
        <v/>
      </c>
      <c r="M1043" s="206" t="str">
        <f t="shared" si="241"/>
        <v/>
      </c>
      <c r="N1043" s="206" t="str">
        <f t="shared" si="242"/>
        <v/>
      </c>
      <c r="O1043" s="206" t="str">
        <f t="shared" si="243"/>
        <v/>
      </c>
      <c r="P1043" s="84" t="str">
        <f t="shared" si="244"/>
        <v/>
      </c>
      <c r="Q1043" s="205"/>
      <c r="R1043" s="70" t="str">
        <f>IF(S1043="IN",'BOM_Phan II'!$Y$3,"")</f>
        <v/>
      </c>
      <c r="S1043" s="69" t="str">
        <f t="shared" si="236"/>
        <v/>
      </c>
      <c r="T1043">
        <f t="shared" si="245"/>
        <v>3</v>
      </c>
      <c r="U1043" t="str">
        <f t="shared" si="233"/>
        <v>KIỆN 14</v>
      </c>
      <c r="V1043" t="str">
        <f t="shared" si="246"/>
        <v/>
      </c>
      <c r="W1043" s="266"/>
      <c r="X1043" s="266"/>
      <c r="Y1043" s="266" t="str">
        <f t="shared" si="238"/>
        <v/>
      </c>
      <c r="Z1043" s="266"/>
    </row>
    <row r="1044" spans="1:26" ht="27" hidden="1" customHeight="1">
      <c r="A1044" s="70" t="str">
        <f t="shared" si="234"/>
        <v/>
      </c>
      <c r="B1044" s="70" t="str">
        <f t="shared" si="235"/>
        <v/>
      </c>
      <c r="C1044" s="204" t="str" cm="1">
        <f t="array" ref="C1044">IF(D1044="","",
    IF(AND(ISNUMBER(D1044), D1044=INT(D1044)),
        $V$6 &amp; " " &amp; (IFERROR(MAX($Y$12:$Y1043), 0) + 1),
        IF(ISNUMBER(SEARCH(".", D1044)), "", INDEX($C$12:$C1044, MATCH(2, 1/($C$12:$C1044 &lt;&gt; ""))))
    )
)</f>
        <v/>
      </c>
      <c r="D1044" s="206"/>
      <c r="E1044" s="206" t="str">
        <f>IF(AA1044 = "", "",
    IF(ISNUMBER(SEARCH("Kiện", C1044)),
       " GÓI " &amp; COUNTIF($C$13:C1044, "*Kiện*") &amp; "/" &amp; COUNTIF($C$13:$C$1000, "*Kiện*") &amp; " " &amp; AA1044,
       AA1044)
)</f>
        <v/>
      </c>
      <c r="F1044" s="206"/>
      <c r="G1044" s="206"/>
      <c r="H1044" s="206"/>
      <c r="I1044" s="206"/>
      <c r="J1044" s="206" t="str">
        <f t="shared" si="237"/>
        <v/>
      </c>
      <c r="K1044" s="206" t="str">
        <f t="shared" si="239"/>
        <v/>
      </c>
      <c r="L1044" s="206" t="str">
        <f t="shared" si="240"/>
        <v/>
      </c>
      <c r="M1044" s="206" t="str">
        <f t="shared" si="241"/>
        <v/>
      </c>
      <c r="N1044" s="206" t="str">
        <f t="shared" si="242"/>
        <v/>
      </c>
      <c r="O1044" s="206" t="str">
        <f t="shared" si="243"/>
        <v/>
      </c>
      <c r="P1044" s="84" t="str">
        <f t="shared" si="244"/>
        <v/>
      </c>
      <c r="Q1044" s="205"/>
      <c r="R1044" s="70" t="str">
        <f>IF(S1044="IN",'BOM_Phan II'!$Y$3,"")</f>
        <v/>
      </c>
      <c r="S1044" s="69" t="str">
        <f t="shared" si="236"/>
        <v/>
      </c>
      <c r="T1044">
        <f t="shared" si="245"/>
        <v>3</v>
      </c>
      <c r="U1044" t="str">
        <f t="shared" si="233"/>
        <v>KIỆN 14</v>
      </c>
      <c r="V1044" t="str">
        <f t="shared" si="246"/>
        <v/>
      </c>
      <c r="W1044" s="266"/>
      <c r="X1044" s="266"/>
      <c r="Y1044" s="266" t="str">
        <f t="shared" si="238"/>
        <v/>
      </c>
      <c r="Z1044" s="266"/>
    </row>
    <row r="1045" spans="1:26" ht="27" hidden="1" customHeight="1">
      <c r="A1045" s="70" t="str">
        <f t="shared" si="234"/>
        <v/>
      </c>
      <c r="B1045" s="70" t="str">
        <f t="shared" si="235"/>
        <v/>
      </c>
      <c r="C1045" s="204" t="str" cm="1">
        <f t="array" ref="C1045">IF(D1045="","",
    IF(AND(ISNUMBER(D1045), D1045=INT(D1045)),
        $V$6 &amp; " " &amp; (IFERROR(MAX($Y$12:$Y1044), 0) + 1),
        IF(ISNUMBER(SEARCH(".", D1045)), "", INDEX($C$12:$C1045, MATCH(2, 1/($C$12:$C1045 &lt;&gt; ""))))
    )
)</f>
        <v/>
      </c>
      <c r="D1045" s="206"/>
      <c r="E1045" s="206" t="str">
        <f>IF(AA1045 = "", "",
    IF(ISNUMBER(SEARCH("Kiện", C1045)),
       " GÓI " &amp; COUNTIF($C$13:C1045, "*Kiện*") &amp; "/" &amp; COUNTIF($C$13:$C$1000, "*Kiện*") &amp; " " &amp; AA1045,
       AA1045)
)</f>
        <v/>
      </c>
      <c r="F1045" s="206"/>
      <c r="G1045" s="206"/>
      <c r="H1045" s="206"/>
      <c r="I1045" s="206"/>
      <c r="J1045" s="206" t="str">
        <f t="shared" si="237"/>
        <v/>
      </c>
      <c r="K1045" s="206" t="str">
        <f t="shared" si="239"/>
        <v/>
      </c>
      <c r="L1045" s="206" t="str">
        <f t="shared" si="240"/>
        <v/>
      </c>
      <c r="M1045" s="206" t="str">
        <f t="shared" si="241"/>
        <v/>
      </c>
      <c r="N1045" s="206" t="str">
        <f t="shared" si="242"/>
        <v/>
      </c>
      <c r="O1045" s="206" t="str">
        <f t="shared" si="243"/>
        <v/>
      </c>
      <c r="P1045" s="84" t="str">
        <f t="shared" si="244"/>
        <v/>
      </c>
      <c r="Q1045" s="205"/>
      <c r="R1045" s="70" t="str">
        <f>IF(S1045="IN",'BOM_Phan II'!$Y$3,"")</f>
        <v/>
      </c>
      <c r="S1045" s="69" t="str">
        <f t="shared" si="236"/>
        <v/>
      </c>
      <c r="T1045">
        <f t="shared" si="245"/>
        <v>3</v>
      </c>
      <c r="U1045" t="str">
        <f t="shared" si="233"/>
        <v>KIỆN 14</v>
      </c>
      <c r="V1045" t="str">
        <f t="shared" si="246"/>
        <v/>
      </c>
      <c r="W1045" s="266"/>
      <c r="X1045" s="266"/>
      <c r="Y1045" s="266" t="str">
        <f t="shared" si="238"/>
        <v/>
      </c>
      <c r="Z1045" s="266"/>
    </row>
    <row r="1046" spans="1:26" ht="27" hidden="1" customHeight="1">
      <c r="A1046" s="70" t="str">
        <f t="shared" si="234"/>
        <v/>
      </c>
      <c r="B1046" s="70" t="str">
        <f t="shared" si="235"/>
        <v/>
      </c>
      <c r="C1046" s="204" t="str" cm="1">
        <f t="array" ref="C1046">IF(D1046="","",
    IF(AND(ISNUMBER(D1046), D1046=INT(D1046)),
        $V$6 &amp; " " &amp; (IFERROR(MAX($Y$12:$Y1045), 0) + 1),
        IF(ISNUMBER(SEARCH(".", D1046)), "", INDEX($C$12:$C1046, MATCH(2, 1/($C$12:$C1046 &lt;&gt; ""))))
    )
)</f>
        <v/>
      </c>
      <c r="D1046" s="206"/>
      <c r="E1046" s="206" t="str">
        <f>IF(AA1046 = "", "",
    IF(ISNUMBER(SEARCH("Kiện", C1046)),
       " GÓI " &amp; COUNTIF($C$13:C1046, "*Kiện*") &amp; "/" &amp; COUNTIF($C$13:$C$1000, "*Kiện*") &amp; " " &amp; AA1046,
       AA1046)
)</f>
        <v/>
      </c>
      <c r="F1046" s="206"/>
      <c r="G1046" s="206"/>
      <c r="H1046" s="206"/>
      <c r="I1046" s="206"/>
      <c r="J1046" s="206" t="str">
        <f t="shared" si="237"/>
        <v/>
      </c>
      <c r="K1046" s="206" t="str">
        <f t="shared" si="239"/>
        <v/>
      </c>
      <c r="L1046" s="206" t="str">
        <f t="shared" si="240"/>
        <v/>
      </c>
      <c r="M1046" s="206" t="str">
        <f t="shared" si="241"/>
        <v/>
      </c>
      <c r="N1046" s="206" t="str">
        <f t="shared" si="242"/>
        <v/>
      </c>
      <c r="O1046" s="206" t="str">
        <f t="shared" si="243"/>
        <v/>
      </c>
      <c r="P1046" s="84" t="str">
        <f t="shared" si="244"/>
        <v/>
      </c>
      <c r="Q1046" s="205"/>
      <c r="R1046" s="70" t="str">
        <f>IF(S1046="IN",'BOM_Phan II'!$Y$3,"")</f>
        <v/>
      </c>
      <c r="S1046" s="69" t="str">
        <f t="shared" si="236"/>
        <v/>
      </c>
      <c r="T1046">
        <f t="shared" si="245"/>
        <v>3</v>
      </c>
      <c r="U1046" t="str">
        <f t="shared" si="233"/>
        <v>KIỆN 14</v>
      </c>
      <c r="V1046" t="str">
        <f t="shared" si="246"/>
        <v/>
      </c>
      <c r="W1046" s="266"/>
      <c r="X1046" s="266"/>
      <c r="Y1046" s="266" t="str">
        <f t="shared" si="238"/>
        <v/>
      </c>
      <c r="Z1046" s="266"/>
    </row>
    <row r="1047" spans="1:26" ht="27" hidden="1" customHeight="1">
      <c r="A1047" s="70" t="str">
        <f t="shared" si="234"/>
        <v/>
      </c>
      <c r="B1047" s="70" t="str">
        <f t="shared" si="235"/>
        <v/>
      </c>
      <c r="C1047" s="204" t="str" cm="1">
        <f t="array" ref="C1047">IF(D1047="","",
    IF(AND(ISNUMBER(D1047), D1047=INT(D1047)),
        $V$6 &amp; " " &amp; (IFERROR(MAX($Y$12:$Y1046), 0) + 1),
        IF(ISNUMBER(SEARCH(".", D1047)), "", INDEX($C$12:$C1047, MATCH(2, 1/($C$12:$C1047 &lt;&gt; ""))))
    )
)</f>
        <v/>
      </c>
      <c r="D1047" s="206"/>
      <c r="E1047" s="206" t="str">
        <f>IF(AA1047 = "", "",
    IF(ISNUMBER(SEARCH("Kiện", C1047)),
       " GÓI " &amp; COUNTIF($C$13:C1047, "*Kiện*") &amp; "/" &amp; COUNTIF($C$13:$C$1000, "*Kiện*") &amp; " " &amp; AA1047,
       AA1047)
)</f>
        <v/>
      </c>
      <c r="F1047" s="206"/>
      <c r="G1047" s="206"/>
      <c r="H1047" s="206"/>
      <c r="I1047" s="206"/>
      <c r="J1047" s="206" t="str">
        <f t="shared" si="237"/>
        <v/>
      </c>
      <c r="K1047" s="206" t="str">
        <f t="shared" si="239"/>
        <v/>
      </c>
      <c r="L1047" s="206" t="str">
        <f t="shared" si="240"/>
        <v/>
      </c>
      <c r="M1047" s="206" t="str">
        <f t="shared" si="241"/>
        <v/>
      </c>
      <c r="N1047" s="206" t="str">
        <f t="shared" si="242"/>
        <v/>
      </c>
      <c r="O1047" s="206" t="str">
        <f t="shared" si="243"/>
        <v/>
      </c>
      <c r="P1047" s="84" t="str">
        <f t="shared" si="244"/>
        <v/>
      </c>
      <c r="Q1047" s="205"/>
      <c r="R1047" s="70" t="str">
        <f>IF(S1047="IN",'BOM_Phan II'!$Y$3,"")</f>
        <v/>
      </c>
      <c r="S1047" s="69" t="str">
        <f t="shared" si="236"/>
        <v/>
      </c>
      <c r="T1047">
        <f t="shared" si="245"/>
        <v>3</v>
      </c>
      <c r="U1047" t="str">
        <f t="shared" si="233"/>
        <v>KIỆN 14</v>
      </c>
      <c r="V1047" t="str">
        <f t="shared" si="246"/>
        <v/>
      </c>
      <c r="W1047" s="266"/>
      <c r="X1047" s="266"/>
      <c r="Y1047" s="266" t="str">
        <f t="shared" si="238"/>
        <v/>
      </c>
      <c r="Z1047" s="266"/>
    </row>
    <row r="1048" spans="1:26" ht="27" hidden="1" customHeight="1">
      <c r="A1048" s="70" t="str">
        <f t="shared" si="234"/>
        <v/>
      </c>
      <c r="B1048" s="70" t="str">
        <f t="shared" si="235"/>
        <v/>
      </c>
      <c r="C1048" s="204" t="str" cm="1">
        <f t="array" ref="C1048">IF(D1048="","",
    IF(AND(ISNUMBER(D1048), D1048=INT(D1048)),
        $V$6 &amp; " " &amp; (IFERROR(MAX($Y$12:$Y1047), 0) + 1),
        IF(ISNUMBER(SEARCH(".", D1048)), "", INDEX($C$12:$C1048, MATCH(2, 1/($C$12:$C1048 &lt;&gt; ""))))
    )
)</f>
        <v/>
      </c>
      <c r="D1048" s="206"/>
      <c r="E1048" s="206" t="str">
        <f>IF(AA1048 = "", "",
    IF(ISNUMBER(SEARCH("Kiện", C1048)),
       " GÓI " &amp; COUNTIF($C$13:C1048, "*Kiện*") &amp; "/" &amp; COUNTIF($C$13:$C$1000, "*Kiện*") &amp; " " &amp; AA1048,
       AA1048)
)</f>
        <v/>
      </c>
      <c r="F1048" s="206"/>
      <c r="G1048" s="206"/>
      <c r="H1048" s="206"/>
      <c r="I1048" s="206"/>
      <c r="J1048" s="206" t="str">
        <f t="shared" si="237"/>
        <v/>
      </c>
      <c r="K1048" s="206" t="str">
        <f t="shared" si="239"/>
        <v/>
      </c>
      <c r="L1048" s="206" t="str">
        <f t="shared" si="240"/>
        <v/>
      </c>
      <c r="M1048" s="206" t="str">
        <f t="shared" si="241"/>
        <v/>
      </c>
      <c r="N1048" s="206" t="str">
        <f t="shared" si="242"/>
        <v/>
      </c>
      <c r="O1048" s="206" t="str">
        <f t="shared" si="243"/>
        <v/>
      </c>
      <c r="P1048" s="84" t="str">
        <f t="shared" si="244"/>
        <v/>
      </c>
      <c r="Q1048" s="205"/>
      <c r="R1048" s="70" t="str">
        <f>IF(S1048="IN",'BOM_Phan II'!$Y$3,"")</f>
        <v/>
      </c>
      <c r="S1048" s="69" t="str">
        <f t="shared" si="236"/>
        <v/>
      </c>
      <c r="T1048">
        <f t="shared" si="245"/>
        <v>3</v>
      </c>
      <c r="U1048" t="str">
        <f t="shared" si="233"/>
        <v>KIỆN 14</v>
      </c>
      <c r="V1048" t="str">
        <f t="shared" si="246"/>
        <v/>
      </c>
      <c r="W1048" s="266"/>
      <c r="X1048" s="266"/>
      <c r="Y1048" s="266" t="str">
        <f t="shared" si="238"/>
        <v/>
      </c>
      <c r="Z1048" s="266"/>
    </row>
    <row r="1049" spans="1:26" ht="27" hidden="1" customHeight="1">
      <c r="A1049" s="70" t="str">
        <f t="shared" si="234"/>
        <v/>
      </c>
      <c r="B1049" s="70" t="str">
        <f t="shared" si="235"/>
        <v/>
      </c>
      <c r="C1049" s="204" t="str" cm="1">
        <f t="array" ref="C1049">IF(D1049="","",
    IF(AND(ISNUMBER(D1049), D1049=INT(D1049)),
        $V$6 &amp; " " &amp; (IFERROR(MAX($Y$12:$Y1048), 0) + 1),
        IF(ISNUMBER(SEARCH(".", D1049)), "", INDEX($C$12:$C1049, MATCH(2, 1/($C$12:$C1049 &lt;&gt; ""))))
    )
)</f>
        <v/>
      </c>
      <c r="D1049" s="206"/>
      <c r="E1049" s="206" t="str">
        <f>IF(AA1049 = "", "",
    IF(ISNUMBER(SEARCH("Kiện", C1049)),
       " GÓI " &amp; COUNTIF($C$13:C1049, "*Kiện*") &amp; "/" &amp; COUNTIF($C$13:$C$1000, "*Kiện*") &amp; " " &amp; AA1049,
       AA1049)
)</f>
        <v/>
      </c>
      <c r="F1049" s="206"/>
      <c r="G1049" s="206"/>
      <c r="H1049" s="206"/>
      <c r="I1049" s="206"/>
      <c r="J1049" s="206" t="str">
        <f t="shared" si="237"/>
        <v/>
      </c>
      <c r="K1049" s="206" t="str">
        <f t="shared" si="239"/>
        <v/>
      </c>
      <c r="L1049" s="206" t="str">
        <f t="shared" si="240"/>
        <v/>
      </c>
      <c r="M1049" s="206" t="str">
        <f t="shared" si="241"/>
        <v/>
      </c>
      <c r="N1049" s="206" t="str">
        <f t="shared" si="242"/>
        <v/>
      </c>
      <c r="O1049" s="206" t="str">
        <f t="shared" si="243"/>
        <v/>
      </c>
      <c r="P1049" s="84" t="str">
        <f t="shared" si="244"/>
        <v/>
      </c>
      <c r="Q1049" s="205"/>
      <c r="R1049" s="70" t="str">
        <f>IF(S1049="IN",'BOM_Phan II'!$Y$3,"")</f>
        <v/>
      </c>
      <c r="S1049" s="69" t="str">
        <f t="shared" si="236"/>
        <v/>
      </c>
      <c r="T1049">
        <f t="shared" si="245"/>
        <v>3</v>
      </c>
      <c r="U1049" t="str">
        <f t="shared" si="233"/>
        <v>KIỆN 14</v>
      </c>
      <c r="V1049" t="str">
        <f t="shared" si="246"/>
        <v/>
      </c>
      <c r="W1049" s="266"/>
      <c r="X1049" s="266"/>
      <c r="Y1049" s="266" t="str">
        <f t="shared" si="238"/>
        <v/>
      </c>
      <c r="Z1049" s="266"/>
    </row>
    <row r="1050" spans="1:26" ht="27" hidden="1" customHeight="1">
      <c r="A1050" s="70" t="str">
        <f t="shared" si="234"/>
        <v/>
      </c>
      <c r="B1050" s="70" t="str">
        <f t="shared" si="235"/>
        <v/>
      </c>
      <c r="C1050" s="204" t="str" cm="1">
        <f t="array" ref="C1050">IF(D1050="","",
    IF(AND(ISNUMBER(D1050), D1050=INT(D1050)),
        $V$6 &amp; " " &amp; (IFERROR(MAX($Y$12:$Y1049), 0) + 1),
        IF(ISNUMBER(SEARCH(".", D1050)), "", INDEX($C$12:$C1050, MATCH(2, 1/($C$12:$C1050 &lt;&gt; ""))))
    )
)</f>
        <v/>
      </c>
      <c r="D1050" s="206"/>
      <c r="E1050" s="206" t="str">
        <f>IF(AA1050 = "", "",
    IF(ISNUMBER(SEARCH("Kiện", C1050)),
       " GÓI " &amp; COUNTIF($C$13:C1050, "*Kiện*") &amp; "/" &amp; COUNTIF($C$13:$C$1000, "*Kiện*") &amp; " " &amp; AA1050,
       AA1050)
)</f>
        <v/>
      </c>
      <c r="F1050" s="206"/>
      <c r="G1050" s="206"/>
      <c r="H1050" s="206"/>
      <c r="I1050" s="206"/>
      <c r="J1050" s="206" t="str">
        <f t="shared" si="237"/>
        <v/>
      </c>
      <c r="K1050" s="206" t="str">
        <f t="shared" si="239"/>
        <v/>
      </c>
      <c r="L1050" s="206" t="str">
        <f t="shared" si="240"/>
        <v/>
      </c>
      <c r="M1050" s="206" t="str">
        <f t="shared" si="241"/>
        <v/>
      </c>
      <c r="N1050" s="206" t="str">
        <f t="shared" si="242"/>
        <v/>
      </c>
      <c r="O1050" s="206" t="str">
        <f t="shared" si="243"/>
        <v/>
      </c>
      <c r="P1050" s="84" t="str">
        <f t="shared" si="244"/>
        <v/>
      </c>
      <c r="Q1050" s="205"/>
      <c r="R1050" s="70" t="str">
        <f>IF(S1050="IN",'BOM_Phan II'!$Y$3,"")</f>
        <v/>
      </c>
      <c r="S1050" s="69" t="str">
        <f t="shared" si="236"/>
        <v/>
      </c>
      <c r="T1050">
        <f t="shared" si="245"/>
        <v>3</v>
      </c>
      <c r="U1050" t="str">
        <f t="shared" si="233"/>
        <v>KIỆN 14</v>
      </c>
      <c r="V1050" t="str">
        <f t="shared" si="246"/>
        <v/>
      </c>
      <c r="W1050" s="266"/>
      <c r="X1050" s="266"/>
      <c r="Y1050" s="266" t="str">
        <f t="shared" si="238"/>
        <v/>
      </c>
      <c r="Z1050" s="266"/>
    </row>
    <row r="1051" spans="1:26" ht="27" hidden="1" customHeight="1">
      <c r="A1051" s="70" t="str">
        <f t="shared" si="234"/>
        <v/>
      </c>
      <c r="B1051" s="70" t="str">
        <f t="shared" si="235"/>
        <v/>
      </c>
      <c r="C1051" s="204" t="str" cm="1">
        <f t="array" ref="C1051">IF(D1051="","",
    IF(AND(ISNUMBER(D1051), D1051=INT(D1051)),
        $V$6 &amp; " " &amp; (IFERROR(MAX($Y$12:$Y1050), 0) + 1),
        IF(ISNUMBER(SEARCH(".", D1051)), "", INDEX($C$12:$C1051, MATCH(2, 1/($C$12:$C1051 &lt;&gt; ""))))
    )
)</f>
        <v/>
      </c>
      <c r="D1051" s="206"/>
      <c r="E1051" s="206" t="str">
        <f>IF(AA1051 = "", "",
    IF(ISNUMBER(SEARCH("Kiện", C1051)),
       " GÓI " &amp; COUNTIF($C$13:C1051, "*Kiện*") &amp; "/" &amp; COUNTIF($C$13:$C$1000, "*Kiện*") &amp; " " &amp; AA1051,
       AA1051)
)</f>
        <v/>
      </c>
      <c r="F1051" s="206"/>
      <c r="G1051" s="206"/>
      <c r="H1051" s="206"/>
      <c r="I1051" s="206"/>
      <c r="J1051" s="206" t="str">
        <f t="shared" si="237"/>
        <v/>
      </c>
      <c r="K1051" s="206" t="str">
        <f t="shared" si="239"/>
        <v/>
      </c>
      <c r="L1051" s="206" t="str">
        <f t="shared" si="240"/>
        <v/>
      </c>
      <c r="M1051" s="206" t="str">
        <f t="shared" si="241"/>
        <v/>
      </c>
      <c r="N1051" s="206" t="str">
        <f t="shared" si="242"/>
        <v/>
      </c>
      <c r="O1051" s="206" t="str">
        <f t="shared" si="243"/>
        <v/>
      </c>
      <c r="P1051" s="84" t="str">
        <f t="shared" si="244"/>
        <v/>
      </c>
      <c r="Q1051" s="205"/>
      <c r="R1051" s="70" t="str">
        <f>IF(S1051="IN",'BOM_Phan II'!$Y$3,"")</f>
        <v/>
      </c>
      <c r="S1051" s="69" t="str">
        <f t="shared" si="236"/>
        <v/>
      </c>
      <c r="T1051">
        <f t="shared" si="245"/>
        <v>3</v>
      </c>
      <c r="U1051" t="str">
        <f t="shared" si="233"/>
        <v>KIỆN 14</v>
      </c>
      <c r="V1051" t="str">
        <f t="shared" si="246"/>
        <v/>
      </c>
      <c r="W1051" s="266"/>
      <c r="X1051" s="266"/>
      <c r="Y1051" s="266" t="str">
        <f t="shared" si="238"/>
        <v/>
      </c>
      <c r="Z1051" s="266"/>
    </row>
    <row r="1052" spans="1:26" ht="27" hidden="1" customHeight="1">
      <c r="A1052" s="70" t="str">
        <f t="shared" si="234"/>
        <v/>
      </c>
      <c r="B1052" s="70" t="str">
        <f t="shared" si="235"/>
        <v/>
      </c>
      <c r="C1052" s="204" t="str" cm="1">
        <f t="array" ref="C1052">IF(D1052="","",
    IF(AND(ISNUMBER(D1052), D1052=INT(D1052)),
        $V$6 &amp; " " &amp; (IFERROR(MAX($Y$12:$Y1051), 0) + 1),
        IF(ISNUMBER(SEARCH(".", D1052)), "", INDEX($C$12:$C1052, MATCH(2, 1/($C$12:$C1052 &lt;&gt; ""))))
    )
)</f>
        <v/>
      </c>
      <c r="D1052" s="206"/>
      <c r="E1052" s="206" t="str">
        <f>IF(AA1052 = "", "",
    IF(ISNUMBER(SEARCH("Kiện", C1052)),
       " GÓI " &amp; COUNTIF($C$13:C1052, "*Kiện*") &amp; "/" &amp; COUNTIF($C$13:$C$1000, "*Kiện*") &amp; " " &amp; AA1052,
       AA1052)
)</f>
        <v/>
      </c>
      <c r="F1052" s="206"/>
      <c r="G1052" s="206"/>
      <c r="H1052" s="206"/>
      <c r="I1052" s="206"/>
      <c r="J1052" s="206" t="str">
        <f t="shared" si="237"/>
        <v/>
      </c>
      <c r="K1052" s="206" t="str">
        <f t="shared" si="239"/>
        <v/>
      </c>
      <c r="L1052" s="206" t="str">
        <f t="shared" si="240"/>
        <v/>
      </c>
      <c r="M1052" s="206" t="str">
        <f t="shared" si="241"/>
        <v/>
      </c>
      <c r="N1052" s="206" t="str">
        <f t="shared" si="242"/>
        <v/>
      </c>
      <c r="O1052" s="206" t="str">
        <f t="shared" si="243"/>
        <v/>
      </c>
      <c r="P1052" s="84" t="str">
        <f t="shared" si="244"/>
        <v/>
      </c>
      <c r="Q1052" s="205"/>
      <c r="R1052" s="70" t="str">
        <f>IF(S1052="IN",'BOM_Phan II'!$Y$3,"")</f>
        <v/>
      </c>
      <c r="S1052" s="69" t="str">
        <f t="shared" si="236"/>
        <v/>
      </c>
      <c r="T1052">
        <f t="shared" si="245"/>
        <v>3</v>
      </c>
      <c r="U1052" t="str">
        <f t="shared" si="233"/>
        <v>KIỆN 14</v>
      </c>
      <c r="V1052" t="str">
        <f t="shared" si="246"/>
        <v/>
      </c>
      <c r="W1052" s="266"/>
      <c r="X1052" s="266"/>
      <c r="Y1052" s="266" t="str">
        <f t="shared" si="238"/>
        <v/>
      </c>
      <c r="Z1052" s="266"/>
    </row>
    <row r="1053" spans="1:26" ht="27" hidden="1" customHeight="1">
      <c r="A1053" s="70" t="str">
        <f t="shared" si="234"/>
        <v/>
      </c>
      <c r="B1053" s="70" t="str">
        <f t="shared" si="235"/>
        <v/>
      </c>
      <c r="C1053" s="204" t="str" cm="1">
        <f t="array" ref="C1053">IF(D1053="","",
    IF(AND(ISNUMBER(D1053), D1053=INT(D1053)),
        $V$6 &amp; " " &amp; (IFERROR(MAX($Y$12:$Y1052), 0) + 1),
        IF(ISNUMBER(SEARCH(".", D1053)), "", INDEX($C$12:$C1053, MATCH(2, 1/($C$12:$C1053 &lt;&gt; ""))))
    )
)</f>
        <v/>
      </c>
      <c r="D1053" s="206"/>
      <c r="E1053" s="206" t="str">
        <f>IF(AA1053 = "", "",
    IF(ISNUMBER(SEARCH("Kiện", C1053)),
       " GÓI " &amp; COUNTIF($C$13:C1053, "*Kiện*") &amp; "/" &amp; COUNTIF($C$13:$C$1000, "*Kiện*") &amp; " " &amp; AA1053,
       AA1053)
)</f>
        <v/>
      </c>
      <c r="F1053" s="206"/>
      <c r="G1053" s="206"/>
      <c r="H1053" s="206"/>
      <c r="I1053" s="206"/>
      <c r="J1053" s="206" t="str">
        <f t="shared" si="237"/>
        <v/>
      </c>
      <c r="K1053" s="206" t="str">
        <f t="shared" si="239"/>
        <v/>
      </c>
      <c r="L1053" s="206" t="str">
        <f t="shared" si="240"/>
        <v/>
      </c>
      <c r="M1053" s="206" t="str">
        <f t="shared" si="241"/>
        <v/>
      </c>
      <c r="N1053" s="206" t="str">
        <f t="shared" si="242"/>
        <v/>
      </c>
      <c r="O1053" s="206" t="str">
        <f t="shared" si="243"/>
        <v/>
      </c>
      <c r="P1053" s="84" t="str">
        <f t="shared" si="244"/>
        <v/>
      </c>
      <c r="Q1053" s="205"/>
      <c r="R1053" s="70" t="str">
        <f>IF(S1053="IN",'BOM_Phan II'!$Y$3,"")</f>
        <v/>
      </c>
      <c r="S1053" s="69" t="str">
        <f t="shared" si="236"/>
        <v/>
      </c>
      <c r="T1053">
        <f t="shared" si="245"/>
        <v>3</v>
      </c>
      <c r="U1053" t="str">
        <f t="shared" si="233"/>
        <v>KIỆN 14</v>
      </c>
      <c r="V1053" t="str">
        <f t="shared" si="246"/>
        <v/>
      </c>
      <c r="W1053" s="266"/>
      <c r="X1053" s="266"/>
      <c r="Y1053" s="266" t="str">
        <f t="shared" si="238"/>
        <v/>
      </c>
      <c r="Z1053" s="266"/>
    </row>
    <row r="1054" spans="1:26" ht="27" hidden="1" customHeight="1">
      <c r="A1054" s="70" t="str">
        <f t="shared" si="234"/>
        <v/>
      </c>
      <c r="B1054" s="70" t="str">
        <f t="shared" si="235"/>
        <v/>
      </c>
      <c r="C1054" s="204" t="str" cm="1">
        <f t="array" ref="C1054">IF(D1054="","",
    IF(AND(ISNUMBER(D1054), D1054=INT(D1054)),
        $V$6 &amp; " " &amp; (IFERROR(MAX($Y$12:$Y1053), 0) + 1),
        IF(ISNUMBER(SEARCH(".", D1054)), "", INDEX($C$12:$C1054, MATCH(2, 1/($C$12:$C1054 &lt;&gt; ""))))
    )
)</f>
        <v/>
      </c>
      <c r="D1054" s="206"/>
      <c r="E1054" s="206" t="str">
        <f>IF(AA1054 = "", "",
    IF(ISNUMBER(SEARCH("Kiện", C1054)),
       " GÓI " &amp; COUNTIF($C$13:C1054, "*Kiện*") &amp; "/" &amp; COUNTIF($C$13:$C$1000, "*Kiện*") &amp; " " &amp; AA1054,
       AA1054)
)</f>
        <v/>
      </c>
      <c r="F1054" s="206"/>
      <c r="G1054" s="206"/>
      <c r="H1054" s="206"/>
      <c r="I1054" s="206"/>
      <c r="J1054" s="206" t="str">
        <f t="shared" si="237"/>
        <v/>
      </c>
      <c r="K1054" s="206" t="str">
        <f t="shared" si="239"/>
        <v/>
      </c>
      <c r="L1054" s="206" t="str">
        <f t="shared" si="240"/>
        <v/>
      </c>
      <c r="M1054" s="206" t="str">
        <f t="shared" si="241"/>
        <v/>
      </c>
      <c r="N1054" s="206" t="str">
        <f t="shared" si="242"/>
        <v/>
      </c>
      <c r="O1054" s="206" t="str">
        <f t="shared" si="243"/>
        <v/>
      </c>
      <c r="P1054" s="84" t="str">
        <f t="shared" si="244"/>
        <v/>
      </c>
      <c r="Q1054" s="205"/>
      <c r="R1054" s="70" t="str">
        <f>IF(S1054="IN",'BOM_Phan II'!$Y$3,"")</f>
        <v/>
      </c>
      <c r="S1054" s="69" t="str">
        <f t="shared" si="236"/>
        <v/>
      </c>
      <c r="T1054">
        <f t="shared" si="245"/>
        <v>3</v>
      </c>
      <c r="U1054" t="str">
        <f t="shared" si="233"/>
        <v>KIỆN 14</v>
      </c>
      <c r="V1054" t="str">
        <f t="shared" si="246"/>
        <v/>
      </c>
      <c r="W1054" s="266"/>
      <c r="X1054" s="266"/>
      <c r="Y1054" s="266" t="str">
        <f t="shared" si="238"/>
        <v/>
      </c>
      <c r="Z1054" s="266"/>
    </row>
    <row r="1055" spans="1:26" ht="27" hidden="1" customHeight="1">
      <c r="A1055" s="70" t="str">
        <f t="shared" si="234"/>
        <v/>
      </c>
      <c r="B1055" s="70" t="str">
        <f t="shared" si="235"/>
        <v/>
      </c>
      <c r="C1055" s="204" t="str" cm="1">
        <f t="array" ref="C1055">IF(D1055="","",
    IF(AND(ISNUMBER(D1055), D1055=INT(D1055)),
        $V$6 &amp; " " &amp; (IFERROR(MAX($Y$12:$Y1054), 0) + 1),
        IF(ISNUMBER(SEARCH(".", D1055)), "", INDEX($C$12:$C1055, MATCH(2, 1/($C$12:$C1055 &lt;&gt; ""))))
    )
)</f>
        <v/>
      </c>
      <c r="D1055" s="206"/>
      <c r="E1055" s="206" t="str">
        <f>IF(AA1055 = "", "",
    IF(ISNUMBER(SEARCH("Kiện", C1055)),
       " GÓI " &amp; COUNTIF($C$13:C1055, "*Kiện*") &amp; "/" &amp; COUNTIF($C$13:$C$1000, "*Kiện*") &amp; " " &amp; AA1055,
       AA1055)
)</f>
        <v/>
      </c>
      <c r="F1055" s="206"/>
      <c r="G1055" s="206"/>
      <c r="H1055" s="206"/>
      <c r="I1055" s="206"/>
      <c r="J1055" s="206" t="str">
        <f t="shared" si="237"/>
        <v/>
      </c>
      <c r="K1055" s="206" t="str">
        <f t="shared" si="239"/>
        <v/>
      </c>
      <c r="L1055" s="206" t="str">
        <f t="shared" si="240"/>
        <v/>
      </c>
      <c r="M1055" s="206" t="str">
        <f t="shared" si="241"/>
        <v/>
      </c>
      <c r="N1055" s="206" t="str">
        <f t="shared" si="242"/>
        <v/>
      </c>
      <c r="O1055" s="206" t="str">
        <f t="shared" si="243"/>
        <v/>
      </c>
      <c r="P1055" s="84" t="str">
        <f t="shared" si="244"/>
        <v/>
      </c>
      <c r="Q1055" s="205"/>
      <c r="R1055" s="70" t="str">
        <f>IF(S1055="IN",'BOM_Phan II'!$Y$3,"")</f>
        <v/>
      </c>
      <c r="S1055" s="69" t="str">
        <f t="shared" si="236"/>
        <v/>
      </c>
      <c r="T1055">
        <f t="shared" si="245"/>
        <v>3</v>
      </c>
      <c r="U1055" t="str">
        <f t="shared" si="233"/>
        <v>KIỆN 14</v>
      </c>
      <c r="V1055" t="str">
        <f t="shared" si="246"/>
        <v/>
      </c>
      <c r="W1055" s="266"/>
      <c r="X1055" s="266"/>
      <c r="Y1055" s="266" t="str">
        <f t="shared" si="238"/>
        <v/>
      </c>
      <c r="Z1055" s="266"/>
    </row>
    <row r="1056" spans="1:26" ht="27" hidden="1" customHeight="1">
      <c r="A1056" s="70" t="str">
        <f t="shared" si="234"/>
        <v/>
      </c>
      <c r="B1056" s="70" t="str">
        <f t="shared" si="235"/>
        <v/>
      </c>
      <c r="C1056" s="204" t="str" cm="1">
        <f t="array" ref="C1056">IF(D1056="","",
    IF(AND(ISNUMBER(D1056), D1056=INT(D1056)),
        $V$6 &amp; " " &amp; (IFERROR(MAX($Y$12:$Y1055), 0) + 1),
        IF(ISNUMBER(SEARCH(".", D1056)), "", INDEX($C$12:$C1056, MATCH(2, 1/($C$12:$C1056 &lt;&gt; ""))))
    )
)</f>
        <v/>
      </c>
      <c r="D1056" s="206"/>
      <c r="E1056" s="206" t="str">
        <f>IF(AA1056 = "", "",
    IF(ISNUMBER(SEARCH("Kiện", C1056)),
       " GÓI " &amp; COUNTIF($C$13:C1056, "*Kiện*") &amp; "/" &amp; COUNTIF($C$13:$C$1000, "*Kiện*") &amp; " " &amp; AA1056,
       AA1056)
)</f>
        <v/>
      </c>
      <c r="F1056" s="206"/>
      <c r="G1056" s="206"/>
      <c r="H1056" s="206"/>
      <c r="I1056" s="206"/>
      <c r="J1056" s="206" t="str">
        <f t="shared" si="237"/>
        <v/>
      </c>
      <c r="K1056" s="206" t="str">
        <f t="shared" si="239"/>
        <v/>
      </c>
      <c r="L1056" s="206" t="str">
        <f t="shared" si="240"/>
        <v/>
      </c>
      <c r="M1056" s="206" t="str">
        <f t="shared" si="241"/>
        <v/>
      </c>
      <c r="N1056" s="206" t="str">
        <f t="shared" si="242"/>
        <v/>
      </c>
      <c r="O1056" s="206" t="str">
        <f t="shared" si="243"/>
        <v/>
      </c>
      <c r="P1056" s="84" t="str">
        <f t="shared" si="244"/>
        <v/>
      </c>
      <c r="Q1056" s="205"/>
      <c r="R1056" s="70" t="str">
        <f>IF(S1056="IN",'BOM_Phan II'!$Y$3,"")</f>
        <v/>
      </c>
      <c r="S1056" s="69" t="str">
        <f t="shared" si="236"/>
        <v/>
      </c>
      <c r="T1056">
        <f t="shared" si="245"/>
        <v>3</v>
      </c>
      <c r="U1056" t="str">
        <f t="shared" si="233"/>
        <v>KIỆN 14</v>
      </c>
      <c r="V1056" t="str">
        <f t="shared" si="246"/>
        <v/>
      </c>
      <c r="W1056" s="266"/>
      <c r="X1056" s="266"/>
      <c r="Y1056" s="266" t="str">
        <f t="shared" si="238"/>
        <v/>
      </c>
      <c r="Z1056" s="266"/>
    </row>
    <row r="1057" spans="1:26" ht="27" hidden="1" customHeight="1">
      <c r="A1057" s="70" t="str">
        <f t="shared" si="234"/>
        <v/>
      </c>
      <c r="B1057" s="70" t="str">
        <f t="shared" si="235"/>
        <v/>
      </c>
      <c r="C1057" s="204" t="str" cm="1">
        <f t="array" ref="C1057">IF(D1057="","",
    IF(AND(ISNUMBER(D1057), D1057=INT(D1057)),
        $V$6 &amp; " " &amp; (IFERROR(MAX($Y$12:$Y1056), 0) + 1),
        IF(ISNUMBER(SEARCH(".", D1057)), "", INDEX($C$12:$C1057, MATCH(2, 1/($C$12:$C1057 &lt;&gt; ""))))
    )
)</f>
        <v/>
      </c>
      <c r="D1057" s="206"/>
      <c r="E1057" s="206" t="str">
        <f>IF(AA1057 = "", "",
    IF(ISNUMBER(SEARCH("Kiện", C1057)),
       " GÓI " &amp; COUNTIF($C$13:C1057, "*Kiện*") &amp; "/" &amp; COUNTIF($C$13:$C$1000, "*Kiện*") &amp; " " &amp; AA1057,
       AA1057)
)</f>
        <v/>
      </c>
      <c r="F1057" s="206"/>
      <c r="G1057" s="206"/>
      <c r="H1057" s="206"/>
      <c r="I1057" s="206"/>
      <c r="J1057" s="206" t="str">
        <f t="shared" si="237"/>
        <v/>
      </c>
      <c r="K1057" s="206" t="str">
        <f t="shared" si="239"/>
        <v/>
      </c>
      <c r="L1057" s="206" t="str">
        <f t="shared" si="240"/>
        <v/>
      </c>
      <c r="M1057" s="206" t="str">
        <f t="shared" si="241"/>
        <v/>
      </c>
      <c r="N1057" s="206" t="str">
        <f t="shared" si="242"/>
        <v/>
      </c>
      <c r="O1057" s="206" t="str">
        <f t="shared" si="243"/>
        <v/>
      </c>
      <c r="P1057" s="84" t="str">
        <f t="shared" si="244"/>
        <v/>
      </c>
      <c r="Q1057" s="205"/>
      <c r="R1057" s="70" t="str">
        <f>IF(S1057="IN",'BOM_Phan II'!$Y$3,"")</f>
        <v/>
      </c>
      <c r="S1057" s="69" t="str">
        <f t="shared" si="236"/>
        <v/>
      </c>
      <c r="T1057">
        <f t="shared" si="245"/>
        <v>3</v>
      </c>
      <c r="U1057" t="str">
        <f t="shared" si="233"/>
        <v>KIỆN 14</v>
      </c>
      <c r="V1057" t="str">
        <f t="shared" si="246"/>
        <v/>
      </c>
      <c r="W1057" s="266"/>
      <c r="X1057" s="266"/>
      <c r="Y1057" s="266" t="str">
        <f t="shared" si="238"/>
        <v/>
      </c>
      <c r="Z1057" s="266"/>
    </row>
    <row r="1058" spans="1:26" ht="27" hidden="1" customHeight="1">
      <c r="A1058" s="70" t="str">
        <f t="shared" si="234"/>
        <v/>
      </c>
      <c r="B1058" s="70" t="str">
        <f t="shared" si="235"/>
        <v/>
      </c>
      <c r="C1058" s="204" t="str" cm="1">
        <f t="array" ref="C1058">IF(D1058="","",
    IF(AND(ISNUMBER(D1058), D1058=INT(D1058)),
        $V$6 &amp; " " &amp; (IFERROR(MAX($Y$12:$Y1057), 0) + 1),
        IF(ISNUMBER(SEARCH(".", D1058)), "", INDEX($C$12:$C1058, MATCH(2, 1/($C$12:$C1058 &lt;&gt; ""))))
    )
)</f>
        <v/>
      </c>
      <c r="D1058" s="206"/>
      <c r="E1058" s="206" t="str">
        <f>IF(AA1058 = "", "",
    IF(ISNUMBER(SEARCH("Kiện", C1058)),
       " GÓI " &amp; COUNTIF($C$13:C1058, "*Kiện*") &amp; "/" &amp; COUNTIF($C$13:$C$1000, "*Kiện*") &amp; " " &amp; AA1058,
       AA1058)
)</f>
        <v/>
      </c>
      <c r="F1058" s="206"/>
      <c r="G1058" s="206"/>
      <c r="H1058" s="206"/>
      <c r="I1058" s="206"/>
      <c r="J1058" s="206" t="str">
        <f t="shared" si="237"/>
        <v/>
      </c>
      <c r="K1058" s="206" t="str">
        <f t="shared" si="239"/>
        <v/>
      </c>
      <c r="L1058" s="206" t="str">
        <f t="shared" si="240"/>
        <v/>
      </c>
      <c r="M1058" s="206" t="str">
        <f t="shared" si="241"/>
        <v/>
      </c>
      <c r="N1058" s="206" t="str">
        <f t="shared" si="242"/>
        <v/>
      </c>
      <c r="O1058" s="206" t="str">
        <f t="shared" si="243"/>
        <v/>
      </c>
      <c r="P1058" s="84" t="str">
        <f t="shared" si="244"/>
        <v/>
      </c>
      <c r="Q1058" s="205"/>
      <c r="R1058" s="70" t="str">
        <f>IF(S1058="IN",'BOM_Phan II'!$Y$3,"")</f>
        <v/>
      </c>
      <c r="S1058" s="69" t="str">
        <f t="shared" si="236"/>
        <v/>
      </c>
      <c r="T1058">
        <f t="shared" si="245"/>
        <v>3</v>
      </c>
      <c r="U1058" t="str">
        <f t="shared" si="233"/>
        <v>KIỆN 14</v>
      </c>
      <c r="V1058" t="str">
        <f t="shared" si="246"/>
        <v/>
      </c>
      <c r="W1058" s="266"/>
      <c r="X1058" s="266"/>
      <c r="Y1058" s="266" t="str">
        <f t="shared" si="238"/>
        <v/>
      </c>
      <c r="Z1058" s="266"/>
    </row>
    <row r="1059" spans="1:26" ht="27" hidden="1" customHeight="1">
      <c r="A1059" s="70" t="str">
        <f t="shared" si="234"/>
        <v/>
      </c>
      <c r="B1059" s="70" t="str">
        <f t="shared" si="235"/>
        <v/>
      </c>
      <c r="C1059" s="204" t="str" cm="1">
        <f t="array" ref="C1059">IF(D1059="","",
    IF(AND(ISNUMBER(D1059), D1059=INT(D1059)),
        $V$6 &amp; " " &amp; (IFERROR(MAX($Y$12:$Y1058), 0) + 1),
        IF(ISNUMBER(SEARCH(".", D1059)), "", INDEX($C$12:$C1059, MATCH(2, 1/($C$12:$C1059 &lt;&gt; ""))))
    )
)</f>
        <v/>
      </c>
      <c r="D1059" s="206"/>
      <c r="E1059" s="206" t="str">
        <f>IF(AA1059 = "", "",
    IF(ISNUMBER(SEARCH("Kiện", C1059)),
       " GÓI " &amp; COUNTIF($C$13:C1059, "*Kiện*") &amp; "/" &amp; COUNTIF($C$13:$C$1000, "*Kiện*") &amp; " " &amp; AA1059,
       AA1059)
)</f>
        <v/>
      </c>
      <c r="F1059" s="206"/>
      <c r="G1059" s="206"/>
      <c r="H1059" s="206"/>
      <c r="I1059" s="206"/>
      <c r="J1059" s="206" t="str">
        <f t="shared" si="237"/>
        <v/>
      </c>
      <c r="K1059" s="206" t="str">
        <f t="shared" si="239"/>
        <v/>
      </c>
      <c r="L1059" s="206" t="str">
        <f t="shared" si="240"/>
        <v/>
      </c>
      <c r="M1059" s="206" t="str">
        <f t="shared" si="241"/>
        <v/>
      </c>
      <c r="N1059" s="206" t="str">
        <f t="shared" si="242"/>
        <v/>
      </c>
      <c r="O1059" s="206" t="str">
        <f t="shared" si="243"/>
        <v/>
      </c>
      <c r="P1059" s="84" t="str">
        <f t="shared" si="244"/>
        <v/>
      </c>
      <c r="Q1059" s="205"/>
      <c r="R1059" s="70" t="str">
        <f>IF(S1059="IN",'BOM_Phan II'!$Y$3,"")</f>
        <v/>
      </c>
      <c r="S1059" s="69" t="str">
        <f t="shared" si="236"/>
        <v/>
      </c>
      <c r="T1059">
        <f t="shared" si="245"/>
        <v>3</v>
      </c>
      <c r="U1059" t="str">
        <f t="shared" si="233"/>
        <v>KIỆN 14</v>
      </c>
      <c r="V1059" t="str">
        <f t="shared" si="246"/>
        <v/>
      </c>
      <c r="W1059" s="266"/>
      <c r="X1059" s="266"/>
      <c r="Y1059" s="266" t="str">
        <f t="shared" si="238"/>
        <v/>
      </c>
      <c r="Z1059" s="266"/>
    </row>
    <row r="1060" spans="1:26" ht="27" hidden="1" customHeight="1">
      <c r="A1060" s="70" t="str">
        <f t="shared" si="234"/>
        <v/>
      </c>
      <c r="B1060" s="70" t="str">
        <f t="shared" si="235"/>
        <v/>
      </c>
      <c r="C1060" s="204" t="str" cm="1">
        <f t="array" ref="C1060">IF(D1060="","",
    IF(AND(ISNUMBER(D1060), D1060=INT(D1060)),
        $V$6 &amp; " " &amp; (IFERROR(MAX($Y$12:$Y1059), 0) + 1),
        IF(ISNUMBER(SEARCH(".", D1060)), "", INDEX($C$12:$C1060, MATCH(2, 1/($C$12:$C1060 &lt;&gt; ""))))
    )
)</f>
        <v/>
      </c>
      <c r="D1060" s="206"/>
      <c r="E1060" s="206" t="str">
        <f>IF(AA1060 = "", "",
    IF(ISNUMBER(SEARCH("Kiện", C1060)),
       " GÓI " &amp; COUNTIF($C$13:C1060, "*Kiện*") &amp; "/" &amp; COUNTIF($C$13:$C$1000, "*Kiện*") &amp; " " &amp; AA1060,
       AA1060)
)</f>
        <v/>
      </c>
      <c r="F1060" s="206"/>
      <c r="G1060" s="206"/>
      <c r="H1060" s="206"/>
      <c r="I1060" s="206"/>
      <c r="J1060" s="206" t="str">
        <f t="shared" si="237"/>
        <v/>
      </c>
      <c r="K1060" s="206" t="str">
        <f t="shared" si="239"/>
        <v/>
      </c>
      <c r="L1060" s="206" t="str">
        <f t="shared" si="240"/>
        <v/>
      </c>
      <c r="M1060" s="206" t="str">
        <f t="shared" si="241"/>
        <v/>
      </c>
      <c r="N1060" s="206" t="str">
        <f t="shared" si="242"/>
        <v/>
      </c>
      <c r="O1060" s="206" t="str">
        <f t="shared" si="243"/>
        <v/>
      </c>
      <c r="P1060" s="84" t="str">
        <f t="shared" si="244"/>
        <v/>
      </c>
      <c r="Q1060" s="205"/>
      <c r="R1060" s="70" t="str">
        <f>IF(S1060="IN",'BOM_Phan II'!$Y$3,"")</f>
        <v/>
      </c>
      <c r="S1060" s="69" t="str">
        <f t="shared" si="236"/>
        <v/>
      </c>
      <c r="T1060">
        <f t="shared" si="245"/>
        <v>3</v>
      </c>
      <c r="U1060" t="str">
        <f t="shared" si="233"/>
        <v>KIỆN 14</v>
      </c>
      <c r="V1060" t="str">
        <f t="shared" si="246"/>
        <v/>
      </c>
      <c r="W1060" s="266"/>
      <c r="X1060" s="266"/>
      <c r="Y1060" s="266" t="str">
        <f t="shared" si="238"/>
        <v/>
      </c>
      <c r="Z1060" s="266"/>
    </row>
    <row r="1061" spans="1:26" ht="27" hidden="1" customHeight="1">
      <c r="A1061" s="70" t="str">
        <f t="shared" si="234"/>
        <v/>
      </c>
      <c r="B1061" s="70" t="str">
        <f t="shared" si="235"/>
        <v/>
      </c>
      <c r="C1061" s="204" t="str" cm="1">
        <f t="array" ref="C1061">IF(D1061="","",
    IF(AND(ISNUMBER(D1061), D1061=INT(D1061)),
        $V$6 &amp; " " &amp; (IFERROR(MAX($Y$12:$Y1060), 0) + 1),
        IF(ISNUMBER(SEARCH(".", D1061)), "", INDEX($C$12:$C1061, MATCH(2, 1/($C$12:$C1061 &lt;&gt; ""))))
    )
)</f>
        <v/>
      </c>
      <c r="D1061" s="206"/>
      <c r="E1061" s="206" t="str">
        <f>IF(AA1061 = "", "",
    IF(ISNUMBER(SEARCH("Kiện", C1061)),
       " GÓI " &amp; COUNTIF($C$13:C1061, "*Kiện*") &amp; "/" &amp; COUNTIF($C$13:$C$1000, "*Kiện*") &amp; " " &amp; AA1061,
       AA1061)
)</f>
        <v/>
      </c>
      <c r="F1061" s="206"/>
      <c r="G1061" s="206"/>
      <c r="H1061" s="206"/>
      <c r="I1061" s="206"/>
      <c r="J1061" s="206" t="str">
        <f t="shared" si="237"/>
        <v/>
      </c>
      <c r="K1061" s="206" t="str">
        <f t="shared" si="239"/>
        <v/>
      </c>
      <c r="L1061" s="206" t="str">
        <f t="shared" si="240"/>
        <v/>
      </c>
      <c r="M1061" s="206" t="str">
        <f t="shared" si="241"/>
        <v/>
      </c>
      <c r="N1061" s="206" t="str">
        <f t="shared" si="242"/>
        <v/>
      </c>
      <c r="O1061" s="206" t="str">
        <f t="shared" si="243"/>
        <v/>
      </c>
      <c r="P1061" s="84" t="str">
        <f t="shared" si="244"/>
        <v/>
      </c>
      <c r="Q1061" s="205"/>
      <c r="R1061" s="70" t="str">
        <f>IF(S1061="IN",'BOM_Phan II'!$Y$3,"")</f>
        <v/>
      </c>
      <c r="S1061" s="69" t="str">
        <f t="shared" si="236"/>
        <v/>
      </c>
      <c r="T1061">
        <f t="shared" si="245"/>
        <v>3</v>
      </c>
      <c r="U1061" t="str">
        <f t="shared" si="233"/>
        <v>KIỆN 14</v>
      </c>
      <c r="V1061" t="str">
        <f t="shared" si="246"/>
        <v/>
      </c>
      <c r="W1061" s="266"/>
      <c r="X1061" s="266"/>
      <c r="Y1061" s="266" t="str">
        <f t="shared" si="238"/>
        <v/>
      </c>
      <c r="Z1061" s="266"/>
    </row>
    <row r="1062" spans="1:26" ht="27" hidden="1" customHeight="1">
      <c r="A1062" s="70" t="str">
        <f t="shared" si="234"/>
        <v/>
      </c>
      <c r="B1062" s="70" t="str">
        <f t="shared" si="235"/>
        <v/>
      </c>
      <c r="C1062" s="204" t="str" cm="1">
        <f t="array" ref="C1062">IF(D1062="","",
    IF(AND(ISNUMBER(D1062), D1062=INT(D1062)),
        $V$6 &amp; " " &amp; (IFERROR(MAX($Y$12:$Y1061), 0) + 1),
        IF(ISNUMBER(SEARCH(".", D1062)), "", INDEX($C$12:$C1062, MATCH(2, 1/($C$12:$C1062 &lt;&gt; ""))))
    )
)</f>
        <v/>
      </c>
      <c r="D1062" s="206"/>
      <c r="E1062" s="206" t="str">
        <f>IF(AA1062 = "", "",
    IF(ISNUMBER(SEARCH("Kiện", C1062)),
       " GÓI " &amp; COUNTIF($C$13:C1062, "*Kiện*") &amp; "/" &amp; COUNTIF($C$13:$C$1000, "*Kiện*") &amp; " " &amp; AA1062,
       AA1062)
)</f>
        <v/>
      </c>
      <c r="F1062" s="206"/>
      <c r="G1062" s="206"/>
      <c r="H1062" s="206"/>
      <c r="I1062" s="206"/>
      <c r="J1062" s="206" t="str">
        <f t="shared" si="237"/>
        <v/>
      </c>
      <c r="K1062" s="206" t="str">
        <f t="shared" si="239"/>
        <v/>
      </c>
      <c r="L1062" s="206" t="str">
        <f t="shared" si="240"/>
        <v/>
      </c>
      <c r="M1062" s="206" t="str">
        <f t="shared" si="241"/>
        <v/>
      </c>
      <c r="N1062" s="206" t="str">
        <f t="shared" si="242"/>
        <v/>
      </c>
      <c r="O1062" s="206" t="str">
        <f t="shared" si="243"/>
        <v/>
      </c>
      <c r="P1062" s="84" t="str">
        <f t="shared" si="244"/>
        <v/>
      </c>
      <c r="Q1062" s="205"/>
      <c r="R1062" s="70" t="str">
        <f>IF(S1062="IN",'BOM_Phan II'!$Y$3,"")</f>
        <v/>
      </c>
      <c r="S1062" s="69" t="str">
        <f t="shared" si="236"/>
        <v/>
      </c>
      <c r="T1062">
        <f t="shared" si="245"/>
        <v>3</v>
      </c>
      <c r="U1062" t="str">
        <f t="shared" si="233"/>
        <v>KIỆN 14</v>
      </c>
      <c r="V1062" t="str">
        <f t="shared" si="246"/>
        <v/>
      </c>
      <c r="W1062" s="266"/>
      <c r="X1062" s="266"/>
      <c r="Y1062" s="266" t="str">
        <f t="shared" si="238"/>
        <v/>
      </c>
      <c r="Z1062" s="266"/>
    </row>
    <row r="1063" spans="1:26" ht="27" hidden="1" customHeight="1">
      <c r="A1063" s="70" t="str">
        <f t="shared" si="234"/>
        <v/>
      </c>
      <c r="B1063" s="70" t="str">
        <f t="shared" si="235"/>
        <v/>
      </c>
      <c r="C1063" s="204" t="str" cm="1">
        <f t="array" ref="C1063">IF(D1063="","",
    IF(AND(ISNUMBER(D1063), D1063=INT(D1063)),
        $V$6 &amp; " " &amp; (IFERROR(MAX($Y$12:$Y1062), 0) + 1),
        IF(ISNUMBER(SEARCH(".", D1063)), "", INDEX($C$12:$C1063, MATCH(2, 1/($C$12:$C1063 &lt;&gt; ""))))
    )
)</f>
        <v/>
      </c>
      <c r="D1063" s="206"/>
      <c r="E1063" s="206" t="str">
        <f>IF(AA1063 = "", "",
    IF(ISNUMBER(SEARCH("Kiện", C1063)),
       " GÓI " &amp; COUNTIF($C$13:C1063, "*Kiện*") &amp; "/" &amp; COUNTIF($C$13:$C$1000, "*Kiện*") &amp; " " &amp; AA1063,
       AA1063)
)</f>
        <v/>
      </c>
      <c r="F1063" s="206"/>
      <c r="G1063" s="206"/>
      <c r="H1063" s="206"/>
      <c r="I1063" s="206"/>
      <c r="J1063" s="206" t="str">
        <f t="shared" si="237"/>
        <v/>
      </c>
      <c r="K1063" s="206" t="str">
        <f t="shared" si="239"/>
        <v/>
      </c>
      <c r="L1063" s="206" t="str">
        <f t="shared" si="240"/>
        <v/>
      </c>
      <c r="M1063" s="206" t="str">
        <f t="shared" si="241"/>
        <v/>
      </c>
      <c r="N1063" s="206" t="str">
        <f t="shared" si="242"/>
        <v/>
      </c>
      <c r="O1063" s="206" t="str">
        <f t="shared" si="243"/>
        <v/>
      </c>
      <c r="P1063" s="84" t="str">
        <f t="shared" si="244"/>
        <v/>
      </c>
      <c r="Q1063" s="205"/>
      <c r="R1063" s="70" t="str">
        <f>IF(S1063="IN",'BOM_Phan II'!$Y$3,"")</f>
        <v/>
      </c>
      <c r="S1063" s="69" t="str">
        <f t="shared" si="236"/>
        <v/>
      </c>
      <c r="T1063">
        <f t="shared" si="245"/>
        <v>3</v>
      </c>
      <c r="U1063" t="str">
        <f t="shared" si="233"/>
        <v>KIỆN 14</v>
      </c>
      <c r="V1063" t="str">
        <f t="shared" si="246"/>
        <v/>
      </c>
      <c r="W1063" s="266"/>
      <c r="X1063" s="266"/>
      <c r="Y1063" s="266" t="str">
        <f t="shared" si="238"/>
        <v/>
      </c>
      <c r="Z1063" s="266"/>
    </row>
    <row r="1064" spans="1:26" ht="27" hidden="1" customHeight="1">
      <c r="A1064" s="70" t="str">
        <f t="shared" si="234"/>
        <v/>
      </c>
      <c r="B1064" s="70" t="str">
        <f t="shared" si="235"/>
        <v/>
      </c>
      <c r="C1064" s="204" t="str" cm="1">
        <f t="array" ref="C1064">IF(D1064="","",
    IF(AND(ISNUMBER(D1064), D1064=INT(D1064)),
        $V$6 &amp; " " &amp; (IFERROR(MAX($Y$12:$Y1063), 0) + 1),
        IF(ISNUMBER(SEARCH(".", D1064)), "", INDEX($C$12:$C1064, MATCH(2, 1/($C$12:$C1064 &lt;&gt; ""))))
    )
)</f>
        <v/>
      </c>
      <c r="D1064" s="206"/>
      <c r="E1064" s="206" t="str">
        <f>IF(AA1064 = "", "",
    IF(ISNUMBER(SEARCH("Kiện", C1064)),
       " GÓI " &amp; COUNTIF($C$13:C1064, "*Kiện*") &amp; "/" &amp; COUNTIF($C$13:$C$1000, "*Kiện*") &amp; " " &amp; AA1064,
       AA1064)
)</f>
        <v/>
      </c>
      <c r="F1064" s="206"/>
      <c r="G1064" s="206"/>
      <c r="H1064" s="206"/>
      <c r="I1064" s="206"/>
      <c r="J1064" s="206" t="str">
        <f t="shared" si="237"/>
        <v/>
      </c>
      <c r="K1064" s="206" t="str">
        <f t="shared" si="239"/>
        <v/>
      </c>
      <c r="L1064" s="206" t="str">
        <f t="shared" si="240"/>
        <v/>
      </c>
      <c r="M1064" s="206" t="str">
        <f t="shared" si="241"/>
        <v/>
      </c>
      <c r="N1064" s="206" t="str">
        <f t="shared" si="242"/>
        <v/>
      </c>
      <c r="O1064" s="206" t="str">
        <f t="shared" si="243"/>
        <v/>
      </c>
      <c r="P1064" s="84" t="str">
        <f t="shared" si="244"/>
        <v/>
      </c>
      <c r="Q1064" s="205"/>
      <c r="R1064" s="70" t="str">
        <f>IF(S1064="IN",'BOM_Phan II'!$Y$3,"")</f>
        <v/>
      </c>
      <c r="S1064" s="69" t="str">
        <f t="shared" si="236"/>
        <v/>
      </c>
      <c r="T1064">
        <f t="shared" si="245"/>
        <v>3</v>
      </c>
      <c r="U1064" t="str">
        <f t="shared" si="233"/>
        <v>KIỆN 14</v>
      </c>
      <c r="V1064" t="str">
        <f t="shared" si="246"/>
        <v/>
      </c>
      <c r="W1064" s="266"/>
      <c r="X1064" s="266"/>
      <c r="Y1064" s="266" t="str">
        <f t="shared" si="238"/>
        <v/>
      </c>
      <c r="Z1064" s="266"/>
    </row>
    <row r="1065" spans="1:26" ht="27" hidden="1" customHeight="1">
      <c r="A1065" s="70" t="str">
        <f t="shared" si="234"/>
        <v/>
      </c>
      <c r="B1065" s="70" t="str">
        <f t="shared" si="235"/>
        <v/>
      </c>
      <c r="C1065" s="204" t="str" cm="1">
        <f t="array" ref="C1065">IF(D1065="","",
    IF(AND(ISNUMBER(D1065), D1065=INT(D1065)),
        $V$6 &amp; " " &amp; (IFERROR(MAX($Y$12:$Y1064), 0) + 1),
        IF(ISNUMBER(SEARCH(".", D1065)), "", INDEX($C$12:$C1065, MATCH(2, 1/($C$12:$C1065 &lt;&gt; ""))))
    )
)</f>
        <v/>
      </c>
      <c r="D1065" s="206"/>
      <c r="E1065" s="206" t="str">
        <f>IF(AA1065 = "", "",
    IF(ISNUMBER(SEARCH("Kiện", C1065)),
       " GÓI " &amp; COUNTIF($C$13:C1065, "*Kiện*") &amp; "/" &amp; COUNTIF($C$13:$C$1000, "*Kiện*") &amp; " " &amp; AA1065,
       AA1065)
)</f>
        <v/>
      </c>
      <c r="F1065" s="206"/>
      <c r="G1065" s="206"/>
      <c r="H1065" s="206"/>
      <c r="I1065" s="206"/>
      <c r="J1065" s="206" t="str">
        <f t="shared" si="237"/>
        <v/>
      </c>
      <c r="K1065" s="206" t="str">
        <f t="shared" si="239"/>
        <v/>
      </c>
      <c r="L1065" s="206" t="str">
        <f t="shared" si="240"/>
        <v/>
      </c>
      <c r="M1065" s="206" t="str">
        <f t="shared" si="241"/>
        <v/>
      </c>
      <c r="N1065" s="206" t="str">
        <f t="shared" si="242"/>
        <v/>
      </c>
      <c r="O1065" s="206" t="str">
        <f t="shared" si="243"/>
        <v/>
      </c>
      <c r="P1065" s="84" t="str">
        <f t="shared" si="244"/>
        <v/>
      </c>
      <c r="Q1065" s="205"/>
      <c r="R1065" s="70" t="str">
        <f>IF(S1065="IN",'BOM_Phan II'!$Y$3,"")</f>
        <v/>
      </c>
      <c r="S1065" s="69" t="str">
        <f t="shared" si="236"/>
        <v/>
      </c>
      <c r="T1065">
        <f t="shared" si="245"/>
        <v>3</v>
      </c>
      <c r="U1065" t="str">
        <f t="shared" si="233"/>
        <v>KIỆN 14</v>
      </c>
      <c r="V1065" t="str">
        <f t="shared" si="246"/>
        <v/>
      </c>
      <c r="W1065" s="266"/>
      <c r="X1065" s="266"/>
      <c r="Y1065" s="266" t="str">
        <f t="shared" si="238"/>
        <v/>
      </c>
      <c r="Z1065" s="266"/>
    </row>
    <row r="1066" spans="1:26" ht="27" hidden="1" customHeight="1">
      <c r="A1066" s="70" t="str">
        <f t="shared" si="234"/>
        <v/>
      </c>
      <c r="B1066" s="70" t="str">
        <f t="shared" si="235"/>
        <v/>
      </c>
      <c r="C1066" s="204" t="str" cm="1">
        <f t="array" ref="C1066">IF(D1066="","",
    IF(AND(ISNUMBER(D1066), D1066=INT(D1066)),
        $V$6 &amp; " " &amp; (IFERROR(MAX($Y$12:$Y1065), 0) + 1),
        IF(ISNUMBER(SEARCH(".", D1066)), "", INDEX($C$12:$C1066, MATCH(2, 1/($C$12:$C1066 &lt;&gt; ""))))
    )
)</f>
        <v/>
      </c>
      <c r="D1066" s="206"/>
      <c r="E1066" s="206" t="str">
        <f>IF(AA1066 = "", "",
    IF(ISNUMBER(SEARCH("Kiện", C1066)),
       " GÓI " &amp; COUNTIF($C$13:C1066, "*Kiện*") &amp; "/" &amp; COUNTIF($C$13:$C$1000, "*Kiện*") &amp; " " &amp; AA1066,
       AA1066)
)</f>
        <v/>
      </c>
      <c r="F1066" s="206"/>
      <c r="G1066" s="206"/>
      <c r="H1066" s="206"/>
      <c r="I1066" s="206"/>
      <c r="J1066" s="206" t="str">
        <f t="shared" si="237"/>
        <v/>
      </c>
      <c r="K1066" s="206" t="str">
        <f t="shared" si="239"/>
        <v/>
      </c>
      <c r="L1066" s="206" t="str">
        <f t="shared" si="240"/>
        <v/>
      </c>
      <c r="M1066" s="206" t="str">
        <f t="shared" si="241"/>
        <v/>
      </c>
      <c r="N1066" s="206" t="str">
        <f t="shared" si="242"/>
        <v/>
      </c>
      <c r="O1066" s="206" t="str">
        <f t="shared" si="243"/>
        <v/>
      </c>
      <c r="P1066" s="84" t="str">
        <f t="shared" si="244"/>
        <v/>
      </c>
      <c r="Q1066" s="205"/>
      <c r="R1066" s="70" t="str">
        <f>IF(S1066="IN",'BOM_Phan II'!$Y$3,"")</f>
        <v/>
      </c>
      <c r="S1066" s="69" t="str">
        <f t="shared" si="236"/>
        <v/>
      </c>
      <c r="T1066">
        <f t="shared" si="245"/>
        <v>3</v>
      </c>
      <c r="U1066" t="str">
        <f t="shared" si="233"/>
        <v>KIỆN 14</v>
      </c>
      <c r="V1066" t="str">
        <f t="shared" si="246"/>
        <v/>
      </c>
      <c r="W1066" s="266"/>
      <c r="X1066" s="266"/>
      <c r="Y1066" s="266" t="str">
        <f t="shared" si="238"/>
        <v/>
      </c>
      <c r="Z1066" s="266"/>
    </row>
    <row r="1067" spans="1:26" ht="27" hidden="1" customHeight="1">
      <c r="A1067" s="70" t="str">
        <f t="shared" si="234"/>
        <v/>
      </c>
      <c r="B1067" s="70" t="str">
        <f t="shared" si="235"/>
        <v/>
      </c>
      <c r="C1067" s="204" t="str" cm="1">
        <f t="array" ref="C1067">IF(D1067="","",
    IF(AND(ISNUMBER(D1067), D1067=INT(D1067)),
        $V$6 &amp; " " &amp; (IFERROR(MAX($Y$12:$Y1066), 0) + 1),
        IF(ISNUMBER(SEARCH(".", D1067)), "", INDEX($C$12:$C1067, MATCH(2, 1/($C$12:$C1067 &lt;&gt; ""))))
    )
)</f>
        <v/>
      </c>
      <c r="D1067" s="206"/>
      <c r="E1067" s="206" t="str">
        <f>IF(AA1067 = "", "",
    IF(ISNUMBER(SEARCH("Kiện", C1067)),
       " GÓI " &amp; COUNTIF($C$13:C1067, "*Kiện*") &amp; "/" &amp; COUNTIF($C$13:$C$1000, "*Kiện*") &amp; " " &amp; AA1067,
       AA1067)
)</f>
        <v/>
      </c>
      <c r="F1067" s="206"/>
      <c r="G1067" s="206"/>
      <c r="H1067" s="206"/>
      <c r="I1067" s="206"/>
      <c r="J1067" s="206" t="str">
        <f t="shared" si="237"/>
        <v/>
      </c>
      <c r="K1067" s="206" t="str">
        <f t="shared" si="239"/>
        <v/>
      </c>
      <c r="L1067" s="206" t="str">
        <f t="shared" si="240"/>
        <v/>
      </c>
      <c r="M1067" s="206" t="str">
        <f t="shared" si="241"/>
        <v/>
      </c>
      <c r="N1067" s="206" t="str">
        <f t="shared" si="242"/>
        <v/>
      </c>
      <c r="O1067" s="206" t="str">
        <f t="shared" si="243"/>
        <v/>
      </c>
      <c r="P1067" s="84" t="str">
        <f t="shared" si="244"/>
        <v/>
      </c>
      <c r="Q1067" s="205"/>
      <c r="R1067" s="70" t="str">
        <f>IF(S1067="IN",'BOM_Phan II'!$Y$3,"")</f>
        <v/>
      </c>
      <c r="S1067" s="69" t="str">
        <f t="shared" si="236"/>
        <v/>
      </c>
      <c r="T1067">
        <f t="shared" si="245"/>
        <v>3</v>
      </c>
      <c r="U1067" t="str">
        <f t="shared" si="233"/>
        <v>KIỆN 14</v>
      </c>
      <c r="V1067" t="str">
        <f t="shared" si="246"/>
        <v/>
      </c>
      <c r="W1067" s="266"/>
      <c r="X1067" s="266"/>
      <c r="Y1067" s="266" t="str">
        <f t="shared" si="238"/>
        <v/>
      </c>
      <c r="Z1067" s="266"/>
    </row>
    <row r="1068" spans="1:26" ht="27" hidden="1" customHeight="1">
      <c r="A1068" s="70" t="str">
        <f t="shared" si="234"/>
        <v/>
      </c>
      <c r="B1068" s="70" t="str">
        <f t="shared" si="235"/>
        <v/>
      </c>
      <c r="C1068" s="204" t="str" cm="1">
        <f t="array" ref="C1068">IF(D1068="","",
    IF(AND(ISNUMBER(D1068), D1068=INT(D1068)),
        $V$6 &amp; " " &amp; (IFERROR(MAX($Y$12:$Y1067), 0) + 1),
        IF(ISNUMBER(SEARCH(".", D1068)), "", INDEX($C$12:$C1068, MATCH(2, 1/($C$12:$C1068 &lt;&gt; ""))))
    )
)</f>
        <v/>
      </c>
      <c r="D1068" s="206"/>
      <c r="E1068" s="206" t="str">
        <f>IF(AA1068 = "", "",
    IF(ISNUMBER(SEARCH("Kiện", C1068)),
       " GÓI " &amp; COUNTIF($C$13:C1068, "*Kiện*") &amp; "/" &amp; COUNTIF($C$13:$C$1000, "*Kiện*") &amp; " " &amp; AA1068,
       AA1068)
)</f>
        <v/>
      </c>
      <c r="F1068" s="206"/>
      <c r="G1068" s="206"/>
      <c r="H1068" s="206"/>
      <c r="I1068" s="206"/>
      <c r="J1068" s="206" t="str">
        <f t="shared" si="237"/>
        <v/>
      </c>
      <c r="K1068" s="206" t="str">
        <f t="shared" si="239"/>
        <v/>
      </c>
      <c r="L1068" s="206" t="str">
        <f t="shared" si="240"/>
        <v/>
      </c>
      <c r="M1068" s="206" t="str">
        <f t="shared" si="241"/>
        <v/>
      </c>
      <c r="N1068" s="206" t="str">
        <f t="shared" si="242"/>
        <v/>
      </c>
      <c r="O1068" s="206" t="str">
        <f t="shared" si="243"/>
        <v/>
      </c>
      <c r="P1068" s="84" t="str">
        <f t="shared" si="244"/>
        <v/>
      </c>
      <c r="Q1068" s="205"/>
      <c r="R1068" s="70" t="str">
        <f>IF(S1068="IN",'BOM_Phan II'!$Y$3,"")</f>
        <v/>
      </c>
      <c r="S1068" s="69" t="str">
        <f t="shared" si="236"/>
        <v/>
      </c>
      <c r="T1068">
        <f t="shared" si="245"/>
        <v>3</v>
      </c>
      <c r="U1068" t="str">
        <f t="shared" si="233"/>
        <v>KIỆN 14</v>
      </c>
      <c r="V1068" t="str">
        <f t="shared" si="246"/>
        <v/>
      </c>
      <c r="W1068" s="266"/>
      <c r="X1068" s="266"/>
      <c r="Y1068" s="266" t="str">
        <f t="shared" si="238"/>
        <v/>
      </c>
      <c r="Z1068" s="266"/>
    </row>
    <row r="1069" spans="1:26" ht="27" hidden="1" customHeight="1">
      <c r="A1069" s="70" t="str">
        <f t="shared" si="234"/>
        <v/>
      </c>
      <c r="B1069" s="70" t="str">
        <f t="shared" si="235"/>
        <v/>
      </c>
      <c r="C1069" s="204" t="str" cm="1">
        <f t="array" ref="C1069">IF(D1069="","",
    IF(AND(ISNUMBER(D1069), D1069=INT(D1069)),
        $V$6 &amp; " " &amp; (IFERROR(MAX($Y$12:$Y1068), 0) + 1),
        IF(ISNUMBER(SEARCH(".", D1069)), "", INDEX($C$12:$C1069, MATCH(2, 1/($C$12:$C1069 &lt;&gt; ""))))
    )
)</f>
        <v/>
      </c>
      <c r="D1069" s="206"/>
      <c r="E1069" s="206" t="str">
        <f>IF(AA1069 = "", "",
    IF(ISNUMBER(SEARCH("Kiện", C1069)),
       " GÓI " &amp; COUNTIF($C$13:C1069, "*Kiện*") &amp; "/" &amp; COUNTIF($C$13:$C$1000, "*Kiện*") &amp; " " &amp; AA1069,
       AA1069)
)</f>
        <v/>
      </c>
      <c r="F1069" s="206"/>
      <c r="G1069" s="206"/>
      <c r="H1069" s="206"/>
      <c r="I1069" s="206"/>
      <c r="J1069" s="206" t="str">
        <f t="shared" si="237"/>
        <v/>
      </c>
      <c r="K1069" s="206" t="str">
        <f t="shared" si="239"/>
        <v/>
      </c>
      <c r="L1069" s="206" t="str">
        <f t="shared" si="240"/>
        <v/>
      </c>
      <c r="M1069" s="206" t="str">
        <f t="shared" si="241"/>
        <v/>
      </c>
      <c r="N1069" s="206" t="str">
        <f t="shared" si="242"/>
        <v/>
      </c>
      <c r="O1069" s="206" t="str">
        <f t="shared" si="243"/>
        <v/>
      </c>
      <c r="P1069" s="84" t="str">
        <f t="shared" si="244"/>
        <v/>
      </c>
      <c r="Q1069" s="205"/>
      <c r="R1069" s="70" t="str">
        <f>IF(S1069="IN",'BOM_Phan II'!$Y$3,"")</f>
        <v/>
      </c>
      <c r="S1069" s="69" t="str">
        <f t="shared" si="236"/>
        <v/>
      </c>
      <c r="T1069">
        <f t="shared" si="245"/>
        <v>3</v>
      </c>
      <c r="U1069" t="str">
        <f t="shared" si="233"/>
        <v>KIỆN 14</v>
      </c>
      <c r="V1069" t="str">
        <f t="shared" si="246"/>
        <v/>
      </c>
      <c r="W1069" s="266"/>
      <c r="X1069" s="266"/>
      <c r="Y1069" s="266" t="str">
        <f t="shared" si="238"/>
        <v/>
      </c>
      <c r="Z1069" s="266"/>
    </row>
    <row r="1070" spans="1:26" ht="27" hidden="1" customHeight="1">
      <c r="A1070" s="70" t="str">
        <f t="shared" si="234"/>
        <v/>
      </c>
      <c r="B1070" s="70" t="str">
        <f t="shared" si="235"/>
        <v/>
      </c>
      <c r="C1070" s="204" t="str" cm="1">
        <f t="array" ref="C1070">IF(D1070="","",
    IF(AND(ISNUMBER(D1070), D1070=INT(D1070)),
        $V$6 &amp; " " &amp; (IFERROR(MAX($Y$12:$Y1069), 0) + 1),
        IF(ISNUMBER(SEARCH(".", D1070)), "", INDEX($C$12:$C1070, MATCH(2, 1/($C$12:$C1070 &lt;&gt; ""))))
    )
)</f>
        <v/>
      </c>
      <c r="D1070" s="206"/>
      <c r="E1070" s="206" t="str">
        <f>IF(AA1070 = "", "",
    IF(ISNUMBER(SEARCH("Kiện", C1070)),
       " GÓI " &amp; COUNTIF($C$13:C1070, "*Kiện*") &amp; "/" &amp; COUNTIF($C$13:$C$1000, "*Kiện*") &amp; " " &amp; AA1070,
       AA1070)
)</f>
        <v/>
      </c>
      <c r="F1070" s="206"/>
      <c r="G1070" s="206"/>
      <c r="H1070" s="206"/>
      <c r="I1070" s="206"/>
      <c r="J1070" s="206" t="str">
        <f t="shared" si="237"/>
        <v/>
      </c>
      <c r="K1070" s="206" t="str">
        <f t="shared" si="239"/>
        <v/>
      </c>
      <c r="L1070" s="206" t="str">
        <f t="shared" si="240"/>
        <v/>
      </c>
      <c r="M1070" s="206" t="str">
        <f t="shared" si="241"/>
        <v/>
      </c>
      <c r="N1070" s="206" t="str">
        <f t="shared" si="242"/>
        <v/>
      </c>
      <c r="O1070" s="206" t="str">
        <f t="shared" si="243"/>
        <v/>
      </c>
      <c r="P1070" s="84" t="str">
        <f t="shared" si="244"/>
        <v/>
      </c>
      <c r="Q1070" s="205"/>
      <c r="R1070" s="70" t="str">
        <f>IF(S1070="IN",'BOM_Phan II'!$Y$3,"")</f>
        <v/>
      </c>
      <c r="S1070" s="69" t="str">
        <f t="shared" si="236"/>
        <v/>
      </c>
      <c r="T1070">
        <f t="shared" si="245"/>
        <v>3</v>
      </c>
      <c r="U1070" t="str">
        <f t="shared" si="233"/>
        <v>KIỆN 14</v>
      </c>
      <c r="V1070" t="str">
        <f t="shared" si="246"/>
        <v/>
      </c>
      <c r="W1070" s="266"/>
      <c r="X1070" s="266"/>
      <c r="Y1070" s="266" t="str">
        <f t="shared" si="238"/>
        <v/>
      </c>
      <c r="Z1070" s="266"/>
    </row>
    <row r="1071" spans="1:26" ht="27" hidden="1" customHeight="1">
      <c r="A1071" s="70" t="str">
        <f t="shared" si="234"/>
        <v/>
      </c>
      <c r="B1071" s="70" t="str">
        <f t="shared" si="235"/>
        <v/>
      </c>
      <c r="C1071" s="204" t="str" cm="1">
        <f t="array" ref="C1071">IF(D1071="","",
    IF(AND(ISNUMBER(D1071), D1071=INT(D1071)),
        $V$6 &amp; " " &amp; (IFERROR(MAX($Y$12:$Y1070), 0) + 1),
        IF(ISNUMBER(SEARCH(".", D1071)), "", INDEX($C$12:$C1071, MATCH(2, 1/($C$12:$C1071 &lt;&gt; ""))))
    )
)</f>
        <v/>
      </c>
      <c r="D1071" s="206"/>
      <c r="E1071" s="206" t="str">
        <f>IF(AA1071 = "", "",
    IF(ISNUMBER(SEARCH("Kiện", C1071)),
       " GÓI " &amp; COUNTIF($C$13:C1071, "*Kiện*") &amp; "/" &amp; COUNTIF($C$13:$C$1000, "*Kiện*") &amp; " " &amp; AA1071,
       AA1071)
)</f>
        <v/>
      </c>
      <c r="F1071" s="206"/>
      <c r="G1071" s="206"/>
      <c r="H1071" s="206"/>
      <c r="I1071" s="206"/>
      <c r="J1071" s="206" t="str">
        <f t="shared" si="237"/>
        <v/>
      </c>
      <c r="K1071" s="206" t="str">
        <f t="shared" si="239"/>
        <v/>
      </c>
      <c r="L1071" s="206" t="str">
        <f t="shared" si="240"/>
        <v/>
      </c>
      <c r="M1071" s="206" t="str">
        <f t="shared" si="241"/>
        <v/>
      </c>
      <c r="N1071" s="206" t="str">
        <f t="shared" si="242"/>
        <v/>
      </c>
      <c r="O1071" s="206" t="str">
        <f t="shared" si="243"/>
        <v/>
      </c>
      <c r="P1071" s="84" t="str">
        <f t="shared" si="244"/>
        <v/>
      </c>
      <c r="Q1071" s="205"/>
      <c r="R1071" s="70" t="str">
        <f>IF(S1071="IN",'BOM_Phan II'!$Y$3,"")</f>
        <v/>
      </c>
      <c r="S1071" s="69" t="str">
        <f t="shared" si="236"/>
        <v/>
      </c>
      <c r="T1071">
        <f t="shared" si="245"/>
        <v>3</v>
      </c>
      <c r="U1071" t="str">
        <f t="shared" si="233"/>
        <v>KIỆN 14</v>
      </c>
      <c r="V1071" t="str">
        <f t="shared" si="246"/>
        <v/>
      </c>
      <c r="W1071" s="266"/>
      <c r="X1071" s="266"/>
      <c r="Y1071" s="266" t="str">
        <f t="shared" si="238"/>
        <v/>
      </c>
      <c r="Z1071" s="266"/>
    </row>
    <row r="1072" spans="1:26" ht="27" hidden="1" customHeight="1">
      <c r="A1072" s="70" t="str">
        <f t="shared" si="234"/>
        <v/>
      </c>
      <c r="B1072" s="70" t="str">
        <f t="shared" si="235"/>
        <v/>
      </c>
      <c r="C1072" s="204" t="str" cm="1">
        <f t="array" ref="C1072">IF(D1072="","",
    IF(AND(ISNUMBER(D1072), D1072=INT(D1072)),
        $V$6 &amp; " " &amp; (IFERROR(MAX($Y$12:$Y1071), 0) + 1),
        IF(ISNUMBER(SEARCH(".", D1072)), "", INDEX($C$12:$C1072, MATCH(2, 1/($C$12:$C1072 &lt;&gt; ""))))
    )
)</f>
        <v/>
      </c>
      <c r="D1072" s="206"/>
      <c r="E1072" s="206" t="str">
        <f>IF(AA1072 = "", "",
    IF(ISNUMBER(SEARCH("Kiện", C1072)),
       " GÓI " &amp; COUNTIF($C$13:C1072, "*Kiện*") &amp; "/" &amp; COUNTIF($C$13:$C$1000, "*Kiện*") &amp; " " &amp; AA1072,
       AA1072)
)</f>
        <v/>
      </c>
      <c r="F1072" s="206"/>
      <c r="G1072" s="206"/>
      <c r="H1072" s="206"/>
      <c r="I1072" s="206"/>
      <c r="J1072" s="206" t="str">
        <f t="shared" si="237"/>
        <v/>
      </c>
      <c r="K1072" s="206" t="str">
        <f t="shared" si="239"/>
        <v/>
      </c>
      <c r="L1072" s="206" t="str">
        <f t="shared" si="240"/>
        <v/>
      </c>
      <c r="M1072" s="206" t="str">
        <f t="shared" si="241"/>
        <v/>
      </c>
      <c r="N1072" s="206" t="str">
        <f t="shared" si="242"/>
        <v/>
      </c>
      <c r="O1072" s="206" t="str">
        <f t="shared" si="243"/>
        <v/>
      </c>
      <c r="P1072" s="84" t="str">
        <f t="shared" si="244"/>
        <v/>
      </c>
      <c r="Q1072" s="205"/>
      <c r="R1072" s="70" t="str">
        <f>IF(S1072="IN",'BOM_Phan II'!$Y$3,"")</f>
        <v/>
      </c>
      <c r="S1072" s="69" t="str">
        <f t="shared" si="236"/>
        <v/>
      </c>
      <c r="T1072">
        <f t="shared" si="245"/>
        <v>3</v>
      </c>
      <c r="U1072" t="str">
        <f t="shared" si="233"/>
        <v>KIỆN 14</v>
      </c>
      <c r="V1072" t="str">
        <f t="shared" si="246"/>
        <v/>
      </c>
      <c r="W1072" s="266"/>
      <c r="X1072" s="266"/>
      <c r="Y1072" s="266" t="str">
        <f t="shared" si="238"/>
        <v/>
      </c>
      <c r="Z1072" s="266"/>
    </row>
    <row r="1073" spans="1:26" ht="27" hidden="1" customHeight="1">
      <c r="A1073" s="70" t="str">
        <f t="shared" si="234"/>
        <v/>
      </c>
      <c r="B1073" s="70" t="str">
        <f t="shared" si="235"/>
        <v/>
      </c>
      <c r="C1073" s="204" t="str" cm="1">
        <f t="array" ref="C1073">IF(D1073="","",
    IF(AND(ISNUMBER(D1073), D1073=INT(D1073)),
        $V$6 &amp; " " &amp; (IFERROR(MAX($Y$12:$Y1072), 0) + 1),
        IF(ISNUMBER(SEARCH(".", D1073)), "", INDEX($C$12:$C1073, MATCH(2, 1/($C$12:$C1073 &lt;&gt; ""))))
    )
)</f>
        <v/>
      </c>
      <c r="D1073" s="206"/>
      <c r="E1073" s="206" t="str">
        <f>IF(AA1073 = "", "",
    IF(ISNUMBER(SEARCH("Kiện", C1073)),
       " GÓI " &amp; COUNTIF($C$13:C1073, "*Kiện*") &amp; "/" &amp; COUNTIF($C$13:$C$1000, "*Kiện*") &amp; " " &amp; AA1073,
       AA1073)
)</f>
        <v/>
      </c>
      <c r="F1073" s="206"/>
      <c r="G1073" s="206"/>
      <c r="H1073" s="206"/>
      <c r="I1073" s="206"/>
      <c r="J1073" s="206" t="str">
        <f t="shared" si="237"/>
        <v/>
      </c>
      <c r="K1073" s="206" t="str">
        <f t="shared" si="239"/>
        <v/>
      </c>
      <c r="L1073" s="206" t="str">
        <f t="shared" si="240"/>
        <v/>
      </c>
      <c r="M1073" s="206" t="str">
        <f t="shared" si="241"/>
        <v/>
      </c>
      <c r="N1073" s="206" t="str">
        <f t="shared" si="242"/>
        <v/>
      </c>
      <c r="O1073" s="206" t="str">
        <f t="shared" si="243"/>
        <v/>
      </c>
      <c r="P1073" s="84" t="str">
        <f t="shared" si="244"/>
        <v/>
      </c>
      <c r="Q1073" s="205"/>
      <c r="R1073" s="70" t="str">
        <f>IF(S1073="IN",'BOM_Phan II'!$Y$3,"")</f>
        <v/>
      </c>
      <c r="S1073" s="69" t="str">
        <f t="shared" si="236"/>
        <v/>
      </c>
      <c r="T1073">
        <f t="shared" si="245"/>
        <v>3</v>
      </c>
      <c r="U1073" t="str">
        <f t="shared" si="233"/>
        <v>KIỆN 14</v>
      </c>
      <c r="V1073" t="str">
        <f t="shared" si="246"/>
        <v/>
      </c>
      <c r="W1073" s="266"/>
      <c r="X1073" s="266"/>
      <c r="Y1073" s="266" t="str">
        <f t="shared" si="238"/>
        <v/>
      </c>
      <c r="Z1073" s="266"/>
    </row>
    <row r="1074" spans="1:26" ht="27" hidden="1" customHeight="1">
      <c r="A1074" s="70" t="str">
        <f t="shared" si="234"/>
        <v/>
      </c>
      <c r="B1074" s="70" t="str">
        <f t="shared" si="235"/>
        <v/>
      </c>
      <c r="C1074" s="204" t="str" cm="1">
        <f t="array" ref="C1074">IF(D1074="","",
    IF(AND(ISNUMBER(D1074), D1074=INT(D1074)),
        $V$6 &amp; " " &amp; (IFERROR(MAX($Y$12:$Y1073), 0) + 1),
        IF(ISNUMBER(SEARCH(".", D1074)), "", INDEX($C$12:$C1074, MATCH(2, 1/($C$12:$C1074 &lt;&gt; ""))))
    )
)</f>
        <v/>
      </c>
      <c r="D1074" s="206"/>
      <c r="E1074" s="206" t="str">
        <f>IF(AA1074 = "", "",
    IF(ISNUMBER(SEARCH("Kiện", C1074)),
       " GÓI " &amp; COUNTIF($C$13:C1074, "*Kiện*") &amp; "/" &amp; COUNTIF($C$13:$C$1000, "*Kiện*") &amp; " " &amp; AA1074,
       AA1074)
)</f>
        <v/>
      </c>
      <c r="F1074" s="206"/>
      <c r="G1074" s="206"/>
      <c r="H1074" s="206"/>
      <c r="I1074" s="206"/>
      <c r="J1074" s="206" t="str">
        <f t="shared" si="237"/>
        <v/>
      </c>
      <c r="K1074" s="206" t="str">
        <f t="shared" si="239"/>
        <v/>
      </c>
      <c r="L1074" s="206" t="str">
        <f t="shared" si="240"/>
        <v/>
      </c>
      <c r="M1074" s="206" t="str">
        <f t="shared" si="241"/>
        <v/>
      </c>
      <c r="N1074" s="206" t="str">
        <f t="shared" si="242"/>
        <v/>
      </c>
      <c r="O1074" s="206" t="str">
        <f t="shared" si="243"/>
        <v/>
      </c>
      <c r="P1074" s="84" t="str">
        <f t="shared" si="244"/>
        <v/>
      </c>
      <c r="Q1074" s="205"/>
      <c r="R1074" s="70" t="str">
        <f>IF(S1074="IN",'BOM_Phan II'!$Y$3,"")</f>
        <v/>
      </c>
      <c r="S1074" s="69" t="str">
        <f t="shared" si="236"/>
        <v/>
      </c>
      <c r="T1074">
        <f t="shared" si="245"/>
        <v>3</v>
      </c>
      <c r="U1074" t="str">
        <f t="shared" si="233"/>
        <v>KIỆN 14</v>
      </c>
      <c r="V1074" t="str">
        <f t="shared" si="246"/>
        <v/>
      </c>
      <c r="W1074" s="266"/>
      <c r="X1074" s="266"/>
      <c r="Y1074" s="266" t="str">
        <f t="shared" si="238"/>
        <v/>
      </c>
      <c r="Z1074" s="266"/>
    </row>
    <row r="1075" spans="1:26" ht="27" hidden="1" customHeight="1">
      <c r="A1075" s="70" t="str">
        <f t="shared" si="234"/>
        <v/>
      </c>
      <c r="B1075" s="70" t="str">
        <f t="shared" si="235"/>
        <v/>
      </c>
      <c r="C1075" s="204" t="str" cm="1">
        <f t="array" ref="C1075">IF(D1075="","",
    IF(AND(ISNUMBER(D1075), D1075=INT(D1075)),
        $V$6 &amp; " " &amp; (IFERROR(MAX($Y$12:$Y1074), 0) + 1),
        IF(ISNUMBER(SEARCH(".", D1075)), "", INDEX($C$12:$C1075, MATCH(2, 1/($C$12:$C1075 &lt;&gt; ""))))
    )
)</f>
        <v/>
      </c>
      <c r="D1075" s="206"/>
      <c r="E1075" s="206" t="str">
        <f>IF(AA1075 = "", "",
    IF(ISNUMBER(SEARCH("Kiện", C1075)),
       " GÓI " &amp; COUNTIF($C$13:C1075, "*Kiện*") &amp; "/" &amp; COUNTIF($C$13:$C$1000, "*Kiện*") &amp; " " &amp; AA1075,
       AA1075)
)</f>
        <v/>
      </c>
      <c r="F1075" s="206"/>
      <c r="G1075" s="206"/>
      <c r="H1075" s="206"/>
      <c r="I1075" s="206"/>
      <c r="J1075" s="206" t="str">
        <f t="shared" si="237"/>
        <v/>
      </c>
      <c r="K1075" s="206" t="str">
        <f t="shared" si="239"/>
        <v/>
      </c>
      <c r="L1075" s="206" t="str">
        <f t="shared" si="240"/>
        <v/>
      </c>
      <c r="M1075" s="206" t="str">
        <f t="shared" si="241"/>
        <v/>
      </c>
      <c r="N1075" s="206" t="str">
        <f t="shared" si="242"/>
        <v/>
      </c>
      <c r="O1075" s="206" t="str">
        <f t="shared" si="243"/>
        <v/>
      </c>
      <c r="P1075" s="84" t="str">
        <f t="shared" si="244"/>
        <v/>
      </c>
      <c r="Q1075" s="205"/>
      <c r="R1075" s="70" t="str">
        <f>IF(S1075="IN",'BOM_Phan II'!$Y$3,"")</f>
        <v/>
      </c>
      <c r="S1075" s="69" t="str">
        <f t="shared" si="236"/>
        <v/>
      </c>
      <c r="T1075">
        <f t="shared" si="245"/>
        <v>3</v>
      </c>
      <c r="U1075" t="str">
        <f t="shared" si="233"/>
        <v>KIỆN 14</v>
      </c>
      <c r="V1075" t="str">
        <f t="shared" si="246"/>
        <v/>
      </c>
      <c r="W1075" s="266"/>
      <c r="X1075" s="266"/>
      <c r="Y1075" s="266" t="str">
        <f t="shared" si="238"/>
        <v/>
      </c>
      <c r="Z1075" s="266"/>
    </row>
    <row r="1076" spans="1:26" ht="27" hidden="1" customHeight="1">
      <c r="A1076" s="70" t="str">
        <f t="shared" si="234"/>
        <v/>
      </c>
      <c r="B1076" s="70" t="str">
        <f t="shared" si="235"/>
        <v/>
      </c>
      <c r="C1076" s="204" t="str" cm="1">
        <f t="array" ref="C1076">IF(D1076="","",
    IF(AND(ISNUMBER(D1076), D1076=INT(D1076)),
        $V$6 &amp; " " &amp; (IFERROR(MAX($Y$12:$Y1075), 0) + 1),
        IF(ISNUMBER(SEARCH(".", D1076)), "", INDEX($C$12:$C1076, MATCH(2, 1/($C$12:$C1076 &lt;&gt; ""))))
    )
)</f>
        <v/>
      </c>
      <c r="D1076" s="206"/>
      <c r="E1076" s="206" t="str">
        <f>IF(AA1076 = "", "",
    IF(ISNUMBER(SEARCH("Kiện", C1076)),
       " GÓI " &amp; COUNTIF($C$13:C1076, "*Kiện*") &amp; "/" &amp; COUNTIF($C$13:$C$1000, "*Kiện*") &amp; " " &amp; AA1076,
       AA1076)
)</f>
        <v/>
      </c>
      <c r="F1076" s="206"/>
      <c r="G1076" s="206"/>
      <c r="H1076" s="206"/>
      <c r="I1076" s="206"/>
      <c r="J1076" s="206" t="str">
        <f t="shared" si="237"/>
        <v/>
      </c>
      <c r="K1076" s="206" t="str">
        <f t="shared" si="239"/>
        <v/>
      </c>
      <c r="L1076" s="206" t="str">
        <f t="shared" si="240"/>
        <v/>
      </c>
      <c r="M1076" s="206" t="str">
        <f t="shared" si="241"/>
        <v/>
      </c>
      <c r="N1076" s="206" t="str">
        <f t="shared" si="242"/>
        <v/>
      </c>
      <c r="O1076" s="206" t="str">
        <f t="shared" si="243"/>
        <v/>
      </c>
      <c r="P1076" s="84" t="str">
        <f t="shared" si="244"/>
        <v/>
      </c>
      <c r="Q1076" s="205"/>
      <c r="R1076" s="70" t="str">
        <f>IF(S1076="IN",'BOM_Phan II'!$Y$3,"")</f>
        <v/>
      </c>
      <c r="S1076" s="69" t="str">
        <f t="shared" si="236"/>
        <v/>
      </c>
      <c r="T1076">
        <f t="shared" si="245"/>
        <v>3</v>
      </c>
      <c r="U1076" t="str">
        <f t="shared" si="233"/>
        <v>KIỆN 14</v>
      </c>
      <c r="V1076" t="str">
        <f t="shared" si="246"/>
        <v/>
      </c>
      <c r="W1076" s="266"/>
      <c r="X1076" s="266"/>
      <c r="Y1076" s="266" t="str">
        <f t="shared" si="238"/>
        <v/>
      </c>
      <c r="Z1076" s="266"/>
    </row>
    <row r="1077" spans="1:26" ht="27" hidden="1" customHeight="1">
      <c r="A1077" s="70" t="str">
        <f t="shared" si="234"/>
        <v/>
      </c>
      <c r="B1077" s="70" t="str">
        <f t="shared" si="235"/>
        <v/>
      </c>
      <c r="C1077" s="204" t="str" cm="1">
        <f t="array" ref="C1077">IF(D1077="","",
    IF(AND(ISNUMBER(D1077), D1077=INT(D1077)),
        $V$6 &amp; " " &amp; (IFERROR(MAX($Y$12:$Y1076), 0) + 1),
        IF(ISNUMBER(SEARCH(".", D1077)), "", INDEX($C$12:$C1077, MATCH(2, 1/($C$12:$C1077 &lt;&gt; ""))))
    )
)</f>
        <v/>
      </c>
      <c r="D1077" s="206"/>
      <c r="E1077" s="206" t="str">
        <f>IF(AA1077 = "", "",
    IF(ISNUMBER(SEARCH("Kiện", C1077)),
       " GÓI " &amp; COUNTIF($C$13:C1077, "*Kiện*") &amp; "/" &amp; COUNTIF($C$13:$C$1000, "*Kiện*") &amp; " " &amp; AA1077,
       AA1077)
)</f>
        <v/>
      </c>
      <c r="F1077" s="206"/>
      <c r="G1077" s="206"/>
      <c r="H1077" s="206"/>
      <c r="I1077" s="206"/>
      <c r="J1077" s="206" t="str">
        <f t="shared" si="237"/>
        <v/>
      </c>
      <c r="K1077" s="206" t="str">
        <f t="shared" si="239"/>
        <v/>
      </c>
      <c r="L1077" s="206" t="str">
        <f t="shared" si="240"/>
        <v/>
      </c>
      <c r="M1077" s="206" t="str">
        <f t="shared" si="241"/>
        <v/>
      </c>
      <c r="N1077" s="206" t="str">
        <f t="shared" si="242"/>
        <v/>
      </c>
      <c r="O1077" s="206" t="str">
        <f t="shared" si="243"/>
        <v/>
      </c>
      <c r="P1077" s="84" t="str">
        <f t="shared" si="244"/>
        <v/>
      </c>
      <c r="Q1077" s="205"/>
      <c r="R1077" s="70" t="str">
        <f>IF(S1077="IN",'BOM_Phan II'!$Y$3,"")</f>
        <v/>
      </c>
      <c r="S1077" s="69" t="str">
        <f t="shared" si="236"/>
        <v/>
      </c>
      <c r="T1077">
        <f t="shared" si="245"/>
        <v>3</v>
      </c>
      <c r="U1077" t="str">
        <f t="shared" si="233"/>
        <v>KIỆN 14</v>
      </c>
      <c r="V1077" t="str">
        <f t="shared" si="246"/>
        <v/>
      </c>
      <c r="W1077" s="266"/>
      <c r="X1077" s="266"/>
      <c r="Y1077" s="266" t="str">
        <f t="shared" si="238"/>
        <v/>
      </c>
      <c r="Z1077" s="266"/>
    </row>
    <row r="1078" spans="1:26" ht="27" hidden="1" customHeight="1">
      <c r="A1078" s="70" t="str">
        <f t="shared" si="234"/>
        <v/>
      </c>
      <c r="B1078" s="70" t="str">
        <f t="shared" si="235"/>
        <v/>
      </c>
      <c r="C1078" s="204" t="str" cm="1">
        <f t="array" ref="C1078">IF(D1078="","",
    IF(AND(ISNUMBER(D1078), D1078=INT(D1078)),
        $V$6 &amp; " " &amp; (IFERROR(MAX($Y$12:$Y1077), 0) + 1),
        IF(ISNUMBER(SEARCH(".", D1078)), "", INDEX($C$12:$C1078, MATCH(2, 1/($C$12:$C1078 &lt;&gt; ""))))
    )
)</f>
        <v/>
      </c>
      <c r="D1078" s="206"/>
      <c r="E1078" s="206" t="str">
        <f>IF(AA1078 = "", "",
    IF(ISNUMBER(SEARCH("Kiện", C1078)),
       " GÓI " &amp; COUNTIF($C$13:C1078, "*Kiện*") &amp; "/" &amp; COUNTIF($C$13:$C$1000, "*Kiện*") &amp; " " &amp; AA1078,
       AA1078)
)</f>
        <v/>
      </c>
      <c r="F1078" s="206"/>
      <c r="G1078" s="206"/>
      <c r="H1078" s="206"/>
      <c r="I1078" s="206"/>
      <c r="J1078" s="206" t="str">
        <f t="shared" si="237"/>
        <v/>
      </c>
      <c r="K1078" s="206" t="str">
        <f t="shared" si="239"/>
        <v/>
      </c>
      <c r="L1078" s="206" t="str">
        <f t="shared" si="240"/>
        <v/>
      </c>
      <c r="M1078" s="206" t="str">
        <f t="shared" si="241"/>
        <v/>
      </c>
      <c r="N1078" s="206" t="str">
        <f t="shared" si="242"/>
        <v/>
      </c>
      <c r="O1078" s="206" t="str">
        <f t="shared" si="243"/>
        <v/>
      </c>
      <c r="P1078" s="84" t="str">
        <f t="shared" si="244"/>
        <v/>
      </c>
      <c r="Q1078" s="205"/>
      <c r="R1078" s="70" t="str">
        <f>IF(S1078="IN",'BOM_Phan II'!$Y$3,"")</f>
        <v/>
      </c>
      <c r="S1078" s="69" t="str">
        <f t="shared" si="236"/>
        <v/>
      </c>
      <c r="T1078">
        <f t="shared" si="245"/>
        <v>3</v>
      </c>
      <c r="U1078" t="str">
        <f t="shared" si="233"/>
        <v>KIỆN 14</v>
      </c>
      <c r="V1078" t="str">
        <f t="shared" si="246"/>
        <v/>
      </c>
      <c r="W1078" s="266"/>
      <c r="X1078" s="266"/>
      <c r="Y1078" s="266" t="str">
        <f t="shared" si="238"/>
        <v/>
      </c>
      <c r="Z1078" s="266"/>
    </row>
    <row r="1079" spans="1:26" ht="27" hidden="1" customHeight="1">
      <c r="A1079" s="70" t="str">
        <f t="shared" si="234"/>
        <v/>
      </c>
      <c r="B1079" s="70" t="str">
        <f t="shared" si="235"/>
        <v/>
      </c>
      <c r="C1079" s="204" t="str" cm="1">
        <f t="array" ref="C1079">IF(D1079="","",
    IF(AND(ISNUMBER(D1079), D1079=INT(D1079)),
        $V$6 &amp; " " &amp; (IFERROR(MAX($Y$12:$Y1078), 0) + 1),
        IF(ISNUMBER(SEARCH(".", D1079)), "", INDEX($C$12:$C1079, MATCH(2, 1/($C$12:$C1079 &lt;&gt; ""))))
    )
)</f>
        <v/>
      </c>
      <c r="D1079" s="206"/>
      <c r="E1079" s="206" t="str">
        <f>IF(AA1079 = "", "",
    IF(ISNUMBER(SEARCH("Kiện", C1079)),
       " GÓI " &amp; COUNTIF($C$13:C1079, "*Kiện*") &amp; "/" &amp; COUNTIF($C$13:$C$1000, "*Kiện*") &amp; " " &amp; AA1079,
       AA1079)
)</f>
        <v/>
      </c>
      <c r="F1079" s="206"/>
      <c r="G1079" s="206"/>
      <c r="H1079" s="206"/>
      <c r="I1079" s="206"/>
      <c r="J1079" s="206" t="str">
        <f t="shared" si="237"/>
        <v/>
      </c>
      <c r="K1079" s="206" t="str">
        <f t="shared" si="239"/>
        <v/>
      </c>
      <c r="L1079" s="206" t="str">
        <f t="shared" si="240"/>
        <v/>
      </c>
      <c r="M1079" s="206" t="str">
        <f t="shared" si="241"/>
        <v/>
      </c>
      <c r="N1079" s="206" t="str">
        <f t="shared" si="242"/>
        <v/>
      </c>
      <c r="O1079" s="206" t="str">
        <f t="shared" si="243"/>
        <v/>
      </c>
      <c r="P1079" s="84" t="str">
        <f t="shared" si="244"/>
        <v/>
      </c>
      <c r="Q1079" s="205"/>
      <c r="R1079" s="70" t="str">
        <f>IF(S1079="IN",'BOM_Phan II'!$Y$3,"")</f>
        <v/>
      </c>
      <c r="S1079" s="69" t="str">
        <f t="shared" si="236"/>
        <v/>
      </c>
      <c r="T1079">
        <f t="shared" si="245"/>
        <v>3</v>
      </c>
      <c r="U1079" t="str">
        <f t="shared" si="233"/>
        <v>KIỆN 14</v>
      </c>
      <c r="V1079" t="str">
        <f t="shared" si="246"/>
        <v/>
      </c>
      <c r="W1079" s="266"/>
      <c r="X1079" s="266"/>
      <c r="Y1079" s="266" t="str">
        <f t="shared" si="238"/>
        <v/>
      </c>
      <c r="Z1079" s="266"/>
    </row>
    <row r="1080" spans="1:26" ht="27" hidden="1" customHeight="1">
      <c r="A1080" s="70" t="str">
        <f t="shared" si="234"/>
        <v/>
      </c>
      <c r="B1080" s="70" t="str">
        <f t="shared" si="235"/>
        <v/>
      </c>
      <c r="C1080" s="204" t="str" cm="1">
        <f t="array" ref="C1080">IF(D1080="","",
    IF(AND(ISNUMBER(D1080), D1080=INT(D1080)),
        $V$6 &amp; " " &amp; (IFERROR(MAX($Y$12:$Y1079), 0) + 1),
        IF(ISNUMBER(SEARCH(".", D1080)), "", INDEX($C$12:$C1080, MATCH(2, 1/($C$12:$C1080 &lt;&gt; ""))))
    )
)</f>
        <v/>
      </c>
      <c r="D1080" s="206"/>
      <c r="E1080" s="206" t="str">
        <f>IF(AA1080 = "", "",
    IF(ISNUMBER(SEARCH("Kiện", C1080)),
       " GÓI " &amp; COUNTIF($C$13:C1080, "*Kiện*") &amp; "/" &amp; COUNTIF($C$13:$C$1000, "*Kiện*") &amp; " " &amp; AA1080,
       AA1080)
)</f>
        <v/>
      </c>
      <c r="F1080" s="206"/>
      <c r="G1080" s="206"/>
      <c r="H1080" s="206"/>
      <c r="I1080" s="206"/>
      <c r="J1080" s="206" t="str">
        <f t="shared" si="237"/>
        <v/>
      </c>
      <c r="K1080" s="206" t="str">
        <f t="shared" si="239"/>
        <v/>
      </c>
      <c r="L1080" s="206" t="str">
        <f t="shared" si="240"/>
        <v/>
      </c>
      <c r="M1080" s="206" t="str">
        <f t="shared" si="241"/>
        <v/>
      </c>
      <c r="N1080" s="206" t="str">
        <f t="shared" si="242"/>
        <v/>
      </c>
      <c r="O1080" s="206" t="str">
        <f t="shared" si="243"/>
        <v/>
      </c>
      <c r="P1080" s="84" t="str">
        <f t="shared" si="244"/>
        <v/>
      </c>
      <c r="Q1080" s="205"/>
      <c r="R1080" s="70" t="str">
        <f>IF(S1080="IN",'BOM_Phan II'!$Y$3,"")</f>
        <v/>
      </c>
      <c r="S1080" s="69" t="str">
        <f t="shared" si="236"/>
        <v/>
      </c>
      <c r="T1080">
        <f t="shared" si="245"/>
        <v>3</v>
      </c>
      <c r="U1080" t="str">
        <f t="shared" si="233"/>
        <v>KIỆN 14</v>
      </c>
      <c r="V1080" t="str">
        <f t="shared" si="246"/>
        <v/>
      </c>
      <c r="W1080" s="266"/>
      <c r="X1080" s="266"/>
      <c r="Y1080" s="266" t="str">
        <f t="shared" si="238"/>
        <v/>
      </c>
      <c r="Z1080" s="266"/>
    </row>
    <row r="1081" spans="1:26" ht="27" hidden="1" customHeight="1">
      <c r="A1081" s="70" t="str">
        <f t="shared" si="234"/>
        <v/>
      </c>
      <c r="B1081" s="70" t="str">
        <f t="shared" si="235"/>
        <v/>
      </c>
      <c r="C1081" s="204" t="str" cm="1">
        <f t="array" ref="C1081">IF(D1081="","",
    IF(AND(ISNUMBER(D1081), D1081=INT(D1081)),
        $V$6 &amp; " " &amp; (IFERROR(MAX($Y$12:$Y1080), 0) + 1),
        IF(ISNUMBER(SEARCH(".", D1081)), "", INDEX($C$12:$C1081, MATCH(2, 1/($C$12:$C1081 &lt;&gt; ""))))
    )
)</f>
        <v/>
      </c>
      <c r="D1081" s="206"/>
      <c r="E1081" s="206" t="str">
        <f>IF(AA1081 = "", "",
    IF(ISNUMBER(SEARCH("Kiện", C1081)),
       " GÓI " &amp; COUNTIF($C$13:C1081, "*Kiện*") &amp; "/" &amp; COUNTIF($C$13:$C$1000, "*Kiện*") &amp; " " &amp; AA1081,
       AA1081)
)</f>
        <v/>
      </c>
      <c r="F1081" s="206"/>
      <c r="G1081" s="206"/>
      <c r="H1081" s="206"/>
      <c r="I1081" s="206"/>
      <c r="J1081" s="206" t="str">
        <f t="shared" si="237"/>
        <v/>
      </c>
      <c r="K1081" s="206" t="str">
        <f t="shared" si="239"/>
        <v/>
      </c>
      <c r="L1081" s="206" t="str">
        <f t="shared" si="240"/>
        <v/>
      </c>
      <c r="M1081" s="206" t="str">
        <f t="shared" si="241"/>
        <v/>
      </c>
      <c r="N1081" s="206" t="str">
        <f t="shared" si="242"/>
        <v/>
      </c>
      <c r="O1081" s="206" t="str">
        <f t="shared" si="243"/>
        <v/>
      </c>
      <c r="P1081" s="84" t="str">
        <f t="shared" si="244"/>
        <v/>
      </c>
      <c r="Q1081" s="205"/>
      <c r="R1081" s="70" t="str">
        <f>IF(S1081="IN",'BOM_Phan II'!$Y$3,"")</f>
        <v/>
      </c>
      <c r="S1081" s="69" t="str">
        <f t="shared" si="236"/>
        <v/>
      </c>
      <c r="T1081">
        <f t="shared" si="245"/>
        <v>3</v>
      </c>
      <c r="U1081" t="str">
        <f t="shared" si="233"/>
        <v>KIỆN 14</v>
      </c>
      <c r="V1081" t="str">
        <f t="shared" si="246"/>
        <v/>
      </c>
      <c r="W1081" s="266"/>
      <c r="X1081" s="266"/>
      <c r="Y1081" s="266" t="str">
        <f t="shared" si="238"/>
        <v/>
      </c>
      <c r="Z1081" s="266"/>
    </row>
    <row r="1082" spans="1:26" ht="27" hidden="1" customHeight="1">
      <c r="A1082" s="70" t="str">
        <f t="shared" si="234"/>
        <v/>
      </c>
      <c r="B1082" s="70" t="str">
        <f t="shared" si="235"/>
        <v/>
      </c>
      <c r="C1082" s="204" t="str" cm="1">
        <f t="array" ref="C1082">IF(D1082="","",
    IF(AND(ISNUMBER(D1082), D1082=INT(D1082)),
        $V$6 &amp; " " &amp; (IFERROR(MAX($Y$12:$Y1081), 0) + 1),
        IF(ISNUMBER(SEARCH(".", D1082)), "", INDEX($C$12:$C1082, MATCH(2, 1/($C$12:$C1082 &lt;&gt; ""))))
    )
)</f>
        <v/>
      </c>
      <c r="D1082" s="206"/>
      <c r="E1082" s="206" t="str">
        <f>IF(AA1082 = "", "",
    IF(ISNUMBER(SEARCH("Kiện", C1082)),
       " GÓI " &amp; COUNTIF($C$13:C1082, "*Kiện*") &amp; "/" &amp; COUNTIF($C$13:$C$1000, "*Kiện*") &amp; " " &amp; AA1082,
       AA1082)
)</f>
        <v/>
      </c>
      <c r="F1082" s="206"/>
      <c r="G1082" s="206"/>
      <c r="H1082" s="206"/>
      <c r="I1082" s="206"/>
      <c r="J1082" s="206" t="str">
        <f t="shared" si="237"/>
        <v/>
      </c>
      <c r="K1082" s="206" t="str">
        <f t="shared" si="239"/>
        <v/>
      </c>
      <c r="L1082" s="206" t="str">
        <f t="shared" si="240"/>
        <v/>
      </c>
      <c r="M1082" s="206" t="str">
        <f t="shared" si="241"/>
        <v/>
      </c>
      <c r="N1082" s="206" t="str">
        <f t="shared" si="242"/>
        <v/>
      </c>
      <c r="O1082" s="206" t="str">
        <f t="shared" si="243"/>
        <v/>
      </c>
      <c r="P1082" s="84" t="str">
        <f t="shared" si="244"/>
        <v/>
      </c>
      <c r="Q1082" s="205"/>
      <c r="R1082" s="70" t="str">
        <f>IF(S1082="IN",'BOM_Phan II'!$Y$3,"")</f>
        <v/>
      </c>
      <c r="S1082" s="69" t="str">
        <f t="shared" si="236"/>
        <v/>
      </c>
      <c r="T1082">
        <f t="shared" si="245"/>
        <v>3</v>
      </c>
      <c r="U1082" t="str">
        <f t="shared" si="233"/>
        <v>KIỆN 14</v>
      </c>
      <c r="V1082" t="str">
        <f t="shared" si="246"/>
        <v/>
      </c>
      <c r="W1082" s="266"/>
      <c r="X1082" s="266"/>
      <c r="Y1082" s="266" t="str">
        <f t="shared" si="238"/>
        <v/>
      </c>
      <c r="Z1082" s="266"/>
    </row>
    <row r="1083" spans="1:26" ht="27" hidden="1" customHeight="1">
      <c r="A1083" s="70" t="str">
        <f t="shared" si="234"/>
        <v/>
      </c>
      <c r="B1083" s="70" t="str">
        <f t="shared" si="235"/>
        <v/>
      </c>
      <c r="C1083" s="204" t="str" cm="1">
        <f t="array" ref="C1083">IF(D1083="","",
    IF(AND(ISNUMBER(D1083), D1083=INT(D1083)),
        $V$6 &amp; " " &amp; (IFERROR(MAX($Y$12:$Y1082), 0) + 1),
        IF(ISNUMBER(SEARCH(".", D1083)), "", INDEX($C$12:$C1083, MATCH(2, 1/($C$12:$C1083 &lt;&gt; ""))))
    )
)</f>
        <v/>
      </c>
      <c r="D1083" s="206"/>
      <c r="E1083" s="206" t="str">
        <f>IF(AA1083 = "", "",
    IF(ISNUMBER(SEARCH("Kiện", C1083)),
       " GÓI " &amp; COUNTIF($C$13:C1083, "*Kiện*") &amp; "/" &amp; COUNTIF($C$13:$C$1000, "*Kiện*") &amp; " " &amp; AA1083,
       AA1083)
)</f>
        <v/>
      </c>
      <c r="F1083" s="206"/>
      <c r="G1083" s="206"/>
      <c r="H1083" s="206"/>
      <c r="I1083" s="206"/>
      <c r="J1083" s="206" t="str">
        <f t="shared" si="237"/>
        <v/>
      </c>
      <c r="K1083" s="206" t="str">
        <f t="shared" si="239"/>
        <v/>
      </c>
      <c r="L1083" s="206" t="str">
        <f t="shared" si="240"/>
        <v/>
      </c>
      <c r="M1083" s="206" t="str">
        <f t="shared" si="241"/>
        <v/>
      </c>
      <c r="N1083" s="206" t="str">
        <f t="shared" si="242"/>
        <v/>
      </c>
      <c r="O1083" s="206" t="str">
        <f t="shared" si="243"/>
        <v/>
      </c>
      <c r="P1083" s="84" t="str">
        <f t="shared" si="244"/>
        <v/>
      </c>
      <c r="Q1083" s="205"/>
      <c r="R1083" s="70" t="str">
        <f>IF(S1083="IN",'BOM_Phan II'!$Y$3,"")</f>
        <v/>
      </c>
      <c r="S1083" s="69" t="str">
        <f t="shared" si="236"/>
        <v/>
      </c>
      <c r="T1083">
        <f t="shared" si="245"/>
        <v>3</v>
      </c>
      <c r="U1083" t="str">
        <f t="shared" si="233"/>
        <v>KIỆN 14</v>
      </c>
      <c r="V1083" t="str">
        <f t="shared" si="246"/>
        <v/>
      </c>
      <c r="W1083" s="266"/>
      <c r="X1083" s="266"/>
      <c r="Y1083" s="266" t="str">
        <f t="shared" si="238"/>
        <v/>
      </c>
      <c r="Z1083" s="266"/>
    </row>
    <row r="1084" spans="1:26" ht="27" hidden="1" customHeight="1">
      <c r="A1084" s="70" t="str">
        <f t="shared" si="234"/>
        <v/>
      </c>
      <c r="B1084" s="70" t="str">
        <f t="shared" si="235"/>
        <v/>
      </c>
      <c r="C1084" s="204" t="str" cm="1">
        <f t="array" ref="C1084">IF(D1084="","",
    IF(AND(ISNUMBER(D1084), D1084=INT(D1084)),
        $V$6 &amp; " " &amp; (IFERROR(MAX($Y$12:$Y1083), 0) + 1),
        IF(ISNUMBER(SEARCH(".", D1084)), "", INDEX($C$12:$C1084, MATCH(2, 1/($C$12:$C1084 &lt;&gt; ""))))
    )
)</f>
        <v/>
      </c>
      <c r="D1084" s="206"/>
      <c r="E1084" s="206" t="str">
        <f>IF(AA1084 = "", "",
    IF(ISNUMBER(SEARCH("Kiện", C1084)),
       " GÓI " &amp; COUNTIF($C$13:C1084, "*Kiện*") &amp; "/" &amp; COUNTIF($C$13:$C$1000, "*Kiện*") &amp; " " &amp; AA1084,
       AA1084)
)</f>
        <v/>
      </c>
      <c r="F1084" s="206"/>
      <c r="G1084" s="206"/>
      <c r="H1084" s="206"/>
      <c r="I1084" s="206"/>
      <c r="J1084" s="206" t="str">
        <f t="shared" si="237"/>
        <v/>
      </c>
      <c r="K1084" s="206" t="str">
        <f t="shared" si="239"/>
        <v/>
      </c>
      <c r="L1084" s="206" t="str">
        <f t="shared" si="240"/>
        <v/>
      </c>
      <c r="M1084" s="206" t="str">
        <f t="shared" si="241"/>
        <v/>
      </c>
      <c r="N1084" s="206" t="str">
        <f t="shared" si="242"/>
        <v/>
      </c>
      <c r="O1084" s="206" t="str">
        <f t="shared" si="243"/>
        <v/>
      </c>
      <c r="P1084" s="84" t="str">
        <f t="shared" si="244"/>
        <v/>
      </c>
      <c r="Q1084" s="205"/>
      <c r="R1084" s="70" t="str">
        <f>IF(S1084="IN",'BOM_Phan II'!$Y$3,"")</f>
        <v/>
      </c>
      <c r="S1084" s="69" t="str">
        <f t="shared" si="236"/>
        <v/>
      </c>
      <c r="T1084">
        <f t="shared" si="245"/>
        <v>3</v>
      </c>
      <c r="U1084" t="str">
        <f t="shared" si="233"/>
        <v>KIỆN 14</v>
      </c>
      <c r="V1084" t="str">
        <f t="shared" si="246"/>
        <v/>
      </c>
      <c r="W1084" s="266"/>
      <c r="X1084" s="266"/>
      <c r="Y1084" s="266" t="str">
        <f t="shared" si="238"/>
        <v/>
      </c>
      <c r="Z1084" s="266"/>
    </row>
    <row r="1085" spans="1:26" ht="27" hidden="1" customHeight="1">
      <c r="A1085" s="70" t="str">
        <f t="shared" si="234"/>
        <v/>
      </c>
      <c r="B1085" s="70" t="str">
        <f t="shared" si="235"/>
        <v/>
      </c>
      <c r="C1085" s="204" t="str" cm="1">
        <f t="array" ref="C1085">IF(D1085="","",
    IF(AND(ISNUMBER(D1085), D1085=INT(D1085)),
        $V$6 &amp; " " &amp; (IFERROR(MAX($Y$12:$Y1084), 0) + 1),
        IF(ISNUMBER(SEARCH(".", D1085)), "", INDEX($C$12:$C1085, MATCH(2, 1/($C$12:$C1085 &lt;&gt; ""))))
    )
)</f>
        <v/>
      </c>
      <c r="D1085" s="206"/>
      <c r="E1085" s="206" t="str">
        <f>IF(AA1085 = "", "",
    IF(ISNUMBER(SEARCH("Kiện", C1085)),
       " GÓI " &amp; COUNTIF($C$13:C1085, "*Kiện*") &amp; "/" &amp; COUNTIF($C$13:$C$1000, "*Kiện*") &amp; " " &amp; AA1085,
       AA1085)
)</f>
        <v/>
      </c>
      <c r="F1085" s="206"/>
      <c r="G1085" s="206"/>
      <c r="H1085" s="206"/>
      <c r="I1085" s="206"/>
      <c r="J1085" s="206" t="str">
        <f t="shared" si="237"/>
        <v/>
      </c>
      <c r="K1085" s="206" t="str">
        <f t="shared" si="239"/>
        <v/>
      </c>
      <c r="L1085" s="206" t="str">
        <f t="shared" si="240"/>
        <v/>
      </c>
      <c r="M1085" s="206" t="str">
        <f t="shared" si="241"/>
        <v/>
      </c>
      <c r="N1085" s="206" t="str">
        <f t="shared" si="242"/>
        <v/>
      </c>
      <c r="O1085" s="206" t="str">
        <f t="shared" si="243"/>
        <v/>
      </c>
      <c r="P1085" s="84" t="str">
        <f t="shared" si="244"/>
        <v/>
      </c>
      <c r="Q1085" s="205"/>
      <c r="R1085" s="70" t="str">
        <f>IF(S1085="IN",'BOM_Phan II'!$Y$3,"")</f>
        <v/>
      </c>
      <c r="S1085" s="69" t="str">
        <f t="shared" si="236"/>
        <v/>
      </c>
      <c r="T1085">
        <f t="shared" si="245"/>
        <v>3</v>
      </c>
      <c r="U1085" t="str">
        <f t="shared" si="233"/>
        <v>KIỆN 14</v>
      </c>
      <c r="V1085" t="str">
        <f t="shared" si="246"/>
        <v/>
      </c>
      <c r="W1085" s="266"/>
      <c r="X1085" s="266"/>
      <c r="Y1085" s="266" t="str">
        <f t="shared" si="238"/>
        <v/>
      </c>
      <c r="Z1085" s="266"/>
    </row>
    <row r="1086" spans="1:26" ht="27" hidden="1" customHeight="1">
      <c r="A1086" s="70" t="str">
        <f t="shared" si="234"/>
        <v/>
      </c>
      <c r="B1086" s="70" t="str">
        <f t="shared" si="235"/>
        <v/>
      </c>
      <c r="C1086" s="204" t="str" cm="1">
        <f t="array" ref="C1086">IF(D1086="","",
    IF(AND(ISNUMBER(D1086), D1086=INT(D1086)),
        $V$6 &amp; " " &amp; (IFERROR(MAX($Y$12:$Y1085), 0) + 1),
        IF(ISNUMBER(SEARCH(".", D1086)), "", INDEX($C$12:$C1086, MATCH(2, 1/($C$12:$C1086 &lt;&gt; ""))))
    )
)</f>
        <v/>
      </c>
      <c r="D1086" s="206"/>
      <c r="E1086" s="206" t="str">
        <f>IF(AA1086 = "", "",
    IF(ISNUMBER(SEARCH("Kiện", C1086)),
       " GÓI " &amp; COUNTIF($C$13:C1086, "*Kiện*") &amp; "/" &amp; COUNTIF($C$13:$C$1000, "*Kiện*") &amp; " " &amp; AA1086,
       AA1086)
)</f>
        <v/>
      </c>
      <c r="F1086" s="206"/>
      <c r="G1086" s="206"/>
      <c r="H1086" s="206"/>
      <c r="I1086" s="206"/>
      <c r="J1086" s="206" t="str">
        <f t="shared" si="237"/>
        <v/>
      </c>
      <c r="K1086" s="206" t="str">
        <f t="shared" si="239"/>
        <v/>
      </c>
      <c r="L1086" s="206" t="str">
        <f t="shared" si="240"/>
        <v/>
      </c>
      <c r="M1086" s="206" t="str">
        <f t="shared" si="241"/>
        <v/>
      </c>
      <c r="N1086" s="206" t="str">
        <f t="shared" si="242"/>
        <v/>
      </c>
      <c r="O1086" s="206" t="str">
        <f t="shared" si="243"/>
        <v/>
      </c>
      <c r="P1086" s="84" t="str">
        <f t="shared" si="244"/>
        <v/>
      </c>
      <c r="Q1086" s="205"/>
      <c r="R1086" s="70" t="str">
        <f>IF(S1086="IN",'BOM_Phan II'!$Y$3,"")</f>
        <v/>
      </c>
      <c r="S1086" s="69" t="str">
        <f t="shared" si="236"/>
        <v/>
      </c>
      <c r="T1086">
        <f t="shared" si="245"/>
        <v>3</v>
      </c>
      <c r="U1086" t="str">
        <f t="shared" si="233"/>
        <v>KIỆN 14</v>
      </c>
      <c r="V1086" t="str">
        <f t="shared" si="246"/>
        <v/>
      </c>
      <c r="W1086" s="266"/>
      <c r="X1086" s="266"/>
      <c r="Y1086" s="266" t="str">
        <f t="shared" si="238"/>
        <v/>
      </c>
      <c r="Z1086" s="266"/>
    </row>
    <row r="1087" spans="1:26" ht="27" hidden="1" customHeight="1">
      <c r="A1087" s="70" t="str">
        <f t="shared" si="234"/>
        <v/>
      </c>
      <c r="B1087" s="70" t="str">
        <f t="shared" si="235"/>
        <v/>
      </c>
      <c r="C1087" s="204" t="str" cm="1">
        <f t="array" ref="C1087">IF(D1087="","",
    IF(AND(ISNUMBER(D1087), D1087=INT(D1087)),
        $V$6 &amp; " " &amp; (IFERROR(MAX($Y$12:$Y1086), 0) + 1),
        IF(ISNUMBER(SEARCH(".", D1087)), "", INDEX($C$12:$C1087, MATCH(2, 1/($C$12:$C1087 &lt;&gt; ""))))
    )
)</f>
        <v/>
      </c>
      <c r="D1087" s="206"/>
      <c r="E1087" s="206" t="str">
        <f>IF(AA1087 = "", "",
    IF(ISNUMBER(SEARCH("Kiện", C1087)),
       " GÓI " &amp; COUNTIF($C$13:C1087, "*Kiện*") &amp; "/" &amp; COUNTIF($C$13:$C$1000, "*Kiện*") &amp; " " &amp; AA1087,
       AA1087)
)</f>
        <v/>
      </c>
      <c r="F1087" s="206"/>
      <c r="G1087" s="206"/>
      <c r="H1087" s="206"/>
      <c r="I1087" s="206"/>
      <c r="J1087" s="206" t="str">
        <f t="shared" si="237"/>
        <v/>
      </c>
      <c r="K1087" s="206" t="str">
        <f t="shared" si="239"/>
        <v/>
      </c>
      <c r="L1087" s="206" t="str">
        <f t="shared" si="240"/>
        <v/>
      </c>
      <c r="M1087" s="206" t="str">
        <f t="shared" si="241"/>
        <v/>
      </c>
      <c r="N1087" s="206" t="str">
        <f t="shared" si="242"/>
        <v/>
      </c>
      <c r="O1087" s="206" t="str">
        <f t="shared" si="243"/>
        <v/>
      </c>
      <c r="P1087" s="84" t="str">
        <f t="shared" si="244"/>
        <v/>
      </c>
      <c r="Q1087" s="205"/>
      <c r="R1087" s="70" t="str">
        <f>IF(S1087="IN",'BOM_Phan II'!$Y$3,"")</f>
        <v/>
      </c>
      <c r="S1087" s="69" t="str">
        <f t="shared" si="236"/>
        <v/>
      </c>
      <c r="T1087">
        <f t="shared" si="245"/>
        <v>3</v>
      </c>
      <c r="U1087" t="str">
        <f t="shared" si="233"/>
        <v>KIỆN 14</v>
      </c>
      <c r="V1087" t="str">
        <f t="shared" si="246"/>
        <v/>
      </c>
      <c r="W1087" s="266"/>
      <c r="X1087" s="266"/>
      <c r="Y1087" s="266" t="str">
        <f t="shared" si="238"/>
        <v/>
      </c>
      <c r="Z1087" s="266"/>
    </row>
    <row r="1088" spans="1:26" ht="27" hidden="1" customHeight="1">
      <c r="A1088" s="70" t="str">
        <f t="shared" si="234"/>
        <v/>
      </c>
      <c r="B1088" s="70" t="str">
        <f t="shared" si="235"/>
        <v/>
      </c>
      <c r="C1088" s="204" t="str" cm="1">
        <f t="array" ref="C1088">IF(D1088="","",
    IF(AND(ISNUMBER(D1088), D1088=INT(D1088)),
        $V$6 &amp; " " &amp; (IFERROR(MAX($Y$12:$Y1087), 0) + 1),
        IF(ISNUMBER(SEARCH(".", D1088)), "", INDEX($C$12:$C1088, MATCH(2, 1/($C$12:$C1088 &lt;&gt; ""))))
    )
)</f>
        <v/>
      </c>
      <c r="D1088" s="206"/>
      <c r="E1088" s="206" t="str">
        <f>IF(AA1088 = "", "",
    IF(ISNUMBER(SEARCH("Kiện", C1088)),
       " GÓI " &amp; COUNTIF($C$13:C1088, "*Kiện*") &amp; "/" &amp; COUNTIF($C$13:$C$1000, "*Kiện*") &amp; " " &amp; AA1088,
       AA1088)
)</f>
        <v/>
      </c>
      <c r="F1088" s="206"/>
      <c r="G1088" s="206"/>
      <c r="H1088" s="206"/>
      <c r="I1088" s="206"/>
      <c r="J1088" s="206" t="str">
        <f t="shared" si="237"/>
        <v/>
      </c>
      <c r="K1088" s="206" t="str">
        <f t="shared" si="239"/>
        <v/>
      </c>
      <c r="L1088" s="206" t="str">
        <f t="shared" si="240"/>
        <v/>
      </c>
      <c r="M1088" s="206" t="str">
        <f t="shared" si="241"/>
        <v/>
      </c>
      <c r="N1088" s="206" t="str">
        <f t="shared" si="242"/>
        <v/>
      </c>
      <c r="O1088" s="206" t="str">
        <f t="shared" si="243"/>
        <v/>
      </c>
      <c r="P1088" s="84" t="str">
        <f t="shared" si="244"/>
        <v/>
      </c>
      <c r="Q1088" s="205"/>
      <c r="R1088" s="70" t="str">
        <f>IF(S1088="IN",'BOM_Phan II'!$Y$3,"")</f>
        <v/>
      </c>
      <c r="S1088" s="69" t="str">
        <f t="shared" si="236"/>
        <v/>
      </c>
      <c r="T1088">
        <f t="shared" si="245"/>
        <v>3</v>
      </c>
      <c r="U1088" t="str">
        <f t="shared" si="233"/>
        <v>KIỆN 14</v>
      </c>
      <c r="V1088" t="str">
        <f t="shared" si="246"/>
        <v/>
      </c>
      <c r="W1088" s="266"/>
      <c r="X1088" s="266"/>
      <c r="Y1088" s="266" t="str">
        <f t="shared" si="238"/>
        <v/>
      </c>
      <c r="Z1088" s="266"/>
    </row>
    <row r="1089" spans="1:26" ht="27" hidden="1" customHeight="1">
      <c r="A1089" s="70" t="str">
        <f t="shared" si="234"/>
        <v/>
      </c>
      <c r="B1089" s="70" t="str">
        <f t="shared" si="235"/>
        <v/>
      </c>
      <c r="C1089" s="204" t="str" cm="1">
        <f t="array" ref="C1089">IF(D1089="","",
    IF(AND(ISNUMBER(D1089), D1089=INT(D1089)),
        $V$6 &amp; " " &amp; (IFERROR(MAX($Y$12:$Y1088), 0) + 1),
        IF(ISNUMBER(SEARCH(".", D1089)), "", INDEX($C$12:$C1089, MATCH(2, 1/($C$12:$C1089 &lt;&gt; ""))))
    )
)</f>
        <v/>
      </c>
      <c r="D1089" s="206"/>
      <c r="E1089" s="206" t="str">
        <f>IF(AA1089 = "", "",
    IF(ISNUMBER(SEARCH("Kiện", C1089)),
       " GÓI " &amp; COUNTIF($C$13:C1089, "*Kiện*") &amp; "/" &amp; COUNTIF($C$13:$C$1000, "*Kiện*") &amp; " " &amp; AA1089,
       AA1089)
)</f>
        <v/>
      </c>
      <c r="F1089" s="206"/>
      <c r="G1089" s="206"/>
      <c r="H1089" s="206"/>
      <c r="I1089" s="206"/>
      <c r="J1089" s="206" t="str">
        <f t="shared" si="237"/>
        <v/>
      </c>
      <c r="K1089" s="206" t="str">
        <f t="shared" si="239"/>
        <v/>
      </c>
      <c r="L1089" s="206" t="str">
        <f t="shared" si="240"/>
        <v/>
      </c>
      <c r="M1089" s="206" t="str">
        <f t="shared" si="241"/>
        <v/>
      </c>
      <c r="N1089" s="206" t="str">
        <f t="shared" si="242"/>
        <v/>
      </c>
      <c r="O1089" s="206" t="str">
        <f t="shared" si="243"/>
        <v/>
      </c>
      <c r="P1089" s="84" t="str">
        <f t="shared" si="244"/>
        <v/>
      </c>
      <c r="Q1089" s="205"/>
      <c r="R1089" s="70" t="str">
        <f>IF(S1089="IN",'BOM_Phan II'!$Y$3,"")</f>
        <v/>
      </c>
      <c r="S1089" s="69" t="str">
        <f t="shared" si="236"/>
        <v/>
      </c>
      <c r="T1089">
        <f t="shared" si="245"/>
        <v>3</v>
      </c>
      <c r="U1089" t="str">
        <f t="shared" si="233"/>
        <v>KIỆN 14</v>
      </c>
      <c r="V1089" t="str">
        <f t="shared" si="246"/>
        <v/>
      </c>
      <c r="W1089" s="266"/>
      <c r="X1089" s="266"/>
      <c r="Y1089" s="266" t="str">
        <f t="shared" si="238"/>
        <v/>
      </c>
      <c r="Z1089" s="266"/>
    </row>
    <row r="1090" spans="1:26" ht="27" hidden="1" customHeight="1">
      <c r="A1090" s="70" t="str">
        <f t="shared" si="234"/>
        <v/>
      </c>
      <c r="B1090" s="70" t="str">
        <f t="shared" si="235"/>
        <v/>
      </c>
      <c r="C1090" s="204" t="str" cm="1">
        <f t="array" ref="C1090">IF(D1090="","",
    IF(AND(ISNUMBER(D1090), D1090=INT(D1090)),
        $V$6 &amp; " " &amp; (IFERROR(MAX($Y$12:$Y1089), 0) + 1),
        IF(ISNUMBER(SEARCH(".", D1090)), "", INDEX($C$12:$C1090, MATCH(2, 1/($C$12:$C1090 &lt;&gt; ""))))
    )
)</f>
        <v/>
      </c>
      <c r="D1090" s="206"/>
      <c r="E1090" s="206" t="str">
        <f>IF(AA1090 = "", "",
    IF(ISNUMBER(SEARCH("Kiện", C1090)),
       " GÓI " &amp; COUNTIF($C$13:C1090, "*Kiện*") &amp; "/" &amp; COUNTIF($C$13:$C$1000, "*Kiện*") &amp; " " &amp; AA1090,
       AA1090)
)</f>
        <v/>
      </c>
      <c r="F1090" s="206"/>
      <c r="G1090" s="206"/>
      <c r="H1090" s="206"/>
      <c r="I1090" s="206"/>
      <c r="J1090" s="206" t="str">
        <f t="shared" si="237"/>
        <v/>
      </c>
      <c r="K1090" s="206" t="str">
        <f t="shared" si="239"/>
        <v/>
      </c>
      <c r="L1090" s="206" t="str">
        <f t="shared" si="240"/>
        <v/>
      </c>
      <c r="M1090" s="206" t="str">
        <f t="shared" si="241"/>
        <v/>
      </c>
      <c r="N1090" s="206" t="str">
        <f t="shared" si="242"/>
        <v/>
      </c>
      <c r="O1090" s="206" t="str">
        <f t="shared" si="243"/>
        <v/>
      </c>
      <c r="P1090" s="84" t="str">
        <f t="shared" si="244"/>
        <v/>
      </c>
      <c r="Q1090" s="205"/>
      <c r="R1090" s="70" t="str">
        <f>IF(S1090="IN",'BOM_Phan II'!$Y$3,"")</f>
        <v/>
      </c>
      <c r="S1090" s="69" t="str">
        <f t="shared" si="236"/>
        <v/>
      </c>
      <c r="T1090">
        <f t="shared" si="245"/>
        <v>3</v>
      </c>
      <c r="U1090" t="str">
        <f t="shared" si="233"/>
        <v>KIỆN 14</v>
      </c>
      <c r="V1090" t="str">
        <f t="shared" si="246"/>
        <v/>
      </c>
      <c r="W1090" s="266"/>
      <c r="X1090" s="266"/>
      <c r="Y1090" s="266" t="str">
        <f t="shared" si="238"/>
        <v/>
      </c>
      <c r="Z1090" s="266"/>
    </row>
    <row r="1091" spans="1:26" ht="27" hidden="1" customHeight="1">
      <c r="A1091" s="70" t="str">
        <f t="shared" si="234"/>
        <v/>
      </c>
      <c r="B1091" s="70" t="str">
        <f t="shared" si="235"/>
        <v/>
      </c>
      <c r="C1091" s="204" t="str" cm="1">
        <f t="array" ref="C1091">IF(D1091="","",
    IF(AND(ISNUMBER(D1091), D1091=INT(D1091)),
        $V$6 &amp; " " &amp; (IFERROR(MAX($Y$12:$Y1090), 0) + 1),
        IF(ISNUMBER(SEARCH(".", D1091)), "", INDEX($C$12:$C1091, MATCH(2, 1/($C$12:$C1091 &lt;&gt; ""))))
    )
)</f>
        <v/>
      </c>
      <c r="D1091" s="206"/>
      <c r="E1091" s="206" t="str">
        <f>IF(AA1091 = "", "",
    IF(ISNUMBER(SEARCH("Kiện", C1091)),
       " GÓI " &amp; COUNTIF($C$13:C1091, "*Kiện*") &amp; "/" &amp; COUNTIF($C$13:$C$1000, "*Kiện*") &amp; " " &amp; AA1091,
       AA1091)
)</f>
        <v/>
      </c>
      <c r="F1091" s="206"/>
      <c r="G1091" s="206"/>
      <c r="H1091" s="206"/>
      <c r="I1091" s="206"/>
      <c r="J1091" s="206" t="str">
        <f t="shared" si="237"/>
        <v/>
      </c>
      <c r="K1091" s="206" t="str">
        <f t="shared" si="239"/>
        <v/>
      </c>
      <c r="L1091" s="206" t="str">
        <f t="shared" si="240"/>
        <v/>
      </c>
      <c r="M1091" s="206" t="str">
        <f t="shared" si="241"/>
        <v/>
      </c>
      <c r="N1091" s="206" t="str">
        <f t="shared" si="242"/>
        <v/>
      </c>
      <c r="O1091" s="206" t="str">
        <f t="shared" si="243"/>
        <v/>
      </c>
      <c r="P1091" s="84" t="str">
        <f t="shared" si="244"/>
        <v/>
      </c>
      <c r="Q1091" s="205"/>
      <c r="R1091" s="70" t="str">
        <f>IF(S1091="IN",'BOM_Phan II'!$Y$3,"")</f>
        <v/>
      </c>
      <c r="S1091" s="69" t="str">
        <f t="shared" si="236"/>
        <v/>
      </c>
      <c r="T1091">
        <f t="shared" si="245"/>
        <v>3</v>
      </c>
      <c r="U1091" t="str">
        <f t="shared" ref="U1091:U1154" si="247">IF(C1091="",U1090,C1091)</f>
        <v>KIỆN 14</v>
      </c>
      <c r="V1091" t="str">
        <f t="shared" si="246"/>
        <v/>
      </c>
      <c r="W1091" s="266"/>
      <c r="X1091" s="266"/>
      <c r="Y1091" s="266" t="str">
        <f t="shared" si="238"/>
        <v/>
      </c>
      <c r="Z1091" s="266"/>
    </row>
    <row r="1092" spans="1:26" ht="27" hidden="1" customHeight="1">
      <c r="A1092" s="70" t="str">
        <f t="shared" si="234"/>
        <v/>
      </c>
      <c r="B1092" s="70" t="str">
        <f t="shared" si="235"/>
        <v/>
      </c>
      <c r="C1092" s="204" t="str" cm="1">
        <f t="array" ref="C1092">IF(D1092="","",
    IF(AND(ISNUMBER(D1092), D1092=INT(D1092)),
        $V$6 &amp; " " &amp; (IFERROR(MAX($Y$12:$Y1091), 0) + 1),
        IF(ISNUMBER(SEARCH(".", D1092)), "", INDEX($C$12:$C1092, MATCH(2, 1/($C$12:$C1092 &lt;&gt; ""))))
    )
)</f>
        <v/>
      </c>
      <c r="D1092" s="206"/>
      <c r="E1092" s="206" t="str">
        <f>IF(AA1092 = "", "",
    IF(ISNUMBER(SEARCH("Kiện", C1092)),
       " GÓI " &amp; COUNTIF($C$13:C1092, "*Kiện*") &amp; "/" &amp; COUNTIF($C$13:$C$1000, "*Kiện*") &amp; " " &amp; AA1092,
       AA1092)
)</f>
        <v/>
      </c>
      <c r="F1092" s="206"/>
      <c r="G1092" s="206"/>
      <c r="H1092" s="206"/>
      <c r="I1092" s="206"/>
      <c r="J1092" s="206" t="str">
        <f t="shared" si="237"/>
        <v/>
      </c>
      <c r="K1092" s="206" t="str">
        <f t="shared" si="239"/>
        <v/>
      </c>
      <c r="L1092" s="206" t="str">
        <f t="shared" si="240"/>
        <v/>
      </c>
      <c r="M1092" s="206" t="str">
        <f t="shared" si="241"/>
        <v/>
      </c>
      <c r="N1092" s="206" t="str">
        <f t="shared" si="242"/>
        <v/>
      </c>
      <c r="O1092" s="206" t="str">
        <f t="shared" si="243"/>
        <v/>
      </c>
      <c r="P1092" s="84" t="str">
        <f t="shared" si="244"/>
        <v/>
      </c>
      <c r="Q1092" s="205"/>
      <c r="R1092" s="70" t="str">
        <f>IF(S1092="IN",'BOM_Phan II'!$Y$3,"")</f>
        <v/>
      </c>
      <c r="S1092" s="69" t="str">
        <f t="shared" si="236"/>
        <v/>
      </c>
      <c r="T1092">
        <f t="shared" si="245"/>
        <v>3</v>
      </c>
      <c r="U1092" t="str">
        <f t="shared" si="247"/>
        <v>KIỆN 14</v>
      </c>
      <c r="V1092" t="str">
        <f t="shared" si="246"/>
        <v/>
      </c>
      <c r="W1092" s="266"/>
      <c r="X1092" s="266"/>
      <c r="Y1092" s="266" t="str">
        <f t="shared" si="238"/>
        <v/>
      </c>
      <c r="Z1092" s="266"/>
    </row>
    <row r="1093" spans="1:26" ht="27" hidden="1" customHeight="1">
      <c r="A1093" s="70" t="str">
        <f t="shared" si="234"/>
        <v/>
      </c>
      <c r="B1093" s="70" t="str">
        <f t="shared" si="235"/>
        <v/>
      </c>
      <c r="C1093" s="204" t="str" cm="1">
        <f t="array" ref="C1093">IF(D1093="","",
    IF(AND(ISNUMBER(D1093), D1093=INT(D1093)),
        $V$6 &amp; " " &amp; (IFERROR(MAX($Y$12:$Y1092), 0) + 1),
        IF(ISNUMBER(SEARCH(".", D1093)), "", INDEX($C$12:$C1093, MATCH(2, 1/($C$12:$C1093 &lt;&gt; ""))))
    )
)</f>
        <v/>
      </c>
      <c r="D1093" s="206"/>
      <c r="E1093" s="206" t="str">
        <f>IF(AA1093 = "", "",
    IF(ISNUMBER(SEARCH("Kiện", C1093)),
       " GÓI " &amp; COUNTIF($C$13:C1093, "*Kiện*") &amp; "/" &amp; COUNTIF($C$13:$C$1000, "*Kiện*") &amp; " " &amp; AA1093,
       AA1093)
)</f>
        <v/>
      </c>
      <c r="F1093" s="206"/>
      <c r="G1093" s="206"/>
      <c r="H1093" s="206"/>
      <c r="I1093" s="206"/>
      <c r="J1093" s="206" t="str">
        <f t="shared" si="237"/>
        <v/>
      </c>
      <c r="K1093" s="206" t="str">
        <f t="shared" si="239"/>
        <v/>
      </c>
      <c r="L1093" s="206" t="str">
        <f t="shared" si="240"/>
        <v/>
      </c>
      <c r="M1093" s="206" t="str">
        <f t="shared" si="241"/>
        <v/>
      </c>
      <c r="N1093" s="206" t="str">
        <f t="shared" si="242"/>
        <v/>
      </c>
      <c r="O1093" s="206" t="str">
        <f t="shared" si="243"/>
        <v/>
      </c>
      <c r="P1093" s="84" t="str">
        <f t="shared" si="244"/>
        <v/>
      </c>
      <c r="Q1093" s="205"/>
      <c r="R1093" s="70" t="str">
        <f>IF(S1093="IN",'BOM_Phan II'!$Y$3,"")</f>
        <v/>
      </c>
      <c r="S1093" s="69" t="str">
        <f t="shared" si="236"/>
        <v/>
      </c>
      <c r="T1093">
        <f t="shared" si="245"/>
        <v>3</v>
      </c>
      <c r="U1093" t="str">
        <f t="shared" si="247"/>
        <v>KIỆN 14</v>
      </c>
      <c r="V1093" t="str">
        <f t="shared" si="246"/>
        <v/>
      </c>
      <c r="W1093" s="266"/>
      <c r="X1093" s="266"/>
      <c r="Y1093" s="266" t="str">
        <f t="shared" si="238"/>
        <v/>
      </c>
      <c r="Z1093" s="266"/>
    </row>
    <row r="1094" spans="1:26" ht="27" hidden="1" customHeight="1">
      <c r="A1094" s="70" t="str">
        <f t="shared" si="234"/>
        <v/>
      </c>
      <c r="B1094" s="70" t="str">
        <f t="shared" si="235"/>
        <v/>
      </c>
      <c r="C1094" s="204" t="str" cm="1">
        <f t="array" ref="C1094">IF(D1094="","",
    IF(AND(ISNUMBER(D1094), D1094=INT(D1094)),
        $V$6 &amp; " " &amp; (IFERROR(MAX($Y$12:$Y1093), 0) + 1),
        IF(ISNUMBER(SEARCH(".", D1094)), "", INDEX($C$12:$C1094, MATCH(2, 1/($C$12:$C1094 &lt;&gt; ""))))
    )
)</f>
        <v/>
      </c>
      <c r="D1094" s="206"/>
      <c r="E1094" s="206" t="str">
        <f>IF(AA1094 = "", "",
    IF(ISNUMBER(SEARCH("Kiện", C1094)),
       " GÓI " &amp; COUNTIF($C$13:C1094, "*Kiện*") &amp; "/" &amp; COUNTIF($C$13:$C$1000, "*Kiện*") &amp; " " &amp; AA1094,
       AA1094)
)</f>
        <v/>
      </c>
      <c r="F1094" s="206"/>
      <c r="G1094" s="206"/>
      <c r="H1094" s="206"/>
      <c r="I1094" s="206"/>
      <c r="J1094" s="206" t="str">
        <f t="shared" si="237"/>
        <v/>
      </c>
      <c r="K1094" s="206" t="str">
        <f t="shared" si="239"/>
        <v/>
      </c>
      <c r="L1094" s="206" t="str">
        <f t="shared" si="240"/>
        <v/>
      </c>
      <c r="M1094" s="206" t="str">
        <f t="shared" si="241"/>
        <v/>
      </c>
      <c r="N1094" s="206" t="str">
        <f t="shared" si="242"/>
        <v/>
      </c>
      <c r="O1094" s="206" t="str">
        <f t="shared" si="243"/>
        <v/>
      </c>
      <c r="P1094" s="84" t="str">
        <f t="shared" si="244"/>
        <v/>
      </c>
      <c r="Q1094" s="205"/>
      <c r="R1094" s="70" t="str">
        <f>IF(S1094="IN",'BOM_Phan II'!$Y$3,"")</f>
        <v/>
      </c>
      <c r="S1094" s="69" t="str">
        <f t="shared" si="236"/>
        <v/>
      </c>
      <c r="T1094">
        <f t="shared" si="245"/>
        <v>3</v>
      </c>
      <c r="U1094" t="str">
        <f t="shared" si="247"/>
        <v>KIỆN 14</v>
      </c>
      <c r="V1094" t="str">
        <f t="shared" si="246"/>
        <v/>
      </c>
      <c r="W1094" s="266"/>
      <c r="X1094" s="266"/>
      <c r="Y1094" s="266" t="str">
        <f t="shared" si="238"/>
        <v/>
      </c>
      <c r="Z1094" s="266"/>
    </row>
    <row r="1095" spans="1:26" ht="27" hidden="1" customHeight="1">
      <c r="A1095" s="70" t="str">
        <f t="shared" si="234"/>
        <v/>
      </c>
      <c r="B1095" s="70" t="str">
        <f t="shared" si="235"/>
        <v/>
      </c>
      <c r="C1095" s="204" t="str" cm="1">
        <f t="array" ref="C1095">IF(D1095="","",
    IF(AND(ISNUMBER(D1095), D1095=INT(D1095)),
        $V$6 &amp; " " &amp; (IFERROR(MAX($Y$12:$Y1094), 0) + 1),
        IF(ISNUMBER(SEARCH(".", D1095)), "", INDEX($C$12:$C1095, MATCH(2, 1/($C$12:$C1095 &lt;&gt; ""))))
    )
)</f>
        <v/>
      </c>
      <c r="D1095" s="206"/>
      <c r="E1095" s="206" t="str">
        <f>IF(AA1095 = "", "",
    IF(ISNUMBER(SEARCH("Kiện", C1095)),
       " GÓI " &amp; COUNTIF($C$13:C1095, "*Kiện*") &amp; "/" &amp; COUNTIF($C$13:$C$1000, "*Kiện*") &amp; " " &amp; AA1095,
       AA1095)
)</f>
        <v/>
      </c>
      <c r="F1095" s="206"/>
      <c r="G1095" s="206"/>
      <c r="H1095" s="206"/>
      <c r="I1095" s="206"/>
      <c r="J1095" s="206" t="str">
        <f t="shared" si="237"/>
        <v/>
      </c>
      <c r="K1095" s="206" t="str">
        <f t="shared" si="239"/>
        <v/>
      </c>
      <c r="L1095" s="206" t="str">
        <f t="shared" si="240"/>
        <v/>
      </c>
      <c r="M1095" s="206" t="str">
        <f t="shared" si="241"/>
        <v/>
      </c>
      <c r="N1095" s="206" t="str">
        <f t="shared" si="242"/>
        <v/>
      </c>
      <c r="O1095" s="206" t="str">
        <f t="shared" si="243"/>
        <v/>
      </c>
      <c r="P1095" s="84" t="str">
        <f t="shared" si="244"/>
        <v/>
      </c>
      <c r="Q1095" s="205"/>
      <c r="R1095" s="70" t="str">
        <f>IF(S1095="IN",'BOM_Phan II'!$Y$3,"")</f>
        <v/>
      </c>
      <c r="S1095" s="69" t="str">
        <f t="shared" si="236"/>
        <v/>
      </c>
      <c r="T1095">
        <f t="shared" si="245"/>
        <v>3</v>
      </c>
      <c r="U1095" t="str">
        <f t="shared" si="247"/>
        <v>KIỆN 14</v>
      </c>
      <c r="V1095" t="str">
        <f t="shared" si="246"/>
        <v/>
      </c>
      <c r="W1095" s="266"/>
      <c r="X1095" s="266"/>
      <c r="Y1095" s="266" t="str">
        <f t="shared" si="238"/>
        <v/>
      </c>
      <c r="Z1095" s="266"/>
    </row>
    <row r="1096" spans="1:26" ht="27" hidden="1" customHeight="1">
      <c r="A1096" s="70" t="str">
        <f t="shared" si="234"/>
        <v/>
      </c>
      <c r="B1096" s="70" t="str">
        <f t="shared" si="235"/>
        <v/>
      </c>
      <c r="C1096" s="204" t="str" cm="1">
        <f t="array" ref="C1096">IF(D1096="","",
    IF(AND(ISNUMBER(D1096), D1096=INT(D1096)),
        $V$6 &amp; " " &amp; (IFERROR(MAX($Y$12:$Y1095), 0) + 1),
        IF(ISNUMBER(SEARCH(".", D1096)), "", INDEX($C$12:$C1096, MATCH(2, 1/($C$12:$C1096 &lt;&gt; ""))))
    )
)</f>
        <v/>
      </c>
      <c r="D1096" s="206"/>
      <c r="E1096" s="206" t="str">
        <f>IF(AA1096 = "", "",
    IF(ISNUMBER(SEARCH("Kiện", C1096)),
       " GÓI " &amp; COUNTIF($C$13:C1096, "*Kiện*") &amp; "/" &amp; COUNTIF($C$13:$C$1000, "*Kiện*") &amp; " " &amp; AA1096,
       AA1096)
)</f>
        <v/>
      </c>
      <c r="F1096" s="206"/>
      <c r="G1096" s="206"/>
      <c r="H1096" s="206"/>
      <c r="I1096" s="206"/>
      <c r="J1096" s="206" t="str">
        <f t="shared" si="237"/>
        <v/>
      </c>
      <c r="K1096" s="206" t="str">
        <f t="shared" si="239"/>
        <v/>
      </c>
      <c r="L1096" s="206" t="str">
        <f t="shared" si="240"/>
        <v/>
      </c>
      <c r="M1096" s="206" t="str">
        <f t="shared" si="241"/>
        <v/>
      </c>
      <c r="N1096" s="206" t="str">
        <f t="shared" si="242"/>
        <v/>
      </c>
      <c r="O1096" s="206" t="str">
        <f t="shared" si="243"/>
        <v/>
      </c>
      <c r="P1096" s="84" t="str">
        <f t="shared" si="244"/>
        <v/>
      </c>
      <c r="Q1096" s="205"/>
      <c r="R1096" s="70" t="str">
        <f>IF(S1096="IN",'BOM_Phan II'!$Y$3,"")</f>
        <v/>
      </c>
      <c r="S1096" s="69" t="str">
        <f t="shared" si="236"/>
        <v/>
      </c>
      <c r="T1096">
        <f t="shared" si="245"/>
        <v>3</v>
      </c>
      <c r="U1096" t="str">
        <f t="shared" si="247"/>
        <v>KIỆN 14</v>
      </c>
      <c r="V1096" t="str">
        <f t="shared" si="246"/>
        <v/>
      </c>
      <c r="W1096" s="266"/>
      <c r="X1096" s="266"/>
      <c r="Y1096" s="266" t="str">
        <f t="shared" si="238"/>
        <v/>
      </c>
      <c r="Z1096" s="266"/>
    </row>
    <row r="1097" spans="1:26" ht="27" hidden="1" customHeight="1">
      <c r="A1097" s="70" t="str">
        <f t="shared" si="234"/>
        <v/>
      </c>
      <c r="B1097" s="70" t="str">
        <f t="shared" si="235"/>
        <v/>
      </c>
      <c r="C1097" s="204" t="str" cm="1">
        <f t="array" ref="C1097">IF(D1097="","",
    IF(AND(ISNUMBER(D1097), D1097=INT(D1097)),
        $V$6 &amp; " " &amp; (IFERROR(MAX($Y$12:$Y1096), 0) + 1),
        IF(ISNUMBER(SEARCH(".", D1097)), "", INDEX($C$12:$C1097, MATCH(2, 1/($C$12:$C1097 &lt;&gt; ""))))
    )
)</f>
        <v/>
      </c>
      <c r="D1097" s="206"/>
      <c r="E1097" s="206" t="str">
        <f>IF(AA1097 = "", "",
    IF(ISNUMBER(SEARCH("Kiện", C1097)),
       " GÓI " &amp; COUNTIF($C$13:C1097, "*Kiện*") &amp; "/" &amp; COUNTIF($C$13:$C$1000, "*Kiện*") &amp; " " &amp; AA1097,
       AA1097)
)</f>
        <v/>
      </c>
      <c r="F1097" s="206"/>
      <c r="G1097" s="206"/>
      <c r="H1097" s="206"/>
      <c r="I1097" s="206"/>
      <c r="J1097" s="206" t="str">
        <f t="shared" si="237"/>
        <v/>
      </c>
      <c r="K1097" s="206" t="str">
        <f t="shared" si="239"/>
        <v/>
      </c>
      <c r="L1097" s="206" t="str">
        <f t="shared" si="240"/>
        <v/>
      </c>
      <c r="M1097" s="206" t="str">
        <f t="shared" si="241"/>
        <v/>
      </c>
      <c r="N1097" s="206" t="str">
        <f t="shared" si="242"/>
        <v/>
      </c>
      <c r="O1097" s="206" t="str">
        <f t="shared" si="243"/>
        <v/>
      </c>
      <c r="P1097" s="84" t="str">
        <f t="shared" si="244"/>
        <v/>
      </c>
      <c r="Q1097" s="205"/>
      <c r="R1097" s="70" t="str">
        <f>IF(S1097="IN",'BOM_Phan II'!$Y$3,"")</f>
        <v/>
      </c>
      <c r="S1097" s="69" t="str">
        <f t="shared" si="236"/>
        <v/>
      </c>
      <c r="T1097">
        <f t="shared" si="245"/>
        <v>3</v>
      </c>
      <c r="U1097" t="str">
        <f t="shared" si="247"/>
        <v>KIỆN 14</v>
      </c>
      <c r="V1097" t="str">
        <f t="shared" si="246"/>
        <v/>
      </c>
      <c r="W1097" s="266"/>
      <c r="X1097" s="266"/>
      <c r="Y1097" s="266" t="str">
        <f t="shared" si="238"/>
        <v/>
      </c>
      <c r="Z1097" s="266"/>
    </row>
    <row r="1098" spans="1:26" ht="27" hidden="1" customHeight="1">
      <c r="A1098" s="70" t="str">
        <f t="shared" si="234"/>
        <v/>
      </c>
      <c r="B1098" s="70" t="str">
        <f t="shared" si="235"/>
        <v/>
      </c>
      <c r="C1098" s="204" t="str" cm="1">
        <f t="array" ref="C1098">IF(D1098="","",
    IF(AND(ISNUMBER(D1098), D1098=INT(D1098)),
        $V$6 &amp; " " &amp; (IFERROR(MAX($Y$12:$Y1097), 0) + 1),
        IF(ISNUMBER(SEARCH(".", D1098)), "", INDEX($C$12:$C1098, MATCH(2, 1/($C$12:$C1098 &lt;&gt; ""))))
    )
)</f>
        <v/>
      </c>
      <c r="D1098" s="206"/>
      <c r="E1098" s="206" t="str">
        <f>IF(AA1098 = "", "",
    IF(ISNUMBER(SEARCH("Kiện", C1098)),
       " GÓI " &amp; COUNTIF($C$13:C1098, "*Kiện*") &amp; "/" &amp; COUNTIF($C$13:$C$1000, "*Kiện*") &amp; " " &amp; AA1098,
       AA1098)
)</f>
        <v/>
      </c>
      <c r="F1098" s="206"/>
      <c r="G1098" s="206"/>
      <c r="H1098" s="206"/>
      <c r="I1098" s="206"/>
      <c r="J1098" s="206" t="str">
        <f t="shared" si="237"/>
        <v/>
      </c>
      <c r="K1098" s="206" t="str">
        <f t="shared" si="239"/>
        <v/>
      </c>
      <c r="L1098" s="206" t="str">
        <f t="shared" si="240"/>
        <v/>
      </c>
      <c r="M1098" s="206" t="str">
        <f t="shared" si="241"/>
        <v/>
      </c>
      <c r="N1098" s="206" t="str">
        <f t="shared" si="242"/>
        <v/>
      </c>
      <c r="O1098" s="206" t="str">
        <f t="shared" si="243"/>
        <v/>
      </c>
      <c r="P1098" s="84" t="str">
        <f t="shared" si="244"/>
        <v/>
      </c>
      <c r="Q1098" s="205"/>
      <c r="R1098" s="70" t="str">
        <f>IF(S1098="IN",'BOM_Phan II'!$Y$3,"")</f>
        <v/>
      </c>
      <c r="S1098" s="69" t="str">
        <f t="shared" si="236"/>
        <v/>
      </c>
      <c r="T1098">
        <f t="shared" si="245"/>
        <v>3</v>
      </c>
      <c r="U1098" t="str">
        <f t="shared" si="247"/>
        <v>KIỆN 14</v>
      </c>
      <c r="V1098" t="str">
        <f t="shared" si="246"/>
        <v/>
      </c>
      <c r="W1098" s="266"/>
      <c r="X1098" s="266"/>
      <c r="Y1098" s="266" t="str">
        <f t="shared" si="238"/>
        <v/>
      </c>
      <c r="Z1098" s="266"/>
    </row>
    <row r="1099" spans="1:26" ht="27" hidden="1" customHeight="1">
      <c r="A1099" s="70" t="str">
        <f t="shared" si="234"/>
        <v/>
      </c>
      <c r="B1099" s="70" t="str">
        <f t="shared" si="235"/>
        <v/>
      </c>
      <c r="C1099" s="204" t="str" cm="1">
        <f t="array" ref="C1099">IF(D1099="","",
    IF(AND(ISNUMBER(D1099), D1099=INT(D1099)),
        $V$6 &amp; " " &amp; (IFERROR(MAX($Y$12:$Y1098), 0) + 1),
        IF(ISNUMBER(SEARCH(".", D1099)), "", INDEX($C$12:$C1099, MATCH(2, 1/($C$12:$C1099 &lt;&gt; ""))))
    )
)</f>
        <v/>
      </c>
      <c r="D1099" s="206"/>
      <c r="E1099" s="206" t="str">
        <f>IF(AA1099 = "", "",
    IF(ISNUMBER(SEARCH("Kiện", C1099)),
       " GÓI " &amp; COUNTIF($C$13:C1099, "*Kiện*") &amp; "/" &amp; COUNTIF($C$13:$C$1000, "*Kiện*") &amp; " " &amp; AA1099,
       AA1099)
)</f>
        <v/>
      </c>
      <c r="F1099" s="206"/>
      <c r="G1099" s="206"/>
      <c r="H1099" s="206"/>
      <c r="I1099" s="206"/>
      <c r="J1099" s="206" t="str">
        <f t="shared" si="237"/>
        <v/>
      </c>
      <c r="K1099" s="206" t="str">
        <f t="shared" si="239"/>
        <v/>
      </c>
      <c r="L1099" s="206" t="str">
        <f t="shared" si="240"/>
        <v/>
      </c>
      <c r="M1099" s="206" t="str">
        <f t="shared" si="241"/>
        <v/>
      </c>
      <c r="N1099" s="206" t="str">
        <f t="shared" si="242"/>
        <v/>
      </c>
      <c r="O1099" s="206" t="str">
        <f t="shared" si="243"/>
        <v/>
      </c>
      <c r="P1099" s="84" t="str">
        <f t="shared" si="244"/>
        <v/>
      </c>
      <c r="Q1099" s="205"/>
      <c r="R1099" s="70" t="str">
        <f>IF(S1099="IN",'BOM_Phan II'!$Y$3,"")</f>
        <v/>
      </c>
      <c r="S1099" s="69" t="str">
        <f t="shared" si="236"/>
        <v/>
      </c>
      <c r="T1099">
        <f t="shared" si="245"/>
        <v>3</v>
      </c>
      <c r="U1099" t="str">
        <f t="shared" si="247"/>
        <v>KIỆN 14</v>
      </c>
      <c r="V1099" t="str">
        <f t="shared" si="246"/>
        <v/>
      </c>
      <c r="W1099" s="266"/>
      <c r="X1099" s="266"/>
      <c r="Y1099" s="266" t="str">
        <f t="shared" si="238"/>
        <v/>
      </c>
      <c r="Z1099" s="266"/>
    </row>
    <row r="1100" spans="1:26" ht="27" hidden="1" customHeight="1">
      <c r="A1100" s="70" t="str">
        <f t="shared" ref="A1100:A1163" si="248">IF(S1100="IN",$E$6,"")</f>
        <v/>
      </c>
      <c r="B1100" s="70" t="str">
        <f t="shared" ref="B1100:B1163" si="249">IF(S1100="IN","Muc "&amp;$E$7,"")</f>
        <v/>
      </c>
      <c r="C1100" s="204" t="str" cm="1">
        <f t="array" ref="C1100">IF(D1100="","",
    IF(AND(ISNUMBER(D1100), D1100=INT(D1100)),
        $V$6 &amp; " " &amp; (IFERROR(MAX($Y$12:$Y1099), 0) + 1),
        IF(ISNUMBER(SEARCH(".", D1100)), "", INDEX($C$12:$C1100, MATCH(2, 1/($C$12:$C1100 &lt;&gt; ""))))
    )
)</f>
        <v/>
      </c>
      <c r="D1100" s="206"/>
      <c r="E1100" s="206" t="str">
        <f>IF(AA1100 = "", "",
    IF(ISNUMBER(SEARCH("Kiện", C1100)),
       " GÓI " &amp; COUNTIF($C$13:C1100, "*Kiện*") &amp; "/" &amp; COUNTIF($C$13:$C$1000, "*Kiện*") &amp; " " &amp; AA1100,
       AA1100)
)</f>
        <v/>
      </c>
      <c r="F1100" s="206"/>
      <c r="G1100" s="206"/>
      <c r="H1100" s="206"/>
      <c r="I1100" s="206"/>
      <c r="J1100" s="206" t="str">
        <f t="shared" si="237"/>
        <v/>
      </c>
      <c r="K1100" s="206" t="str">
        <f t="shared" si="239"/>
        <v/>
      </c>
      <c r="L1100" s="206" t="str">
        <f t="shared" si="240"/>
        <v/>
      </c>
      <c r="M1100" s="206" t="str">
        <f t="shared" si="241"/>
        <v/>
      </c>
      <c r="N1100" s="206" t="str">
        <f t="shared" si="242"/>
        <v/>
      </c>
      <c r="O1100" s="206" t="str">
        <f t="shared" si="243"/>
        <v/>
      </c>
      <c r="P1100" s="84" t="str">
        <f t="shared" si="244"/>
        <v/>
      </c>
      <c r="Q1100" s="205"/>
      <c r="R1100" s="70" t="str">
        <f>IF(S1100="IN",'BOM_Phan II'!$Y$3,"")</f>
        <v/>
      </c>
      <c r="S1100" s="69" t="str">
        <f t="shared" ref="S1100:S1163" si="250">IF(OR(E1100&lt;&gt;"",D1100&lt;&gt;""),"IN","")</f>
        <v/>
      </c>
      <c r="T1100">
        <f t="shared" si="245"/>
        <v>3</v>
      </c>
      <c r="U1100" t="str">
        <f t="shared" si="247"/>
        <v>KIỆN 14</v>
      </c>
      <c r="V1100" t="str">
        <f t="shared" si="246"/>
        <v/>
      </c>
      <c r="W1100" s="266"/>
      <c r="X1100" s="266"/>
      <c r="Y1100" s="266" t="str">
        <f t="shared" si="238"/>
        <v/>
      </c>
      <c r="Z1100" s="266"/>
    </row>
    <row r="1101" spans="1:26" ht="27" hidden="1" customHeight="1">
      <c r="A1101" s="70" t="str">
        <f t="shared" si="248"/>
        <v/>
      </c>
      <c r="B1101" s="70" t="str">
        <f t="shared" si="249"/>
        <v/>
      </c>
      <c r="C1101" s="204" t="str" cm="1">
        <f t="array" ref="C1101">IF(D1101="","",
    IF(AND(ISNUMBER(D1101), D1101=INT(D1101)),
        $V$6 &amp; " " &amp; (IFERROR(MAX($Y$12:$Y1100), 0) + 1),
        IF(ISNUMBER(SEARCH(".", D1101)), "", INDEX($C$12:$C1101, MATCH(2, 1/($C$12:$C1101 &lt;&gt; ""))))
    )
)</f>
        <v/>
      </c>
      <c r="D1101" s="206"/>
      <c r="E1101" s="206" t="str">
        <f>IF(AA1101 = "", "",
    IF(ISNUMBER(SEARCH("Kiện", C1101)),
       " GÓI " &amp; COUNTIF($C$13:C1101, "*Kiện*") &amp; "/" &amp; COUNTIF($C$13:$C$1000, "*Kiện*") &amp; " " &amp; AA1101,
       AA1101)
)</f>
        <v/>
      </c>
      <c r="F1101" s="206"/>
      <c r="G1101" s="206"/>
      <c r="H1101" s="206"/>
      <c r="I1101" s="206"/>
      <c r="J1101" s="206" t="str">
        <f t="shared" ref="J1101:J1164" si="251">IF(C1101&lt;&gt;"",C1101&amp;"_"&amp;$E$6,"")</f>
        <v/>
      </c>
      <c r="K1101" s="206" t="str">
        <f t="shared" si="239"/>
        <v/>
      </c>
      <c r="L1101" s="206" t="str">
        <f t="shared" si="240"/>
        <v/>
      </c>
      <c r="M1101" s="206" t="str">
        <f t="shared" si="241"/>
        <v/>
      </c>
      <c r="N1101" s="206" t="str">
        <f t="shared" si="242"/>
        <v/>
      </c>
      <c r="O1101" s="206" t="str">
        <f t="shared" si="243"/>
        <v/>
      </c>
      <c r="P1101" s="84" t="str">
        <f t="shared" si="244"/>
        <v/>
      </c>
      <c r="Q1101" s="205"/>
      <c r="R1101" s="70" t="str">
        <f>IF(S1101="IN",'BOM_Phan II'!$Y$3,"")</f>
        <v/>
      </c>
      <c r="S1101" s="69" t="str">
        <f t="shared" si="250"/>
        <v/>
      </c>
      <c r="T1101">
        <f t="shared" si="245"/>
        <v>3</v>
      </c>
      <c r="U1101" t="str">
        <f t="shared" si="247"/>
        <v>KIỆN 14</v>
      </c>
      <c r="V1101" t="str">
        <f t="shared" si="246"/>
        <v/>
      </c>
      <c r="W1101" s="266"/>
      <c r="X1101" s="266"/>
      <c r="Y1101" s="266" t="str">
        <f t="shared" ref="Y1101:Y1164" si="252">IFERROR(VALUE(RIGHT(C1101,LEN(C1101)-5)),"")</f>
        <v/>
      </c>
      <c r="Z1101" s="266"/>
    </row>
    <row r="1102" spans="1:26" ht="27" hidden="1" customHeight="1">
      <c r="A1102" s="70" t="str">
        <f t="shared" si="248"/>
        <v/>
      </c>
      <c r="B1102" s="70" t="str">
        <f t="shared" si="249"/>
        <v/>
      </c>
      <c r="C1102" s="204" t="str" cm="1">
        <f t="array" ref="C1102">IF(D1102="","",
    IF(AND(ISNUMBER(D1102), D1102=INT(D1102)),
        $V$6 &amp; " " &amp; (IFERROR(MAX($Y$12:$Y1101), 0) + 1),
        IF(ISNUMBER(SEARCH(".", D1102)), "", INDEX($C$12:$C1102, MATCH(2, 1/($C$12:$C1102 &lt;&gt; ""))))
    )
)</f>
        <v/>
      </c>
      <c r="D1102" s="206"/>
      <c r="E1102" s="206" t="str">
        <f>IF(AA1102 = "", "",
    IF(ISNUMBER(SEARCH("Kiện", C1102)),
       " GÓI " &amp; COUNTIF($C$13:C1102, "*Kiện*") &amp; "/" &amp; COUNTIF($C$13:$C$1000, "*Kiện*") &amp; " " &amp; AA1102,
       AA1102)
)</f>
        <v/>
      </c>
      <c r="F1102" s="206"/>
      <c r="G1102" s="206"/>
      <c r="H1102" s="206"/>
      <c r="I1102" s="206"/>
      <c r="J1102" s="206" t="str">
        <f t="shared" si="251"/>
        <v/>
      </c>
      <c r="K1102" s="206" t="str">
        <f t="shared" ref="K1102:K1165" si="253">IFERROR(IF($C1102&lt;&gt;"",IF($T$13=1,F1102+20,IF($T$13=2,F1102+20,IF($T$13=3,F1102+50,IF($T$13=4,F1102+40,IF($T$13=5,F1102+50,IF($T$13=51,F1102+50,IF($T$13=6,F1102+50,IF($T$13=7,F1102+50,"")))))))),""),"")</f>
        <v/>
      </c>
      <c r="L1102" s="206" t="str">
        <f t="shared" ref="L1102:L1165" si="254">IFERROR(IF($C1102&lt;&gt;"",IF($T$13=1,G1102+20,IF($T$13=2,G1102+20,IF($T$13=3,G1102+50,IF($T$13=4,G1102+40,IF($T$13=5,G1102+50,IF($T$13=51,G1102+50,IF($T$13=6,G1102+50,IF($T$13=7,G1102+50,"")))))))),""),"")</f>
        <v/>
      </c>
      <c r="M1102" s="206" t="str">
        <f t="shared" ref="M1102:M1165" si="255">IFERROR(IF($C1102&lt;&gt;"",IF($T$13=1,H1102+20,IF($T$13=2,H1102+20,IF($T$13=3,H1102+70,IF($T$13=4,H1102+40,IF($T$13=5,H1102+50,IF($T$13=51,H1102+150,IF($T$13=6,H1102+50,IF($T$13=7,H1102+50,"")))))))),""),"")</f>
        <v/>
      </c>
      <c r="N1102" s="206" t="str">
        <f t="shared" ref="N1102:N1165" si="256">IF(C1102&lt;&gt;"",I1102,"")</f>
        <v/>
      </c>
      <c r="O1102" s="206" t="str">
        <f t="shared" ref="O1102:O1165" si="257">IF(C1102&lt;&gt;"",$O$13,"")</f>
        <v/>
      </c>
      <c r="P1102" s="84" t="str">
        <f t="shared" ref="P1102:P1165" si="258">IFERROR(IF(C1102&lt;&gt;"",SUMIFS($V$13:$V$969,$U$13:$U$969,C1102)*$S$6,V1102*$S$6),"")</f>
        <v/>
      </c>
      <c r="Q1102" s="205"/>
      <c r="R1102" s="70" t="str">
        <f>IF(S1102="IN",'BOM_Phan II'!$Y$3,"")</f>
        <v/>
      </c>
      <c r="S1102" s="69" t="str">
        <f t="shared" si="250"/>
        <v/>
      </c>
      <c r="T1102">
        <f t="shared" ref="T1102:T1165" si="259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3</v>
      </c>
      <c r="U1102" t="str">
        <f t="shared" si="247"/>
        <v>KIỆN 14</v>
      </c>
      <c r="V1102" t="str">
        <f t="shared" ref="V1102:V1165" si="260">IFERROR(IF(AND(C1102="", OR($W1102="1", $W1102="2")), IF(I1102="", "", F1102*G1102*H1102*I1102/10^9), ""), "")</f>
        <v/>
      </c>
      <c r="W1102" s="266"/>
      <c r="X1102" s="266"/>
      <c r="Y1102" s="266" t="str">
        <f t="shared" si="252"/>
        <v/>
      </c>
      <c r="Z1102" s="266"/>
    </row>
    <row r="1103" spans="1:26" ht="27" hidden="1" customHeight="1">
      <c r="A1103" s="70" t="str">
        <f t="shared" si="248"/>
        <v/>
      </c>
      <c r="B1103" s="70" t="str">
        <f t="shared" si="249"/>
        <v/>
      </c>
      <c r="C1103" s="204" t="str" cm="1">
        <f t="array" ref="C1103">IF(D1103="","",
    IF(AND(ISNUMBER(D1103), D1103=INT(D1103)),
        $V$6 &amp; " " &amp; (IFERROR(MAX($Y$12:$Y1102), 0) + 1),
        IF(ISNUMBER(SEARCH(".", D1103)), "", INDEX($C$12:$C1103, MATCH(2, 1/($C$12:$C1103 &lt;&gt; ""))))
    )
)</f>
        <v/>
      </c>
      <c r="D1103" s="206"/>
      <c r="E1103" s="206" t="str">
        <f>IF(AA1103 = "", "",
    IF(ISNUMBER(SEARCH("Kiện", C1103)),
       " GÓI " &amp; COUNTIF($C$13:C1103, "*Kiện*") &amp; "/" &amp; COUNTIF($C$13:$C$1000, "*Kiện*") &amp; " " &amp; AA1103,
       AA1103)
)</f>
        <v/>
      </c>
      <c r="F1103" s="206"/>
      <c r="G1103" s="206"/>
      <c r="H1103" s="206"/>
      <c r="I1103" s="206"/>
      <c r="J1103" s="206" t="str">
        <f t="shared" si="251"/>
        <v/>
      </c>
      <c r="K1103" s="206" t="str">
        <f t="shared" si="253"/>
        <v/>
      </c>
      <c r="L1103" s="206" t="str">
        <f t="shared" si="254"/>
        <v/>
      </c>
      <c r="M1103" s="206" t="str">
        <f t="shared" si="255"/>
        <v/>
      </c>
      <c r="N1103" s="206" t="str">
        <f t="shared" si="256"/>
        <v/>
      </c>
      <c r="O1103" s="206" t="str">
        <f t="shared" si="257"/>
        <v/>
      </c>
      <c r="P1103" s="84" t="str">
        <f t="shared" si="258"/>
        <v/>
      </c>
      <c r="Q1103" s="205"/>
      <c r="R1103" s="70" t="str">
        <f>IF(S1103="IN",'BOM_Phan II'!$Y$3,"")</f>
        <v/>
      </c>
      <c r="S1103" s="69" t="str">
        <f t="shared" si="250"/>
        <v/>
      </c>
      <c r="T1103">
        <f t="shared" si="259"/>
        <v>3</v>
      </c>
      <c r="U1103" t="str">
        <f t="shared" si="247"/>
        <v>KIỆN 14</v>
      </c>
      <c r="V1103" t="str">
        <f t="shared" si="260"/>
        <v/>
      </c>
      <c r="W1103" s="266"/>
      <c r="X1103" s="266"/>
      <c r="Y1103" s="266" t="str">
        <f t="shared" si="252"/>
        <v/>
      </c>
      <c r="Z1103" s="266"/>
    </row>
    <row r="1104" spans="1:26" ht="27" hidden="1" customHeight="1">
      <c r="A1104" s="70" t="str">
        <f t="shared" si="248"/>
        <v/>
      </c>
      <c r="B1104" s="70" t="str">
        <f t="shared" si="249"/>
        <v/>
      </c>
      <c r="C1104" s="204" t="str" cm="1">
        <f t="array" ref="C1104">IF(D1104="","",
    IF(AND(ISNUMBER(D1104), D1104=INT(D1104)),
        $V$6 &amp; " " &amp; (IFERROR(MAX($Y$12:$Y1103), 0) + 1),
        IF(ISNUMBER(SEARCH(".", D1104)), "", INDEX($C$12:$C1104, MATCH(2, 1/($C$12:$C1104 &lt;&gt; ""))))
    )
)</f>
        <v/>
      </c>
      <c r="D1104" s="206"/>
      <c r="E1104" s="206" t="str">
        <f>IF(AA1104 = "", "",
    IF(ISNUMBER(SEARCH("Kiện", C1104)),
       " GÓI " &amp; COUNTIF($C$13:C1104, "*Kiện*") &amp; "/" &amp; COUNTIF($C$13:$C$1000, "*Kiện*") &amp; " " &amp; AA1104,
       AA1104)
)</f>
        <v/>
      </c>
      <c r="F1104" s="206"/>
      <c r="G1104" s="206"/>
      <c r="H1104" s="206"/>
      <c r="I1104" s="206"/>
      <c r="J1104" s="206" t="str">
        <f t="shared" si="251"/>
        <v/>
      </c>
      <c r="K1104" s="206" t="str">
        <f t="shared" si="253"/>
        <v/>
      </c>
      <c r="L1104" s="206" t="str">
        <f t="shared" si="254"/>
        <v/>
      </c>
      <c r="M1104" s="206" t="str">
        <f t="shared" si="255"/>
        <v/>
      </c>
      <c r="N1104" s="206" t="str">
        <f t="shared" si="256"/>
        <v/>
      </c>
      <c r="O1104" s="206" t="str">
        <f t="shared" si="257"/>
        <v/>
      </c>
      <c r="P1104" s="84" t="str">
        <f t="shared" si="258"/>
        <v/>
      </c>
      <c r="Q1104" s="205"/>
      <c r="R1104" s="70" t="str">
        <f>IF(S1104="IN",'BOM_Phan II'!$Y$3,"")</f>
        <v/>
      </c>
      <c r="S1104" s="69" t="str">
        <f t="shared" si="250"/>
        <v/>
      </c>
      <c r="T1104">
        <f t="shared" si="259"/>
        <v>3</v>
      </c>
      <c r="U1104" t="str">
        <f t="shared" si="247"/>
        <v>KIỆN 14</v>
      </c>
      <c r="V1104" t="str">
        <f t="shared" si="260"/>
        <v/>
      </c>
      <c r="W1104" s="266"/>
      <c r="X1104" s="266"/>
      <c r="Y1104" s="266" t="str">
        <f t="shared" si="252"/>
        <v/>
      </c>
      <c r="Z1104" s="266"/>
    </row>
    <row r="1105" spans="1:26" ht="27" hidden="1" customHeight="1">
      <c r="A1105" s="70" t="str">
        <f t="shared" si="248"/>
        <v/>
      </c>
      <c r="B1105" s="70" t="str">
        <f t="shared" si="249"/>
        <v/>
      </c>
      <c r="C1105" s="204" t="str" cm="1">
        <f t="array" ref="C1105">IF(D1105="","",
    IF(AND(ISNUMBER(D1105), D1105=INT(D1105)),
        $V$6 &amp; " " &amp; (IFERROR(MAX($Y$12:$Y1104), 0) + 1),
        IF(ISNUMBER(SEARCH(".", D1105)), "", INDEX($C$12:$C1105, MATCH(2, 1/($C$12:$C1105 &lt;&gt; ""))))
    )
)</f>
        <v/>
      </c>
      <c r="D1105" s="206"/>
      <c r="E1105" s="206" t="str">
        <f>IF(AA1105 = "", "",
    IF(ISNUMBER(SEARCH("Kiện", C1105)),
       " GÓI " &amp; COUNTIF($C$13:C1105, "*Kiện*") &amp; "/" &amp; COUNTIF($C$13:$C$1000, "*Kiện*") &amp; " " &amp; AA1105,
       AA1105)
)</f>
        <v/>
      </c>
      <c r="F1105" s="206"/>
      <c r="G1105" s="206"/>
      <c r="H1105" s="206"/>
      <c r="I1105" s="206"/>
      <c r="J1105" s="206" t="str">
        <f t="shared" si="251"/>
        <v/>
      </c>
      <c r="K1105" s="206" t="str">
        <f t="shared" si="253"/>
        <v/>
      </c>
      <c r="L1105" s="206" t="str">
        <f t="shared" si="254"/>
        <v/>
      </c>
      <c r="M1105" s="206" t="str">
        <f t="shared" si="255"/>
        <v/>
      </c>
      <c r="N1105" s="206" t="str">
        <f t="shared" si="256"/>
        <v/>
      </c>
      <c r="O1105" s="206" t="str">
        <f t="shared" si="257"/>
        <v/>
      </c>
      <c r="P1105" s="84" t="str">
        <f t="shared" si="258"/>
        <v/>
      </c>
      <c r="Q1105" s="205"/>
      <c r="R1105" s="70" t="str">
        <f>IF(S1105="IN",'BOM_Phan II'!$Y$3,"")</f>
        <v/>
      </c>
      <c r="S1105" s="69" t="str">
        <f t="shared" si="250"/>
        <v/>
      </c>
      <c r="T1105">
        <f t="shared" si="259"/>
        <v>3</v>
      </c>
      <c r="U1105" t="str">
        <f t="shared" si="247"/>
        <v>KIỆN 14</v>
      </c>
      <c r="V1105" t="str">
        <f t="shared" si="260"/>
        <v/>
      </c>
      <c r="W1105" s="266"/>
      <c r="X1105" s="266"/>
      <c r="Y1105" s="266" t="str">
        <f t="shared" si="252"/>
        <v/>
      </c>
      <c r="Z1105" s="266"/>
    </row>
    <row r="1106" spans="1:26" ht="27" hidden="1" customHeight="1">
      <c r="A1106" s="70" t="str">
        <f t="shared" si="248"/>
        <v/>
      </c>
      <c r="B1106" s="70" t="str">
        <f t="shared" si="249"/>
        <v/>
      </c>
      <c r="C1106" s="204" t="str" cm="1">
        <f t="array" ref="C1106">IF(D1106="","",
    IF(AND(ISNUMBER(D1106), D1106=INT(D1106)),
        $V$6 &amp; " " &amp; (IFERROR(MAX($Y$12:$Y1105), 0) + 1),
        IF(ISNUMBER(SEARCH(".", D1106)), "", INDEX($C$12:$C1106, MATCH(2, 1/($C$12:$C1106 &lt;&gt; ""))))
    )
)</f>
        <v/>
      </c>
      <c r="D1106" s="206"/>
      <c r="E1106" s="206" t="str">
        <f>IF(AA1106 = "", "",
    IF(ISNUMBER(SEARCH("Kiện", C1106)),
       " GÓI " &amp; COUNTIF($C$13:C1106, "*Kiện*") &amp; "/" &amp; COUNTIF($C$13:$C$1000, "*Kiện*") &amp; " " &amp; AA1106,
       AA1106)
)</f>
        <v/>
      </c>
      <c r="F1106" s="206"/>
      <c r="G1106" s="206"/>
      <c r="H1106" s="206"/>
      <c r="I1106" s="206"/>
      <c r="J1106" s="206" t="str">
        <f t="shared" si="251"/>
        <v/>
      </c>
      <c r="K1106" s="206" t="str">
        <f t="shared" si="253"/>
        <v/>
      </c>
      <c r="L1106" s="206" t="str">
        <f t="shared" si="254"/>
        <v/>
      </c>
      <c r="M1106" s="206" t="str">
        <f t="shared" si="255"/>
        <v/>
      </c>
      <c r="N1106" s="206" t="str">
        <f t="shared" si="256"/>
        <v/>
      </c>
      <c r="O1106" s="206" t="str">
        <f t="shared" si="257"/>
        <v/>
      </c>
      <c r="P1106" s="84" t="str">
        <f t="shared" si="258"/>
        <v/>
      </c>
      <c r="Q1106" s="205"/>
      <c r="R1106" s="70" t="str">
        <f>IF(S1106="IN",'BOM_Phan II'!$Y$3,"")</f>
        <v/>
      </c>
      <c r="S1106" s="69" t="str">
        <f t="shared" si="250"/>
        <v/>
      </c>
      <c r="T1106">
        <f t="shared" si="259"/>
        <v>3</v>
      </c>
      <c r="U1106" t="str">
        <f t="shared" si="247"/>
        <v>KIỆN 14</v>
      </c>
      <c r="V1106" t="str">
        <f t="shared" si="260"/>
        <v/>
      </c>
      <c r="W1106" s="266"/>
      <c r="X1106" s="266"/>
      <c r="Y1106" s="266" t="str">
        <f t="shared" si="252"/>
        <v/>
      </c>
      <c r="Z1106" s="266"/>
    </row>
    <row r="1107" spans="1:26" ht="27" hidden="1" customHeight="1">
      <c r="A1107" s="70" t="str">
        <f t="shared" si="248"/>
        <v/>
      </c>
      <c r="B1107" s="70" t="str">
        <f t="shared" si="249"/>
        <v/>
      </c>
      <c r="C1107" s="204" t="str" cm="1">
        <f t="array" ref="C1107">IF(D1107="","",
    IF(AND(ISNUMBER(D1107), D1107=INT(D1107)),
        $V$6 &amp; " " &amp; (IFERROR(MAX($Y$12:$Y1106), 0) + 1),
        IF(ISNUMBER(SEARCH(".", D1107)), "", INDEX($C$12:$C1107, MATCH(2, 1/($C$12:$C1107 &lt;&gt; ""))))
    )
)</f>
        <v/>
      </c>
      <c r="D1107" s="206"/>
      <c r="E1107" s="206" t="str">
        <f>IF(AA1107 = "", "",
    IF(ISNUMBER(SEARCH("Kiện", C1107)),
       " GÓI " &amp; COUNTIF($C$13:C1107, "*Kiện*") &amp; "/" &amp; COUNTIF($C$13:$C$1000, "*Kiện*") &amp; " " &amp; AA1107,
       AA1107)
)</f>
        <v/>
      </c>
      <c r="F1107" s="206"/>
      <c r="G1107" s="206"/>
      <c r="H1107" s="206"/>
      <c r="I1107" s="206"/>
      <c r="J1107" s="206" t="str">
        <f t="shared" si="251"/>
        <v/>
      </c>
      <c r="K1107" s="206" t="str">
        <f t="shared" si="253"/>
        <v/>
      </c>
      <c r="L1107" s="206" t="str">
        <f t="shared" si="254"/>
        <v/>
      </c>
      <c r="M1107" s="206" t="str">
        <f t="shared" si="255"/>
        <v/>
      </c>
      <c r="N1107" s="206" t="str">
        <f t="shared" si="256"/>
        <v/>
      </c>
      <c r="O1107" s="206" t="str">
        <f t="shared" si="257"/>
        <v/>
      </c>
      <c r="P1107" s="84" t="str">
        <f t="shared" si="258"/>
        <v/>
      </c>
      <c r="Q1107" s="205"/>
      <c r="R1107" s="70" t="str">
        <f>IF(S1107="IN",'BOM_Phan II'!$Y$3,"")</f>
        <v/>
      </c>
      <c r="S1107" s="69" t="str">
        <f t="shared" si="250"/>
        <v/>
      </c>
      <c r="T1107">
        <f t="shared" si="259"/>
        <v>3</v>
      </c>
      <c r="U1107" t="str">
        <f t="shared" si="247"/>
        <v>KIỆN 14</v>
      </c>
      <c r="V1107" t="str">
        <f t="shared" si="260"/>
        <v/>
      </c>
      <c r="W1107" s="266"/>
      <c r="X1107" s="266"/>
      <c r="Y1107" s="266" t="str">
        <f t="shared" si="252"/>
        <v/>
      </c>
      <c r="Z1107" s="266"/>
    </row>
    <row r="1108" spans="1:26" ht="27" hidden="1" customHeight="1">
      <c r="A1108" s="70" t="str">
        <f t="shared" si="248"/>
        <v/>
      </c>
      <c r="B1108" s="70" t="str">
        <f t="shared" si="249"/>
        <v/>
      </c>
      <c r="C1108" s="204" t="str" cm="1">
        <f t="array" ref="C1108">IF(D1108="","",
    IF(AND(ISNUMBER(D1108), D1108=INT(D1108)),
        $V$6 &amp; " " &amp; (IFERROR(MAX($Y$12:$Y1107), 0) + 1),
        IF(ISNUMBER(SEARCH(".", D1108)), "", INDEX($C$12:$C1108, MATCH(2, 1/($C$12:$C1108 &lt;&gt; ""))))
    )
)</f>
        <v/>
      </c>
      <c r="D1108" s="206"/>
      <c r="E1108" s="206" t="str">
        <f>IF(AA1108 = "", "",
    IF(ISNUMBER(SEARCH("Kiện", C1108)),
       " GÓI " &amp; COUNTIF($C$13:C1108, "*Kiện*") &amp; "/" &amp; COUNTIF($C$13:$C$1000, "*Kiện*") &amp; " " &amp; AA1108,
       AA1108)
)</f>
        <v/>
      </c>
      <c r="F1108" s="206"/>
      <c r="G1108" s="206"/>
      <c r="H1108" s="206"/>
      <c r="I1108" s="206"/>
      <c r="J1108" s="206" t="str">
        <f t="shared" si="251"/>
        <v/>
      </c>
      <c r="K1108" s="206" t="str">
        <f t="shared" si="253"/>
        <v/>
      </c>
      <c r="L1108" s="206" t="str">
        <f t="shared" si="254"/>
        <v/>
      </c>
      <c r="M1108" s="206" t="str">
        <f t="shared" si="255"/>
        <v/>
      </c>
      <c r="N1108" s="206" t="str">
        <f t="shared" si="256"/>
        <v/>
      </c>
      <c r="O1108" s="206" t="str">
        <f t="shared" si="257"/>
        <v/>
      </c>
      <c r="P1108" s="84" t="str">
        <f t="shared" si="258"/>
        <v/>
      </c>
      <c r="Q1108" s="205"/>
      <c r="R1108" s="70" t="str">
        <f>IF(S1108="IN",'BOM_Phan II'!$Y$3,"")</f>
        <v/>
      </c>
      <c r="S1108" s="69" t="str">
        <f t="shared" si="250"/>
        <v/>
      </c>
      <c r="T1108">
        <f t="shared" si="259"/>
        <v>3</v>
      </c>
      <c r="U1108" t="str">
        <f t="shared" si="247"/>
        <v>KIỆN 14</v>
      </c>
      <c r="V1108" t="str">
        <f t="shared" si="260"/>
        <v/>
      </c>
      <c r="W1108" s="266"/>
      <c r="X1108" s="266"/>
      <c r="Y1108" s="266" t="str">
        <f t="shared" si="252"/>
        <v/>
      </c>
      <c r="Z1108" s="266"/>
    </row>
    <row r="1109" spans="1:26" ht="27" hidden="1" customHeight="1">
      <c r="A1109" s="70" t="str">
        <f t="shared" si="248"/>
        <v/>
      </c>
      <c r="B1109" s="70" t="str">
        <f t="shared" si="249"/>
        <v/>
      </c>
      <c r="C1109" s="204" t="str" cm="1">
        <f t="array" ref="C1109">IF(D1109="","",
    IF(AND(ISNUMBER(D1109), D1109=INT(D1109)),
        $V$6 &amp; " " &amp; (IFERROR(MAX($Y$12:$Y1108), 0) + 1),
        IF(ISNUMBER(SEARCH(".", D1109)), "", INDEX($C$12:$C1109, MATCH(2, 1/($C$12:$C1109 &lt;&gt; ""))))
    )
)</f>
        <v/>
      </c>
      <c r="D1109" s="206"/>
      <c r="E1109" s="206" t="str">
        <f>IF(AA1109 = "", "",
    IF(ISNUMBER(SEARCH("Kiện", C1109)),
       " GÓI " &amp; COUNTIF($C$13:C1109, "*Kiện*") &amp; "/" &amp; COUNTIF($C$13:$C$1000, "*Kiện*") &amp; " " &amp; AA1109,
       AA1109)
)</f>
        <v/>
      </c>
      <c r="F1109" s="206"/>
      <c r="G1109" s="206"/>
      <c r="H1109" s="206"/>
      <c r="I1109" s="206"/>
      <c r="J1109" s="206" t="str">
        <f t="shared" si="251"/>
        <v/>
      </c>
      <c r="K1109" s="206" t="str">
        <f t="shared" si="253"/>
        <v/>
      </c>
      <c r="L1109" s="206" t="str">
        <f t="shared" si="254"/>
        <v/>
      </c>
      <c r="M1109" s="206" t="str">
        <f t="shared" si="255"/>
        <v/>
      </c>
      <c r="N1109" s="206" t="str">
        <f t="shared" si="256"/>
        <v/>
      </c>
      <c r="O1109" s="206" t="str">
        <f t="shared" si="257"/>
        <v/>
      </c>
      <c r="P1109" s="84" t="str">
        <f t="shared" si="258"/>
        <v/>
      </c>
      <c r="Q1109" s="205"/>
      <c r="R1109" s="70" t="str">
        <f>IF(S1109="IN",'BOM_Phan II'!$Y$3,"")</f>
        <v/>
      </c>
      <c r="S1109" s="69" t="str">
        <f t="shared" si="250"/>
        <v/>
      </c>
      <c r="T1109">
        <f t="shared" si="259"/>
        <v>3</v>
      </c>
      <c r="U1109" t="str">
        <f t="shared" si="247"/>
        <v>KIỆN 14</v>
      </c>
      <c r="V1109" t="str">
        <f t="shared" si="260"/>
        <v/>
      </c>
      <c r="W1109" s="266"/>
      <c r="X1109" s="266"/>
      <c r="Y1109" s="266" t="str">
        <f t="shared" si="252"/>
        <v/>
      </c>
      <c r="Z1109" s="266"/>
    </row>
    <row r="1110" spans="1:26" ht="27" hidden="1" customHeight="1">
      <c r="A1110" s="70" t="str">
        <f t="shared" si="248"/>
        <v/>
      </c>
      <c r="B1110" s="70" t="str">
        <f t="shared" si="249"/>
        <v/>
      </c>
      <c r="C1110" s="204" t="str" cm="1">
        <f t="array" ref="C1110">IF(D1110="","",
    IF(AND(ISNUMBER(D1110), D1110=INT(D1110)),
        $V$6 &amp; " " &amp; (IFERROR(MAX($Y$12:$Y1109), 0) + 1),
        IF(ISNUMBER(SEARCH(".", D1110)), "", INDEX($C$12:$C1110, MATCH(2, 1/($C$12:$C1110 &lt;&gt; ""))))
    )
)</f>
        <v/>
      </c>
      <c r="D1110" s="206"/>
      <c r="E1110" s="206" t="str">
        <f>IF(AA1110 = "", "",
    IF(ISNUMBER(SEARCH("Kiện", C1110)),
       " GÓI " &amp; COUNTIF($C$13:C1110, "*Kiện*") &amp; "/" &amp; COUNTIF($C$13:$C$1000, "*Kiện*") &amp; " " &amp; AA1110,
       AA1110)
)</f>
        <v/>
      </c>
      <c r="F1110" s="206"/>
      <c r="G1110" s="206"/>
      <c r="H1110" s="206"/>
      <c r="I1110" s="206"/>
      <c r="J1110" s="206" t="str">
        <f t="shared" si="251"/>
        <v/>
      </c>
      <c r="K1110" s="206" t="str">
        <f t="shared" si="253"/>
        <v/>
      </c>
      <c r="L1110" s="206" t="str">
        <f t="shared" si="254"/>
        <v/>
      </c>
      <c r="M1110" s="206" t="str">
        <f t="shared" si="255"/>
        <v/>
      </c>
      <c r="N1110" s="206" t="str">
        <f t="shared" si="256"/>
        <v/>
      </c>
      <c r="O1110" s="206" t="str">
        <f t="shared" si="257"/>
        <v/>
      </c>
      <c r="P1110" s="84" t="str">
        <f t="shared" si="258"/>
        <v/>
      </c>
      <c r="Q1110" s="205"/>
      <c r="R1110" s="70" t="str">
        <f>IF(S1110="IN",'BOM_Phan II'!$Y$3,"")</f>
        <v/>
      </c>
      <c r="S1110" s="69" t="str">
        <f t="shared" si="250"/>
        <v/>
      </c>
      <c r="T1110">
        <f t="shared" si="259"/>
        <v>3</v>
      </c>
      <c r="U1110" t="str">
        <f t="shared" si="247"/>
        <v>KIỆN 14</v>
      </c>
      <c r="V1110" t="str">
        <f t="shared" si="260"/>
        <v/>
      </c>
      <c r="W1110" s="266"/>
      <c r="X1110" s="266"/>
      <c r="Y1110" s="266" t="str">
        <f t="shared" si="252"/>
        <v/>
      </c>
      <c r="Z1110" s="266"/>
    </row>
    <row r="1111" spans="1:26" ht="27" hidden="1" customHeight="1">
      <c r="A1111" s="70" t="str">
        <f t="shared" si="248"/>
        <v/>
      </c>
      <c r="B1111" s="70" t="str">
        <f t="shared" si="249"/>
        <v/>
      </c>
      <c r="C1111" s="204" t="str" cm="1">
        <f t="array" ref="C1111">IF(D1111="","",
    IF(AND(ISNUMBER(D1111), D1111=INT(D1111)),
        $V$6 &amp; " " &amp; (IFERROR(MAX($Y$12:$Y1110), 0) + 1),
        IF(ISNUMBER(SEARCH(".", D1111)), "", INDEX($C$12:$C1111, MATCH(2, 1/($C$12:$C1111 &lt;&gt; ""))))
    )
)</f>
        <v/>
      </c>
      <c r="D1111" s="206"/>
      <c r="E1111" s="206" t="str">
        <f>IF(AA1111 = "", "",
    IF(ISNUMBER(SEARCH("Kiện", C1111)),
       " GÓI " &amp; COUNTIF($C$13:C1111, "*Kiện*") &amp; "/" &amp; COUNTIF($C$13:$C$1000, "*Kiện*") &amp; " " &amp; AA1111,
       AA1111)
)</f>
        <v/>
      </c>
      <c r="F1111" s="206"/>
      <c r="G1111" s="206"/>
      <c r="H1111" s="206"/>
      <c r="I1111" s="206"/>
      <c r="J1111" s="206" t="str">
        <f t="shared" si="251"/>
        <v/>
      </c>
      <c r="K1111" s="206" t="str">
        <f t="shared" si="253"/>
        <v/>
      </c>
      <c r="L1111" s="206" t="str">
        <f t="shared" si="254"/>
        <v/>
      </c>
      <c r="M1111" s="206" t="str">
        <f t="shared" si="255"/>
        <v/>
      </c>
      <c r="N1111" s="206" t="str">
        <f t="shared" si="256"/>
        <v/>
      </c>
      <c r="O1111" s="206" t="str">
        <f t="shared" si="257"/>
        <v/>
      </c>
      <c r="P1111" s="84" t="str">
        <f t="shared" si="258"/>
        <v/>
      </c>
      <c r="Q1111" s="205"/>
      <c r="R1111" s="70" t="str">
        <f>IF(S1111="IN",'BOM_Phan II'!$Y$3,"")</f>
        <v/>
      </c>
      <c r="S1111" s="69" t="str">
        <f t="shared" si="250"/>
        <v/>
      </c>
      <c r="T1111">
        <f t="shared" si="259"/>
        <v>3</v>
      </c>
      <c r="U1111" t="str">
        <f t="shared" si="247"/>
        <v>KIỆN 14</v>
      </c>
      <c r="V1111" t="str">
        <f t="shared" si="260"/>
        <v/>
      </c>
      <c r="W1111" s="266"/>
      <c r="X1111" s="266"/>
      <c r="Y1111" s="266" t="str">
        <f t="shared" si="252"/>
        <v/>
      </c>
      <c r="Z1111" s="266"/>
    </row>
    <row r="1112" spans="1:26" ht="27" hidden="1" customHeight="1">
      <c r="A1112" s="70" t="str">
        <f t="shared" si="248"/>
        <v/>
      </c>
      <c r="B1112" s="70" t="str">
        <f t="shared" si="249"/>
        <v/>
      </c>
      <c r="C1112" s="204" t="str" cm="1">
        <f t="array" ref="C1112">IF(D1112="","",
    IF(AND(ISNUMBER(D1112), D1112=INT(D1112)),
        $V$6 &amp; " " &amp; (IFERROR(MAX($Y$12:$Y1111), 0) + 1),
        IF(ISNUMBER(SEARCH(".", D1112)), "", INDEX($C$12:$C1112, MATCH(2, 1/($C$12:$C1112 &lt;&gt; ""))))
    )
)</f>
        <v/>
      </c>
      <c r="D1112" s="206"/>
      <c r="E1112" s="206" t="str">
        <f>IF(AA1112 = "", "",
    IF(ISNUMBER(SEARCH("Kiện", C1112)),
       " GÓI " &amp; COUNTIF($C$13:C1112, "*Kiện*") &amp; "/" &amp; COUNTIF($C$13:$C$1000, "*Kiện*") &amp; " " &amp; AA1112,
       AA1112)
)</f>
        <v/>
      </c>
      <c r="F1112" s="206"/>
      <c r="G1112" s="206"/>
      <c r="H1112" s="206"/>
      <c r="I1112" s="206"/>
      <c r="J1112" s="206" t="str">
        <f t="shared" si="251"/>
        <v/>
      </c>
      <c r="K1112" s="206" t="str">
        <f t="shared" si="253"/>
        <v/>
      </c>
      <c r="L1112" s="206" t="str">
        <f t="shared" si="254"/>
        <v/>
      </c>
      <c r="M1112" s="206" t="str">
        <f t="shared" si="255"/>
        <v/>
      </c>
      <c r="N1112" s="206" t="str">
        <f t="shared" si="256"/>
        <v/>
      </c>
      <c r="O1112" s="206" t="str">
        <f t="shared" si="257"/>
        <v/>
      </c>
      <c r="P1112" s="84" t="str">
        <f t="shared" si="258"/>
        <v/>
      </c>
      <c r="Q1112" s="205"/>
      <c r="R1112" s="70" t="str">
        <f>IF(S1112="IN",'BOM_Phan II'!$Y$3,"")</f>
        <v/>
      </c>
      <c r="S1112" s="69" t="str">
        <f t="shared" si="250"/>
        <v/>
      </c>
      <c r="T1112">
        <f t="shared" si="259"/>
        <v>3</v>
      </c>
      <c r="U1112" t="str">
        <f t="shared" si="247"/>
        <v>KIỆN 14</v>
      </c>
      <c r="V1112" t="str">
        <f t="shared" si="260"/>
        <v/>
      </c>
      <c r="W1112" s="266"/>
      <c r="X1112" s="266"/>
      <c r="Y1112" s="266" t="str">
        <f t="shared" si="252"/>
        <v/>
      </c>
      <c r="Z1112" s="266"/>
    </row>
    <row r="1113" spans="1:26" ht="27" hidden="1" customHeight="1">
      <c r="A1113" s="70" t="str">
        <f t="shared" si="248"/>
        <v/>
      </c>
      <c r="B1113" s="70" t="str">
        <f t="shared" si="249"/>
        <v/>
      </c>
      <c r="C1113" s="204" t="str" cm="1">
        <f t="array" ref="C1113">IF(D1113="","",
    IF(AND(ISNUMBER(D1113), D1113=INT(D1113)),
        $V$6 &amp; " " &amp; (IFERROR(MAX($Y$12:$Y1112), 0) + 1),
        IF(ISNUMBER(SEARCH(".", D1113)), "", INDEX($C$12:$C1113, MATCH(2, 1/($C$12:$C1113 &lt;&gt; ""))))
    )
)</f>
        <v/>
      </c>
      <c r="D1113" s="206"/>
      <c r="E1113" s="206" t="str">
        <f>IF(AA1113 = "", "",
    IF(ISNUMBER(SEARCH("Kiện", C1113)),
       " GÓI " &amp; COUNTIF($C$13:C1113, "*Kiện*") &amp; "/" &amp; COUNTIF($C$13:$C$1000, "*Kiện*") &amp; " " &amp; AA1113,
       AA1113)
)</f>
        <v/>
      </c>
      <c r="F1113" s="206"/>
      <c r="G1113" s="206"/>
      <c r="H1113" s="206"/>
      <c r="I1113" s="206"/>
      <c r="J1113" s="206" t="str">
        <f t="shared" si="251"/>
        <v/>
      </c>
      <c r="K1113" s="206" t="str">
        <f t="shared" si="253"/>
        <v/>
      </c>
      <c r="L1113" s="206" t="str">
        <f t="shared" si="254"/>
        <v/>
      </c>
      <c r="M1113" s="206" t="str">
        <f t="shared" si="255"/>
        <v/>
      </c>
      <c r="N1113" s="206" t="str">
        <f t="shared" si="256"/>
        <v/>
      </c>
      <c r="O1113" s="206" t="str">
        <f t="shared" si="257"/>
        <v/>
      </c>
      <c r="P1113" s="84" t="str">
        <f t="shared" si="258"/>
        <v/>
      </c>
      <c r="Q1113" s="205"/>
      <c r="R1113" s="70" t="str">
        <f>IF(S1113="IN",'BOM_Phan II'!$Y$3,"")</f>
        <v/>
      </c>
      <c r="S1113" s="69" t="str">
        <f t="shared" si="250"/>
        <v/>
      </c>
      <c r="T1113">
        <f t="shared" si="259"/>
        <v>3</v>
      </c>
      <c r="U1113" t="str">
        <f t="shared" si="247"/>
        <v>KIỆN 14</v>
      </c>
      <c r="V1113" t="str">
        <f t="shared" si="260"/>
        <v/>
      </c>
      <c r="W1113" s="266"/>
      <c r="X1113" s="266"/>
      <c r="Y1113" s="266" t="str">
        <f t="shared" si="252"/>
        <v/>
      </c>
      <c r="Z1113" s="266"/>
    </row>
    <row r="1114" spans="1:26" ht="27" hidden="1" customHeight="1">
      <c r="A1114" s="70" t="str">
        <f t="shared" si="248"/>
        <v/>
      </c>
      <c r="B1114" s="70" t="str">
        <f t="shared" si="249"/>
        <v/>
      </c>
      <c r="C1114" s="204" t="str" cm="1">
        <f t="array" ref="C1114">IF(D1114="","",
    IF(AND(ISNUMBER(D1114), D1114=INT(D1114)),
        $V$6 &amp; " " &amp; (IFERROR(MAX($Y$12:$Y1113), 0) + 1),
        IF(ISNUMBER(SEARCH(".", D1114)), "", INDEX($C$12:$C1114, MATCH(2, 1/($C$12:$C1114 &lt;&gt; ""))))
    )
)</f>
        <v/>
      </c>
      <c r="D1114" s="206"/>
      <c r="E1114" s="206" t="str">
        <f>IF(AA1114 = "", "",
    IF(ISNUMBER(SEARCH("Kiện", C1114)),
       " GÓI " &amp; COUNTIF($C$13:C1114, "*Kiện*") &amp; "/" &amp; COUNTIF($C$13:$C$1000, "*Kiện*") &amp; " " &amp; AA1114,
       AA1114)
)</f>
        <v/>
      </c>
      <c r="F1114" s="206"/>
      <c r="G1114" s="206"/>
      <c r="H1114" s="206"/>
      <c r="I1114" s="206"/>
      <c r="J1114" s="206" t="str">
        <f t="shared" si="251"/>
        <v/>
      </c>
      <c r="K1114" s="206" t="str">
        <f t="shared" si="253"/>
        <v/>
      </c>
      <c r="L1114" s="206" t="str">
        <f t="shared" si="254"/>
        <v/>
      </c>
      <c r="M1114" s="206" t="str">
        <f t="shared" si="255"/>
        <v/>
      </c>
      <c r="N1114" s="206" t="str">
        <f t="shared" si="256"/>
        <v/>
      </c>
      <c r="O1114" s="206" t="str">
        <f t="shared" si="257"/>
        <v/>
      </c>
      <c r="P1114" s="84" t="str">
        <f t="shared" si="258"/>
        <v/>
      </c>
      <c r="Q1114" s="205"/>
      <c r="R1114" s="70" t="str">
        <f>IF(S1114="IN",'BOM_Phan II'!$Y$3,"")</f>
        <v/>
      </c>
      <c r="S1114" s="69" t="str">
        <f t="shared" si="250"/>
        <v/>
      </c>
      <c r="T1114">
        <f t="shared" si="259"/>
        <v>3</v>
      </c>
      <c r="U1114" t="str">
        <f t="shared" si="247"/>
        <v>KIỆN 14</v>
      </c>
      <c r="V1114" t="str">
        <f t="shared" si="260"/>
        <v/>
      </c>
      <c r="W1114" s="266"/>
      <c r="X1114" s="266"/>
      <c r="Y1114" s="266" t="str">
        <f t="shared" si="252"/>
        <v/>
      </c>
      <c r="Z1114" s="266"/>
    </row>
    <row r="1115" spans="1:26" ht="27" hidden="1" customHeight="1">
      <c r="A1115" s="70" t="str">
        <f t="shared" si="248"/>
        <v/>
      </c>
      <c r="B1115" s="70" t="str">
        <f t="shared" si="249"/>
        <v/>
      </c>
      <c r="C1115" s="204" t="str" cm="1">
        <f t="array" ref="C1115">IF(D1115="","",
    IF(AND(ISNUMBER(D1115), D1115=INT(D1115)),
        $V$6 &amp; " " &amp; (IFERROR(MAX($Y$12:$Y1114), 0) + 1),
        IF(ISNUMBER(SEARCH(".", D1115)), "", INDEX($C$12:$C1115, MATCH(2, 1/($C$12:$C1115 &lt;&gt; ""))))
    )
)</f>
        <v/>
      </c>
      <c r="D1115" s="206"/>
      <c r="E1115" s="206" t="str">
        <f>IF(AA1115 = "", "",
    IF(ISNUMBER(SEARCH("Kiện", C1115)),
       " GÓI " &amp; COUNTIF($C$13:C1115, "*Kiện*") &amp; "/" &amp; COUNTIF($C$13:$C$1000, "*Kiện*") &amp; " " &amp; AA1115,
       AA1115)
)</f>
        <v/>
      </c>
      <c r="F1115" s="206"/>
      <c r="G1115" s="206"/>
      <c r="H1115" s="206"/>
      <c r="I1115" s="206"/>
      <c r="J1115" s="206" t="str">
        <f t="shared" si="251"/>
        <v/>
      </c>
      <c r="K1115" s="206" t="str">
        <f t="shared" si="253"/>
        <v/>
      </c>
      <c r="L1115" s="206" t="str">
        <f t="shared" si="254"/>
        <v/>
      </c>
      <c r="M1115" s="206" t="str">
        <f t="shared" si="255"/>
        <v/>
      </c>
      <c r="N1115" s="206" t="str">
        <f t="shared" si="256"/>
        <v/>
      </c>
      <c r="O1115" s="206" t="str">
        <f t="shared" si="257"/>
        <v/>
      </c>
      <c r="P1115" s="84" t="str">
        <f t="shared" si="258"/>
        <v/>
      </c>
      <c r="Q1115" s="205"/>
      <c r="R1115" s="70" t="str">
        <f>IF(S1115="IN",'BOM_Phan II'!$Y$3,"")</f>
        <v/>
      </c>
      <c r="S1115" s="69" t="str">
        <f t="shared" si="250"/>
        <v/>
      </c>
      <c r="T1115">
        <f t="shared" si="259"/>
        <v>3</v>
      </c>
      <c r="U1115" t="str">
        <f t="shared" si="247"/>
        <v>KIỆN 14</v>
      </c>
      <c r="V1115" t="str">
        <f t="shared" si="260"/>
        <v/>
      </c>
      <c r="W1115" s="266"/>
      <c r="X1115" s="266"/>
      <c r="Y1115" s="266" t="str">
        <f t="shared" si="252"/>
        <v/>
      </c>
      <c r="Z1115" s="266"/>
    </row>
    <row r="1116" spans="1:26" ht="27" hidden="1" customHeight="1">
      <c r="A1116" s="70" t="str">
        <f t="shared" si="248"/>
        <v/>
      </c>
      <c r="B1116" s="70" t="str">
        <f t="shared" si="249"/>
        <v/>
      </c>
      <c r="C1116" s="204" t="str" cm="1">
        <f t="array" ref="C1116">IF(D1116="","",
    IF(AND(ISNUMBER(D1116), D1116=INT(D1116)),
        $V$6 &amp; " " &amp; (IFERROR(MAX($Y$12:$Y1115), 0) + 1),
        IF(ISNUMBER(SEARCH(".", D1116)), "", INDEX($C$12:$C1116, MATCH(2, 1/($C$12:$C1116 &lt;&gt; ""))))
    )
)</f>
        <v/>
      </c>
      <c r="D1116" s="206"/>
      <c r="E1116" s="206" t="str">
        <f>IF(AA1116 = "", "",
    IF(ISNUMBER(SEARCH("Kiện", C1116)),
       " GÓI " &amp; COUNTIF($C$13:C1116, "*Kiện*") &amp; "/" &amp; COUNTIF($C$13:$C$1000, "*Kiện*") &amp; " " &amp; AA1116,
       AA1116)
)</f>
        <v/>
      </c>
      <c r="F1116" s="206"/>
      <c r="G1116" s="206"/>
      <c r="H1116" s="206"/>
      <c r="I1116" s="206"/>
      <c r="J1116" s="206" t="str">
        <f t="shared" si="251"/>
        <v/>
      </c>
      <c r="K1116" s="206" t="str">
        <f t="shared" si="253"/>
        <v/>
      </c>
      <c r="L1116" s="206" t="str">
        <f t="shared" si="254"/>
        <v/>
      </c>
      <c r="M1116" s="206" t="str">
        <f t="shared" si="255"/>
        <v/>
      </c>
      <c r="N1116" s="206" t="str">
        <f t="shared" si="256"/>
        <v/>
      </c>
      <c r="O1116" s="206" t="str">
        <f t="shared" si="257"/>
        <v/>
      </c>
      <c r="P1116" s="84" t="str">
        <f t="shared" si="258"/>
        <v/>
      </c>
      <c r="Q1116" s="205"/>
      <c r="R1116" s="70" t="str">
        <f>IF(S1116="IN",'BOM_Phan II'!$Y$3,"")</f>
        <v/>
      </c>
      <c r="S1116" s="69" t="str">
        <f t="shared" si="250"/>
        <v/>
      </c>
      <c r="T1116">
        <f t="shared" si="259"/>
        <v>3</v>
      </c>
      <c r="U1116" t="str">
        <f t="shared" si="247"/>
        <v>KIỆN 14</v>
      </c>
      <c r="V1116" t="str">
        <f t="shared" si="260"/>
        <v/>
      </c>
      <c r="W1116" s="266"/>
      <c r="X1116" s="266"/>
      <c r="Y1116" s="266" t="str">
        <f t="shared" si="252"/>
        <v/>
      </c>
      <c r="Z1116" s="266"/>
    </row>
    <row r="1117" spans="1:26" ht="27" hidden="1" customHeight="1">
      <c r="A1117" s="70" t="str">
        <f t="shared" si="248"/>
        <v/>
      </c>
      <c r="B1117" s="70" t="str">
        <f t="shared" si="249"/>
        <v/>
      </c>
      <c r="C1117" s="204" t="str" cm="1">
        <f t="array" ref="C1117">IF(D1117="","",
    IF(AND(ISNUMBER(D1117), D1117=INT(D1117)),
        $V$6 &amp; " " &amp; (IFERROR(MAX($Y$12:$Y1116), 0) + 1),
        IF(ISNUMBER(SEARCH(".", D1117)), "", INDEX($C$12:$C1117, MATCH(2, 1/($C$12:$C1117 &lt;&gt; ""))))
    )
)</f>
        <v/>
      </c>
      <c r="D1117" s="206"/>
      <c r="E1117" s="206" t="str">
        <f>IF(AA1117 = "", "",
    IF(ISNUMBER(SEARCH("Kiện", C1117)),
       " GÓI " &amp; COUNTIF($C$13:C1117, "*Kiện*") &amp; "/" &amp; COUNTIF($C$13:$C$1000, "*Kiện*") &amp; " " &amp; AA1117,
       AA1117)
)</f>
        <v/>
      </c>
      <c r="F1117" s="206"/>
      <c r="G1117" s="206"/>
      <c r="H1117" s="206"/>
      <c r="I1117" s="206"/>
      <c r="J1117" s="206" t="str">
        <f t="shared" si="251"/>
        <v/>
      </c>
      <c r="K1117" s="206" t="str">
        <f t="shared" si="253"/>
        <v/>
      </c>
      <c r="L1117" s="206" t="str">
        <f t="shared" si="254"/>
        <v/>
      </c>
      <c r="M1117" s="206" t="str">
        <f t="shared" si="255"/>
        <v/>
      </c>
      <c r="N1117" s="206" t="str">
        <f t="shared" si="256"/>
        <v/>
      </c>
      <c r="O1117" s="206" t="str">
        <f t="shared" si="257"/>
        <v/>
      </c>
      <c r="P1117" s="84" t="str">
        <f t="shared" si="258"/>
        <v/>
      </c>
      <c r="Q1117" s="205"/>
      <c r="R1117" s="70" t="str">
        <f>IF(S1117="IN",'BOM_Phan II'!$Y$3,"")</f>
        <v/>
      </c>
      <c r="S1117" s="69" t="str">
        <f t="shared" si="250"/>
        <v/>
      </c>
      <c r="T1117">
        <f t="shared" si="259"/>
        <v>3</v>
      </c>
      <c r="U1117" t="str">
        <f t="shared" si="247"/>
        <v>KIỆN 14</v>
      </c>
      <c r="V1117" t="str">
        <f t="shared" si="260"/>
        <v/>
      </c>
      <c r="W1117" s="266"/>
      <c r="X1117" s="266"/>
      <c r="Y1117" s="266" t="str">
        <f t="shared" si="252"/>
        <v/>
      </c>
      <c r="Z1117" s="266"/>
    </row>
    <row r="1118" spans="1:26" ht="27" hidden="1" customHeight="1">
      <c r="A1118" s="70" t="str">
        <f t="shared" si="248"/>
        <v/>
      </c>
      <c r="B1118" s="70" t="str">
        <f t="shared" si="249"/>
        <v/>
      </c>
      <c r="C1118" s="204" t="str" cm="1">
        <f t="array" ref="C1118">IF(D1118="","",
    IF(AND(ISNUMBER(D1118), D1118=INT(D1118)),
        $V$6 &amp; " " &amp; (IFERROR(MAX($Y$12:$Y1117), 0) + 1),
        IF(ISNUMBER(SEARCH(".", D1118)), "", INDEX($C$12:$C1118, MATCH(2, 1/($C$12:$C1118 &lt;&gt; ""))))
    )
)</f>
        <v/>
      </c>
      <c r="D1118" s="206"/>
      <c r="E1118" s="206" t="str">
        <f>IF(AA1118 = "", "",
    IF(ISNUMBER(SEARCH("Kiện", C1118)),
       " GÓI " &amp; COUNTIF($C$13:C1118, "*Kiện*") &amp; "/" &amp; COUNTIF($C$13:$C$1000, "*Kiện*") &amp; " " &amp; AA1118,
       AA1118)
)</f>
        <v/>
      </c>
      <c r="F1118" s="206"/>
      <c r="G1118" s="206"/>
      <c r="H1118" s="206"/>
      <c r="I1118" s="206"/>
      <c r="J1118" s="206" t="str">
        <f t="shared" si="251"/>
        <v/>
      </c>
      <c r="K1118" s="206" t="str">
        <f t="shared" si="253"/>
        <v/>
      </c>
      <c r="L1118" s="206" t="str">
        <f t="shared" si="254"/>
        <v/>
      </c>
      <c r="M1118" s="206" t="str">
        <f t="shared" si="255"/>
        <v/>
      </c>
      <c r="N1118" s="206" t="str">
        <f t="shared" si="256"/>
        <v/>
      </c>
      <c r="O1118" s="206" t="str">
        <f t="shared" si="257"/>
        <v/>
      </c>
      <c r="P1118" s="84" t="str">
        <f t="shared" si="258"/>
        <v/>
      </c>
      <c r="Q1118" s="205"/>
      <c r="R1118" s="70" t="str">
        <f>IF(S1118="IN",'BOM_Phan II'!$Y$3,"")</f>
        <v/>
      </c>
      <c r="S1118" s="69" t="str">
        <f t="shared" si="250"/>
        <v/>
      </c>
      <c r="T1118">
        <f t="shared" si="259"/>
        <v>3</v>
      </c>
      <c r="U1118" t="str">
        <f t="shared" si="247"/>
        <v>KIỆN 14</v>
      </c>
      <c r="V1118" t="str">
        <f t="shared" si="260"/>
        <v/>
      </c>
      <c r="W1118" s="266"/>
      <c r="X1118" s="266"/>
      <c r="Y1118" s="266" t="str">
        <f t="shared" si="252"/>
        <v/>
      </c>
      <c r="Z1118" s="266"/>
    </row>
    <row r="1119" spans="1:26" ht="27" hidden="1" customHeight="1">
      <c r="A1119" s="70" t="str">
        <f t="shared" si="248"/>
        <v/>
      </c>
      <c r="B1119" s="70" t="str">
        <f t="shared" si="249"/>
        <v/>
      </c>
      <c r="C1119" s="204" t="str" cm="1">
        <f t="array" ref="C1119">IF(D1119="","",
    IF(AND(ISNUMBER(D1119), D1119=INT(D1119)),
        $V$6 &amp; " " &amp; (IFERROR(MAX($Y$12:$Y1118), 0) + 1),
        IF(ISNUMBER(SEARCH(".", D1119)), "", INDEX($C$12:$C1119, MATCH(2, 1/($C$12:$C1119 &lt;&gt; ""))))
    )
)</f>
        <v/>
      </c>
      <c r="D1119" s="206"/>
      <c r="E1119" s="206" t="str">
        <f>IF(AA1119 = "", "",
    IF(ISNUMBER(SEARCH("Kiện", C1119)),
       " GÓI " &amp; COUNTIF($C$13:C1119, "*Kiện*") &amp; "/" &amp; COUNTIF($C$13:$C$1000, "*Kiện*") &amp; " " &amp; AA1119,
       AA1119)
)</f>
        <v/>
      </c>
      <c r="F1119" s="206"/>
      <c r="G1119" s="206"/>
      <c r="H1119" s="206"/>
      <c r="I1119" s="206"/>
      <c r="J1119" s="206" t="str">
        <f t="shared" si="251"/>
        <v/>
      </c>
      <c r="K1119" s="206" t="str">
        <f t="shared" si="253"/>
        <v/>
      </c>
      <c r="L1119" s="206" t="str">
        <f t="shared" si="254"/>
        <v/>
      </c>
      <c r="M1119" s="206" t="str">
        <f t="shared" si="255"/>
        <v/>
      </c>
      <c r="N1119" s="206" t="str">
        <f t="shared" si="256"/>
        <v/>
      </c>
      <c r="O1119" s="206" t="str">
        <f t="shared" si="257"/>
        <v/>
      </c>
      <c r="P1119" s="84" t="str">
        <f t="shared" si="258"/>
        <v/>
      </c>
      <c r="Q1119" s="205"/>
      <c r="R1119" s="70" t="str">
        <f>IF(S1119="IN",'BOM_Phan II'!$Y$3,"")</f>
        <v/>
      </c>
      <c r="S1119" s="69" t="str">
        <f t="shared" si="250"/>
        <v/>
      </c>
      <c r="T1119">
        <f t="shared" si="259"/>
        <v>3</v>
      </c>
      <c r="U1119" t="str">
        <f t="shared" si="247"/>
        <v>KIỆN 14</v>
      </c>
      <c r="V1119" t="str">
        <f t="shared" si="260"/>
        <v/>
      </c>
      <c r="W1119" s="266"/>
      <c r="X1119" s="266"/>
      <c r="Y1119" s="266" t="str">
        <f t="shared" si="252"/>
        <v/>
      </c>
      <c r="Z1119" s="266"/>
    </row>
    <row r="1120" spans="1:26" ht="27" hidden="1" customHeight="1">
      <c r="A1120" s="70" t="str">
        <f t="shared" si="248"/>
        <v/>
      </c>
      <c r="B1120" s="70" t="str">
        <f t="shared" si="249"/>
        <v/>
      </c>
      <c r="C1120" s="204" t="str" cm="1">
        <f t="array" ref="C1120">IF(D1120="","",
    IF(AND(ISNUMBER(D1120), D1120=INT(D1120)),
        $V$6 &amp; " " &amp; (IFERROR(MAX($Y$12:$Y1119), 0) + 1),
        IF(ISNUMBER(SEARCH(".", D1120)), "", INDEX($C$12:$C1120, MATCH(2, 1/($C$12:$C1120 &lt;&gt; ""))))
    )
)</f>
        <v/>
      </c>
      <c r="D1120" s="206"/>
      <c r="E1120" s="206" t="str">
        <f>IF(AA1120 = "", "",
    IF(ISNUMBER(SEARCH("Kiện", C1120)),
       " GÓI " &amp; COUNTIF($C$13:C1120, "*Kiện*") &amp; "/" &amp; COUNTIF($C$13:$C$1000, "*Kiện*") &amp; " " &amp; AA1120,
       AA1120)
)</f>
        <v/>
      </c>
      <c r="F1120" s="206"/>
      <c r="G1120" s="206"/>
      <c r="H1120" s="206"/>
      <c r="I1120" s="206"/>
      <c r="J1120" s="206" t="str">
        <f t="shared" si="251"/>
        <v/>
      </c>
      <c r="K1120" s="206" t="str">
        <f t="shared" si="253"/>
        <v/>
      </c>
      <c r="L1120" s="206" t="str">
        <f t="shared" si="254"/>
        <v/>
      </c>
      <c r="M1120" s="206" t="str">
        <f t="shared" si="255"/>
        <v/>
      </c>
      <c r="N1120" s="206" t="str">
        <f t="shared" si="256"/>
        <v/>
      </c>
      <c r="O1120" s="206" t="str">
        <f t="shared" si="257"/>
        <v/>
      </c>
      <c r="P1120" s="84" t="str">
        <f t="shared" si="258"/>
        <v/>
      </c>
      <c r="Q1120" s="205"/>
      <c r="R1120" s="70" t="str">
        <f>IF(S1120="IN",'BOM_Phan II'!$Y$3,"")</f>
        <v/>
      </c>
      <c r="S1120" s="69" t="str">
        <f t="shared" si="250"/>
        <v/>
      </c>
      <c r="T1120">
        <f t="shared" si="259"/>
        <v>3</v>
      </c>
      <c r="U1120" t="str">
        <f t="shared" si="247"/>
        <v>KIỆN 14</v>
      </c>
      <c r="V1120" t="str">
        <f t="shared" si="260"/>
        <v/>
      </c>
      <c r="W1120" s="266"/>
      <c r="X1120" s="266"/>
      <c r="Y1120" s="266" t="str">
        <f t="shared" si="252"/>
        <v/>
      </c>
      <c r="Z1120" s="266"/>
    </row>
    <row r="1121" spans="1:26" ht="27" hidden="1" customHeight="1">
      <c r="A1121" s="70" t="str">
        <f t="shared" si="248"/>
        <v/>
      </c>
      <c r="B1121" s="70" t="str">
        <f t="shared" si="249"/>
        <v/>
      </c>
      <c r="C1121" s="204" t="str" cm="1">
        <f t="array" ref="C1121">IF(D1121="","",
    IF(AND(ISNUMBER(D1121), D1121=INT(D1121)),
        $V$6 &amp; " " &amp; (IFERROR(MAX($Y$12:$Y1120), 0) + 1),
        IF(ISNUMBER(SEARCH(".", D1121)), "", INDEX($C$12:$C1121, MATCH(2, 1/($C$12:$C1121 &lt;&gt; ""))))
    )
)</f>
        <v/>
      </c>
      <c r="D1121" s="206"/>
      <c r="E1121" s="206" t="str">
        <f>IF(AA1121 = "", "",
    IF(ISNUMBER(SEARCH("Kiện", C1121)),
       " GÓI " &amp; COUNTIF($C$13:C1121, "*Kiện*") &amp; "/" &amp; COUNTIF($C$13:$C$1000, "*Kiện*") &amp; " " &amp; AA1121,
       AA1121)
)</f>
        <v/>
      </c>
      <c r="F1121" s="206"/>
      <c r="G1121" s="206"/>
      <c r="H1121" s="206"/>
      <c r="I1121" s="206"/>
      <c r="J1121" s="206" t="str">
        <f t="shared" si="251"/>
        <v/>
      </c>
      <c r="K1121" s="206" t="str">
        <f t="shared" si="253"/>
        <v/>
      </c>
      <c r="L1121" s="206" t="str">
        <f t="shared" si="254"/>
        <v/>
      </c>
      <c r="M1121" s="206" t="str">
        <f t="shared" si="255"/>
        <v/>
      </c>
      <c r="N1121" s="206" t="str">
        <f t="shared" si="256"/>
        <v/>
      </c>
      <c r="O1121" s="206" t="str">
        <f t="shared" si="257"/>
        <v/>
      </c>
      <c r="P1121" s="84" t="str">
        <f t="shared" si="258"/>
        <v/>
      </c>
      <c r="Q1121" s="205"/>
      <c r="R1121" s="70" t="str">
        <f>IF(S1121="IN",'BOM_Phan II'!$Y$3,"")</f>
        <v/>
      </c>
      <c r="S1121" s="69" t="str">
        <f t="shared" si="250"/>
        <v/>
      </c>
      <c r="T1121">
        <f t="shared" si="259"/>
        <v>3</v>
      </c>
      <c r="U1121" t="str">
        <f t="shared" si="247"/>
        <v>KIỆN 14</v>
      </c>
      <c r="V1121" t="str">
        <f t="shared" si="260"/>
        <v/>
      </c>
      <c r="W1121" s="266"/>
      <c r="X1121" s="266"/>
      <c r="Y1121" s="266" t="str">
        <f t="shared" si="252"/>
        <v/>
      </c>
      <c r="Z1121" s="266"/>
    </row>
    <row r="1122" spans="1:26" ht="27" hidden="1" customHeight="1">
      <c r="A1122" s="70" t="str">
        <f t="shared" si="248"/>
        <v/>
      </c>
      <c r="B1122" s="70" t="str">
        <f t="shared" si="249"/>
        <v/>
      </c>
      <c r="C1122" s="204" t="str" cm="1">
        <f t="array" ref="C1122">IF(D1122="","",
    IF(AND(ISNUMBER(D1122), D1122=INT(D1122)),
        $V$6 &amp; " " &amp; (IFERROR(MAX($Y$12:$Y1121), 0) + 1),
        IF(ISNUMBER(SEARCH(".", D1122)), "", INDEX($C$12:$C1122, MATCH(2, 1/($C$12:$C1122 &lt;&gt; ""))))
    )
)</f>
        <v/>
      </c>
      <c r="D1122" s="206"/>
      <c r="E1122" s="206" t="str">
        <f>IF(AA1122 = "", "",
    IF(ISNUMBER(SEARCH("Kiện", C1122)),
       " GÓI " &amp; COUNTIF($C$13:C1122, "*Kiện*") &amp; "/" &amp; COUNTIF($C$13:$C$1000, "*Kiện*") &amp; " " &amp; AA1122,
       AA1122)
)</f>
        <v/>
      </c>
      <c r="F1122" s="206"/>
      <c r="G1122" s="206"/>
      <c r="H1122" s="206"/>
      <c r="I1122" s="206"/>
      <c r="J1122" s="206" t="str">
        <f t="shared" si="251"/>
        <v/>
      </c>
      <c r="K1122" s="206" t="str">
        <f t="shared" si="253"/>
        <v/>
      </c>
      <c r="L1122" s="206" t="str">
        <f t="shared" si="254"/>
        <v/>
      </c>
      <c r="M1122" s="206" t="str">
        <f t="shared" si="255"/>
        <v/>
      </c>
      <c r="N1122" s="206" t="str">
        <f t="shared" si="256"/>
        <v/>
      </c>
      <c r="O1122" s="206" t="str">
        <f t="shared" si="257"/>
        <v/>
      </c>
      <c r="P1122" s="84" t="str">
        <f t="shared" si="258"/>
        <v/>
      </c>
      <c r="Q1122" s="205"/>
      <c r="R1122" s="70" t="str">
        <f>IF(S1122="IN",'BOM_Phan II'!$Y$3,"")</f>
        <v/>
      </c>
      <c r="S1122" s="69" t="str">
        <f t="shared" si="250"/>
        <v/>
      </c>
      <c r="T1122">
        <f t="shared" si="259"/>
        <v>3</v>
      </c>
      <c r="U1122" t="str">
        <f t="shared" si="247"/>
        <v>KIỆN 14</v>
      </c>
      <c r="V1122" t="str">
        <f t="shared" si="260"/>
        <v/>
      </c>
      <c r="W1122" s="266"/>
      <c r="X1122" s="266"/>
      <c r="Y1122" s="266" t="str">
        <f t="shared" si="252"/>
        <v/>
      </c>
      <c r="Z1122" s="266"/>
    </row>
    <row r="1123" spans="1:26" ht="27" hidden="1" customHeight="1">
      <c r="A1123" s="70" t="str">
        <f t="shared" si="248"/>
        <v/>
      </c>
      <c r="B1123" s="70" t="str">
        <f t="shared" si="249"/>
        <v/>
      </c>
      <c r="C1123" s="204" t="str" cm="1">
        <f t="array" ref="C1123">IF(D1123="","",
    IF(AND(ISNUMBER(D1123), D1123=INT(D1123)),
        $V$6 &amp; " " &amp; (IFERROR(MAX($Y$12:$Y1122), 0) + 1),
        IF(ISNUMBER(SEARCH(".", D1123)), "", INDEX($C$12:$C1123, MATCH(2, 1/($C$12:$C1123 &lt;&gt; ""))))
    )
)</f>
        <v/>
      </c>
      <c r="D1123" s="206"/>
      <c r="E1123" s="206" t="str">
        <f>IF(AA1123 = "", "",
    IF(ISNUMBER(SEARCH("Kiện", C1123)),
       " GÓI " &amp; COUNTIF($C$13:C1123, "*Kiện*") &amp; "/" &amp; COUNTIF($C$13:$C$1000, "*Kiện*") &amp; " " &amp; AA1123,
       AA1123)
)</f>
        <v/>
      </c>
      <c r="F1123" s="206"/>
      <c r="G1123" s="206"/>
      <c r="H1123" s="206"/>
      <c r="I1123" s="206"/>
      <c r="J1123" s="206" t="str">
        <f t="shared" si="251"/>
        <v/>
      </c>
      <c r="K1123" s="206" t="str">
        <f t="shared" si="253"/>
        <v/>
      </c>
      <c r="L1123" s="206" t="str">
        <f t="shared" si="254"/>
        <v/>
      </c>
      <c r="M1123" s="206" t="str">
        <f t="shared" si="255"/>
        <v/>
      </c>
      <c r="N1123" s="206" t="str">
        <f t="shared" si="256"/>
        <v/>
      </c>
      <c r="O1123" s="206" t="str">
        <f t="shared" si="257"/>
        <v/>
      </c>
      <c r="P1123" s="84" t="str">
        <f t="shared" si="258"/>
        <v/>
      </c>
      <c r="Q1123" s="205"/>
      <c r="R1123" s="70" t="str">
        <f>IF(S1123="IN",'BOM_Phan II'!$Y$3,"")</f>
        <v/>
      </c>
      <c r="S1123" s="69" t="str">
        <f t="shared" si="250"/>
        <v/>
      </c>
      <c r="T1123">
        <f t="shared" si="259"/>
        <v>3</v>
      </c>
      <c r="U1123" t="str">
        <f t="shared" si="247"/>
        <v>KIỆN 14</v>
      </c>
      <c r="V1123" t="str">
        <f t="shared" si="260"/>
        <v/>
      </c>
      <c r="W1123" s="266"/>
      <c r="X1123" s="266"/>
      <c r="Y1123" s="266" t="str">
        <f t="shared" si="252"/>
        <v/>
      </c>
      <c r="Z1123" s="266"/>
    </row>
    <row r="1124" spans="1:26" ht="27" hidden="1" customHeight="1">
      <c r="A1124" s="70" t="str">
        <f t="shared" si="248"/>
        <v/>
      </c>
      <c r="B1124" s="70" t="str">
        <f t="shared" si="249"/>
        <v/>
      </c>
      <c r="C1124" s="204" t="str" cm="1">
        <f t="array" ref="C1124">IF(D1124="","",
    IF(AND(ISNUMBER(D1124), D1124=INT(D1124)),
        $V$6 &amp; " " &amp; (IFERROR(MAX($Y$12:$Y1123), 0) + 1),
        IF(ISNUMBER(SEARCH(".", D1124)), "", INDEX($C$12:$C1124, MATCH(2, 1/($C$12:$C1124 &lt;&gt; ""))))
    )
)</f>
        <v/>
      </c>
      <c r="D1124" s="206"/>
      <c r="E1124" s="206" t="str">
        <f>IF(AA1124 = "", "",
    IF(ISNUMBER(SEARCH("Kiện", C1124)),
       " GÓI " &amp; COUNTIF($C$13:C1124, "*Kiện*") &amp; "/" &amp; COUNTIF($C$13:$C$1000, "*Kiện*") &amp; " " &amp; AA1124,
       AA1124)
)</f>
        <v/>
      </c>
      <c r="F1124" s="206"/>
      <c r="G1124" s="206"/>
      <c r="H1124" s="206"/>
      <c r="I1124" s="206"/>
      <c r="J1124" s="206" t="str">
        <f t="shared" si="251"/>
        <v/>
      </c>
      <c r="K1124" s="206" t="str">
        <f t="shared" si="253"/>
        <v/>
      </c>
      <c r="L1124" s="206" t="str">
        <f t="shared" si="254"/>
        <v/>
      </c>
      <c r="M1124" s="206" t="str">
        <f t="shared" si="255"/>
        <v/>
      </c>
      <c r="N1124" s="206" t="str">
        <f t="shared" si="256"/>
        <v/>
      </c>
      <c r="O1124" s="206" t="str">
        <f t="shared" si="257"/>
        <v/>
      </c>
      <c r="P1124" s="84" t="str">
        <f t="shared" si="258"/>
        <v/>
      </c>
      <c r="Q1124" s="205"/>
      <c r="R1124" s="70" t="str">
        <f>IF(S1124="IN",'BOM_Phan II'!$Y$3,"")</f>
        <v/>
      </c>
      <c r="S1124" s="69" t="str">
        <f t="shared" si="250"/>
        <v/>
      </c>
      <c r="T1124">
        <f t="shared" si="259"/>
        <v>3</v>
      </c>
      <c r="U1124" t="str">
        <f t="shared" si="247"/>
        <v>KIỆN 14</v>
      </c>
      <c r="V1124" t="str">
        <f t="shared" si="260"/>
        <v/>
      </c>
      <c r="W1124" s="266"/>
      <c r="X1124" s="266"/>
      <c r="Y1124" s="266" t="str">
        <f t="shared" si="252"/>
        <v/>
      </c>
      <c r="Z1124" s="266"/>
    </row>
    <row r="1125" spans="1:26" ht="27" hidden="1" customHeight="1">
      <c r="A1125" s="70" t="str">
        <f t="shared" si="248"/>
        <v/>
      </c>
      <c r="B1125" s="70" t="str">
        <f t="shared" si="249"/>
        <v/>
      </c>
      <c r="C1125" s="204" t="str" cm="1">
        <f t="array" ref="C1125">IF(D1125="","",
    IF(AND(ISNUMBER(D1125), D1125=INT(D1125)),
        $V$6 &amp; " " &amp; (IFERROR(MAX($Y$12:$Y1124), 0) + 1),
        IF(ISNUMBER(SEARCH(".", D1125)), "", INDEX($C$12:$C1125, MATCH(2, 1/($C$12:$C1125 &lt;&gt; ""))))
    )
)</f>
        <v/>
      </c>
      <c r="D1125" s="206"/>
      <c r="E1125" s="206" t="str">
        <f>IF(AA1125 = "", "",
    IF(ISNUMBER(SEARCH("Kiện", C1125)),
       " GÓI " &amp; COUNTIF($C$13:C1125, "*Kiện*") &amp; "/" &amp; COUNTIF($C$13:$C$1000, "*Kiện*") &amp; " " &amp; AA1125,
       AA1125)
)</f>
        <v/>
      </c>
      <c r="F1125" s="206"/>
      <c r="G1125" s="206"/>
      <c r="H1125" s="206"/>
      <c r="I1125" s="206"/>
      <c r="J1125" s="206" t="str">
        <f t="shared" si="251"/>
        <v/>
      </c>
      <c r="K1125" s="206" t="str">
        <f t="shared" si="253"/>
        <v/>
      </c>
      <c r="L1125" s="206" t="str">
        <f t="shared" si="254"/>
        <v/>
      </c>
      <c r="M1125" s="206" t="str">
        <f t="shared" si="255"/>
        <v/>
      </c>
      <c r="N1125" s="206" t="str">
        <f t="shared" si="256"/>
        <v/>
      </c>
      <c r="O1125" s="206" t="str">
        <f t="shared" si="257"/>
        <v/>
      </c>
      <c r="P1125" s="84" t="str">
        <f t="shared" si="258"/>
        <v/>
      </c>
      <c r="Q1125" s="205"/>
      <c r="R1125" s="70" t="str">
        <f>IF(S1125="IN",'BOM_Phan II'!$Y$3,"")</f>
        <v/>
      </c>
      <c r="S1125" s="69" t="str">
        <f t="shared" si="250"/>
        <v/>
      </c>
      <c r="T1125">
        <f t="shared" si="259"/>
        <v>3</v>
      </c>
      <c r="U1125" t="str">
        <f t="shared" si="247"/>
        <v>KIỆN 14</v>
      </c>
      <c r="V1125" t="str">
        <f t="shared" si="260"/>
        <v/>
      </c>
      <c r="W1125" s="266"/>
      <c r="X1125" s="266"/>
      <c r="Y1125" s="266" t="str">
        <f t="shared" si="252"/>
        <v/>
      </c>
      <c r="Z1125" s="266"/>
    </row>
    <row r="1126" spans="1:26" ht="27" hidden="1" customHeight="1">
      <c r="A1126" s="70" t="str">
        <f t="shared" si="248"/>
        <v/>
      </c>
      <c r="B1126" s="70" t="str">
        <f t="shared" si="249"/>
        <v/>
      </c>
      <c r="C1126" s="204" t="str" cm="1">
        <f t="array" ref="C1126">IF(D1126="","",
    IF(AND(ISNUMBER(D1126), D1126=INT(D1126)),
        $V$6 &amp; " " &amp; (IFERROR(MAX($Y$12:$Y1125), 0) + 1),
        IF(ISNUMBER(SEARCH(".", D1126)), "", INDEX($C$12:$C1126, MATCH(2, 1/($C$12:$C1126 &lt;&gt; ""))))
    )
)</f>
        <v/>
      </c>
      <c r="D1126" s="206"/>
      <c r="E1126" s="206" t="str">
        <f>IF(AA1126 = "", "",
    IF(ISNUMBER(SEARCH("Kiện", C1126)),
       " GÓI " &amp; COUNTIF($C$13:C1126, "*Kiện*") &amp; "/" &amp; COUNTIF($C$13:$C$1000, "*Kiện*") &amp; " " &amp; AA1126,
       AA1126)
)</f>
        <v/>
      </c>
      <c r="F1126" s="206"/>
      <c r="G1126" s="206"/>
      <c r="H1126" s="206"/>
      <c r="I1126" s="206"/>
      <c r="J1126" s="206" t="str">
        <f t="shared" si="251"/>
        <v/>
      </c>
      <c r="K1126" s="206" t="str">
        <f t="shared" si="253"/>
        <v/>
      </c>
      <c r="L1126" s="206" t="str">
        <f t="shared" si="254"/>
        <v/>
      </c>
      <c r="M1126" s="206" t="str">
        <f t="shared" si="255"/>
        <v/>
      </c>
      <c r="N1126" s="206" t="str">
        <f t="shared" si="256"/>
        <v/>
      </c>
      <c r="O1126" s="206" t="str">
        <f t="shared" si="257"/>
        <v/>
      </c>
      <c r="P1126" s="84" t="str">
        <f t="shared" si="258"/>
        <v/>
      </c>
      <c r="Q1126" s="205"/>
      <c r="R1126" s="70" t="str">
        <f>IF(S1126="IN",'BOM_Phan II'!$Y$3,"")</f>
        <v/>
      </c>
      <c r="S1126" s="69" t="str">
        <f t="shared" si="250"/>
        <v/>
      </c>
      <c r="T1126">
        <f t="shared" si="259"/>
        <v>3</v>
      </c>
      <c r="U1126" t="str">
        <f t="shared" si="247"/>
        <v>KIỆN 14</v>
      </c>
      <c r="V1126" t="str">
        <f t="shared" si="260"/>
        <v/>
      </c>
      <c r="W1126" s="266"/>
      <c r="X1126" s="266"/>
      <c r="Y1126" s="266" t="str">
        <f t="shared" si="252"/>
        <v/>
      </c>
      <c r="Z1126" s="266"/>
    </row>
    <row r="1127" spans="1:26" ht="27" hidden="1" customHeight="1">
      <c r="A1127" s="70" t="str">
        <f t="shared" si="248"/>
        <v/>
      </c>
      <c r="B1127" s="70" t="str">
        <f t="shared" si="249"/>
        <v/>
      </c>
      <c r="C1127" s="204" t="str" cm="1">
        <f t="array" ref="C1127">IF(D1127="","",
    IF(AND(ISNUMBER(D1127), D1127=INT(D1127)),
        $V$6 &amp; " " &amp; (IFERROR(MAX($Y$12:$Y1126), 0) + 1),
        IF(ISNUMBER(SEARCH(".", D1127)), "", INDEX($C$12:$C1127, MATCH(2, 1/($C$12:$C1127 &lt;&gt; ""))))
    )
)</f>
        <v/>
      </c>
      <c r="D1127" s="206"/>
      <c r="E1127" s="206" t="str">
        <f>IF(AA1127 = "", "",
    IF(ISNUMBER(SEARCH("Kiện", C1127)),
       " GÓI " &amp; COUNTIF($C$13:C1127, "*Kiện*") &amp; "/" &amp; COUNTIF($C$13:$C$1000, "*Kiện*") &amp; " " &amp; AA1127,
       AA1127)
)</f>
        <v/>
      </c>
      <c r="F1127" s="206"/>
      <c r="G1127" s="206"/>
      <c r="H1127" s="206"/>
      <c r="I1127" s="206"/>
      <c r="J1127" s="206" t="str">
        <f t="shared" si="251"/>
        <v/>
      </c>
      <c r="K1127" s="206" t="str">
        <f t="shared" si="253"/>
        <v/>
      </c>
      <c r="L1127" s="206" t="str">
        <f t="shared" si="254"/>
        <v/>
      </c>
      <c r="M1127" s="206" t="str">
        <f t="shared" si="255"/>
        <v/>
      </c>
      <c r="N1127" s="206" t="str">
        <f t="shared" si="256"/>
        <v/>
      </c>
      <c r="O1127" s="206" t="str">
        <f t="shared" si="257"/>
        <v/>
      </c>
      <c r="P1127" s="84" t="str">
        <f t="shared" si="258"/>
        <v/>
      </c>
      <c r="Q1127" s="205"/>
      <c r="R1127" s="70" t="str">
        <f>IF(S1127="IN",'BOM_Phan II'!$Y$3,"")</f>
        <v/>
      </c>
      <c r="S1127" s="69" t="str">
        <f t="shared" si="250"/>
        <v/>
      </c>
      <c r="T1127">
        <f t="shared" si="259"/>
        <v>3</v>
      </c>
      <c r="U1127" t="str">
        <f t="shared" si="247"/>
        <v>KIỆN 14</v>
      </c>
      <c r="V1127" t="str">
        <f t="shared" si="260"/>
        <v/>
      </c>
      <c r="W1127" s="266"/>
      <c r="X1127" s="266"/>
      <c r="Y1127" s="266" t="str">
        <f t="shared" si="252"/>
        <v/>
      </c>
      <c r="Z1127" s="266"/>
    </row>
    <row r="1128" spans="1:26" ht="27" hidden="1" customHeight="1">
      <c r="A1128" s="70" t="str">
        <f t="shared" si="248"/>
        <v/>
      </c>
      <c r="B1128" s="70" t="str">
        <f t="shared" si="249"/>
        <v/>
      </c>
      <c r="C1128" s="204" t="str" cm="1">
        <f t="array" ref="C1128">IF(D1128="","",
    IF(AND(ISNUMBER(D1128), D1128=INT(D1128)),
        $V$6 &amp; " " &amp; (IFERROR(MAX($Y$12:$Y1127), 0) + 1),
        IF(ISNUMBER(SEARCH(".", D1128)), "", INDEX($C$12:$C1128, MATCH(2, 1/($C$12:$C1128 &lt;&gt; ""))))
    )
)</f>
        <v/>
      </c>
      <c r="D1128" s="206"/>
      <c r="E1128" s="206" t="str">
        <f>IF(AA1128 = "", "",
    IF(ISNUMBER(SEARCH("Kiện", C1128)),
       " GÓI " &amp; COUNTIF($C$13:C1128, "*Kiện*") &amp; "/" &amp; COUNTIF($C$13:$C$1000, "*Kiện*") &amp; " " &amp; AA1128,
       AA1128)
)</f>
        <v/>
      </c>
      <c r="F1128" s="206"/>
      <c r="G1128" s="206"/>
      <c r="H1128" s="206"/>
      <c r="I1128" s="206"/>
      <c r="J1128" s="206" t="str">
        <f t="shared" si="251"/>
        <v/>
      </c>
      <c r="K1128" s="206" t="str">
        <f t="shared" si="253"/>
        <v/>
      </c>
      <c r="L1128" s="206" t="str">
        <f t="shared" si="254"/>
        <v/>
      </c>
      <c r="M1128" s="206" t="str">
        <f t="shared" si="255"/>
        <v/>
      </c>
      <c r="N1128" s="206" t="str">
        <f t="shared" si="256"/>
        <v/>
      </c>
      <c r="O1128" s="206" t="str">
        <f t="shared" si="257"/>
        <v/>
      </c>
      <c r="P1128" s="84" t="str">
        <f t="shared" si="258"/>
        <v/>
      </c>
      <c r="Q1128" s="205"/>
      <c r="R1128" s="70" t="str">
        <f>IF(S1128="IN",'BOM_Phan II'!$Y$3,"")</f>
        <v/>
      </c>
      <c r="S1128" s="69" t="str">
        <f t="shared" si="250"/>
        <v/>
      </c>
      <c r="T1128">
        <f t="shared" si="259"/>
        <v>3</v>
      </c>
      <c r="U1128" t="str">
        <f t="shared" si="247"/>
        <v>KIỆN 14</v>
      </c>
      <c r="V1128" t="str">
        <f t="shared" si="260"/>
        <v/>
      </c>
      <c r="W1128" s="266"/>
      <c r="X1128" s="266"/>
      <c r="Y1128" s="266" t="str">
        <f t="shared" si="252"/>
        <v/>
      </c>
      <c r="Z1128" s="266"/>
    </row>
    <row r="1129" spans="1:26" ht="27" hidden="1" customHeight="1">
      <c r="A1129" s="70" t="str">
        <f t="shared" si="248"/>
        <v/>
      </c>
      <c r="B1129" s="70" t="str">
        <f t="shared" si="249"/>
        <v/>
      </c>
      <c r="C1129" s="204" t="str" cm="1">
        <f t="array" ref="C1129">IF(D1129="","",
    IF(AND(ISNUMBER(D1129), D1129=INT(D1129)),
        $V$6 &amp; " " &amp; (IFERROR(MAX($Y$12:$Y1128), 0) + 1),
        IF(ISNUMBER(SEARCH(".", D1129)), "", INDEX($C$12:$C1129, MATCH(2, 1/($C$12:$C1129 &lt;&gt; ""))))
    )
)</f>
        <v/>
      </c>
      <c r="D1129" s="206"/>
      <c r="E1129" s="206" t="str">
        <f>IF(AA1129 = "", "",
    IF(ISNUMBER(SEARCH("Kiện", C1129)),
       " GÓI " &amp; COUNTIF($C$13:C1129, "*Kiện*") &amp; "/" &amp; COUNTIF($C$13:$C$1000, "*Kiện*") &amp; " " &amp; AA1129,
       AA1129)
)</f>
        <v/>
      </c>
      <c r="F1129" s="206"/>
      <c r="G1129" s="206"/>
      <c r="H1129" s="206"/>
      <c r="I1129" s="206"/>
      <c r="J1129" s="206" t="str">
        <f t="shared" si="251"/>
        <v/>
      </c>
      <c r="K1129" s="206" t="str">
        <f t="shared" si="253"/>
        <v/>
      </c>
      <c r="L1129" s="206" t="str">
        <f t="shared" si="254"/>
        <v/>
      </c>
      <c r="M1129" s="206" t="str">
        <f t="shared" si="255"/>
        <v/>
      </c>
      <c r="N1129" s="206" t="str">
        <f t="shared" si="256"/>
        <v/>
      </c>
      <c r="O1129" s="206" t="str">
        <f t="shared" si="257"/>
        <v/>
      </c>
      <c r="P1129" s="84" t="str">
        <f t="shared" si="258"/>
        <v/>
      </c>
      <c r="Q1129" s="205"/>
      <c r="R1129" s="70" t="str">
        <f>IF(S1129="IN",'BOM_Phan II'!$Y$3,"")</f>
        <v/>
      </c>
      <c r="S1129" s="69" t="str">
        <f t="shared" si="250"/>
        <v/>
      </c>
      <c r="T1129">
        <f t="shared" si="259"/>
        <v>3</v>
      </c>
      <c r="U1129" t="str">
        <f t="shared" si="247"/>
        <v>KIỆN 14</v>
      </c>
      <c r="V1129" t="str">
        <f t="shared" si="260"/>
        <v/>
      </c>
      <c r="W1129" s="266"/>
      <c r="X1129" s="266"/>
      <c r="Y1129" s="266" t="str">
        <f t="shared" si="252"/>
        <v/>
      </c>
      <c r="Z1129" s="266"/>
    </row>
    <row r="1130" spans="1:26" ht="27" hidden="1" customHeight="1">
      <c r="A1130" s="70" t="str">
        <f t="shared" si="248"/>
        <v/>
      </c>
      <c r="B1130" s="70" t="str">
        <f t="shared" si="249"/>
        <v/>
      </c>
      <c r="C1130" s="204" t="str" cm="1">
        <f t="array" ref="C1130">IF(D1130="","",
    IF(AND(ISNUMBER(D1130), D1130=INT(D1130)),
        $V$6 &amp; " " &amp; (IFERROR(MAX($Y$12:$Y1129), 0) + 1),
        IF(ISNUMBER(SEARCH(".", D1130)), "", INDEX($C$12:$C1130, MATCH(2, 1/($C$12:$C1130 &lt;&gt; ""))))
    )
)</f>
        <v/>
      </c>
      <c r="D1130" s="206"/>
      <c r="E1130" s="206" t="str">
        <f>IF(AA1130 = "", "",
    IF(ISNUMBER(SEARCH("Kiện", C1130)),
       " GÓI " &amp; COUNTIF($C$13:C1130, "*Kiện*") &amp; "/" &amp; COUNTIF($C$13:$C$1000, "*Kiện*") &amp; " " &amp; AA1130,
       AA1130)
)</f>
        <v/>
      </c>
      <c r="F1130" s="206"/>
      <c r="G1130" s="206"/>
      <c r="H1130" s="206"/>
      <c r="I1130" s="206"/>
      <c r="J1130" s="206" t="str">
        <f t="shared" si="251"/>
        <v/>
      </c>
      <c r="K1130" s="206" t="str">
        <f t="shared" si="253"/>
        <v/>
      </c>
      <c r="L1130" s="206" t="str">
        <f t="shared" si="254"/>
        <v/>
      </c>
      <c r="M1130" s="206" t="str">
        <f t="shared" si="255"/>
        <v/>
      </c>
      <c r="N1130" s="206" t="str">
        <f t="shared" si="256"/>
        <v/>
      </c>
      <c r="O1130" s="206" t="str">
        <f t="shared" si="257"/>
        <v/>
      </c>
      <c r="P1130" s="84" t="str">
        <f t="shared" si="258"/>
        <v/>
      </c>
      <c r="Q1130" s="205"/>
      <c r="R1130" s="70" t="str">
        <f>IF(S1130="IN",'BOM_Phan II'!$Y$3,"")</f>
        <v/>
      </c>
      <c r="S1130" s="69" t="str">
        <f t="shared" si="250"/>
        <v/>
      </c>
      <c r="T1130">
        <f t="shared" si="259"/>
        <v>3</v>
      </c>
      <c r="U1130" t="str">
        <f t="shared" si="247"/>
        <v>KIỆN 14</v>
      </c>
      <c r="V1130" t="str">
        <f t="shared" si="260"/>
        <v/>
      </c>
      <c r="W1130" s="266"/>
      <c r="X1130" s="266"/>
      <c r="Y1130" s="266" t="str">
        <f t="shared" si="252"/>
        <v/>
      </c>
      <c r="Z1130" s="266"/>
    </row>
    <row r="1131" spans="1:26" ht="27" hidden="1" customHeight="1">
      <c r="A1131" s="70" t="str">
        <f t="shared" si="248"/>
        <v/>
      </c>
      <c r="B1131" s="70" t="str">
        <f t="shared" si="249"/>
        <v/>
      </c>
      <c r="C1131" s="204" t="str" cm="1">
        <f t="array" ref="C1131">IF(D1131="","",
    IF(AND(ISNUMBER(D1131), D1131=INT(D1131)),
        $V$6 &amp; " " &amp; (IFERROR(MAX($Y$12:$Y1130), 0) + 1),
        IF(ISNUMBER(SEARCH(".", D1131)), "", INDEX($C$12:$C1131, MATCH(2, 1/($C$12:$C1131 &lt;&gt; ""))))
    )
)</f>
        <v/>
      </c>
      <c r="D1131" s="206"/>
      <c r="E1131" s="206" t="str">
        <f>IF(AA1131 = "", "",
    IF(ISNUMBER(SEARCH("Kiện", C1131)),
       " GÓI " &amp; COUNTIF($C$13:C1131, "*Kiện*") &amp; "/" &amp; COUNTIF($C$13:$C$1000, "*Kiện*") &amp; " " &amp; AA1131,
       AA1131)
)</f>
        <v/>
      </c>
      <c r="F1131" s="206"/>
      <c r="G1131" s="206"/>
      <c r="H1131" s="206"/>
      <c r="I1131" s="206"/>
      <c r="J1131" s="206" t="str">
        <f t="shared" si="251"/>
        <v/>
      </c>
      <c r="K1131" s="206" t="str">
        <f t="shared" si="253"/>
        <v/>
      </c>
      <c r="L1131" s="206" t="str">
        <f t="shared" si="254"/>
        <v/>
      </c>
      <c r="M1131" s="206" t="str">
        <f t="shared" si="255"/>
        <v/>
      </c>
      <c r="N1131" s="206" t="str">
        <f t="shared" si="256"/>
        <v/>
      </c>
      <c r="O1131" s="206" t="str">
        <f t="shared" si="257"/>
        <v/>
      </c>
      <c r="P1131" s="84" t="str">
        <f t="shared" si="258"/>
        <v/>
      </c>
      <c r="Q1131" s="205"/>
      <c r="R1131" s="70" t="str">
        <f>IF(S1131="IN",'BOM_Phan II'!$Y$3,"")</f>
        <v/>
      </c>
      <c r="S1131" s="69" t="str">
        <f t="shared" si="250"/>
        <v/>
      </c>
      <c r="T1131">
        <f t="shared" si="259"/>
        <v>3</v>
      </c>
      <c r="U1131" t="str">
        <f t="shared" si="247"/>
        <v>KIỆN 14</v>
      </c>
      <c r="V1131" t="str">
        <f t="shared" si="260"/>
        <v/>
      </c>
      <c r="W1131" s="266"/>
      <c r="X1131" s="266"/>
      <c r="Y1131" s="266" t="str">
        <f t="shared" si="252"/>
        <v/>
      </c>
      <c r="Z1131" s="266"/>
    </row>
    <row r="1132" spans="1:26" ht="27" hidden="1" customHeight="1">
      <c r="A1132" s="70" t="str">
        <f t="shared" si="248"/>
        <v/>
      </c>
      <c r="B1132" s="70" t="str">
        <f t="shared" si="249"/>
        <v/>
      </c>
      <c r="C1132" s="204" t="str" cm="1">
        <f t="array" ref="C1132">IF(D1132="","",
    IF(AND(ISNUMBER(D1132), D1132=INT(D1132)),
        $V$6 &amp; " " &amp; (IFERROR(MAX($Y$12:$Y1131), 0) + 1),
        IF(ISNUMBER(SEARCH(".", D1132)), "", INDEX($C$12:$C1132, MATCH(2, 1/($C$12:$C1132 &lt;&gt; ""))))
    )
)</f>
        <v/>
      </c>
      <c r="D1132" s="206"/>
      <c r="E1132" s="206" t="str">
        <f>IF(AA1132 = "", "",
    IF(ISNUMBER(SEARCH("Kiện", C1132)),
       " GÓI " &amp; COUNTIF($C$13:C1132, "*Kiện*") &amp; "/" &amp; COUNTIF($C$13:$C$1000, "*Kiện*") &amp; " " &amp; AA1132,
       AA1132)
)</f>
        <v/>
      </c>
      <c r="F1132" s="206"/>
      <c r="G1132" s="206"/>
      <c r="H1132" s="206"/>
      <c r="I1132" s="206"/>
      <c r="J1132" s="206" t="str">
        <f t="shared" si="251"/>
        <v/>
      </c>
      <c r="K1132" s="206" t="str">
        <f t="shared" si="253"/>
        <v/>
      </c>
      <c r="L1132" s="206" t="str">
        <f t="shared" si="254"/>
        <v/>
      </c>
      <c r="M1132" s="206" t="str">
        <f t="shared" si="255"/>
        <v/>
      </c>
      <c r="N1132" s="206" t="str">
        <f t="shared" si="256"/>
        <v/>
      </c>
      <c r="O1132" s="206" t="str">
        <f t="shared" si="257"/>
        <v/>
      </c>
      <c r="P1132" s="84" t="str">
        <f t="shared" si="258"/>
        <v/>
      </c>
      <c r="Q1132" s="205"/>
      <c r="R1132" s="70" t="str">
        <f>IF(S1132="IN",'BOM_Phan II'!$Y$3,"")</f>
        <v/>
      </c>
      <c r="S1132" s="69" t="str">
        <f t="shared" si="250"/>
        <v/>
      </c>
      <c r="T1132">
        <f t="shared" si="259"/>
        <v>3</v>
      </c>
      <c r="U1132" t="str">
        <f t="shared" si="247"/>
        <v>KIỆN 14</v>
      </c>
      <c r="V1132" t="str">
        <f t="shared" si="260"/>
        <v/>
      </c>
      <c r="W1132" s="266"/>
      <c r="X1132" s="266"/>
      <c r="Y1132" s="266" t="str">
        <f t="shared" si="252"/>
        <v/>
      </c>
      <c r="Z1132" s="266"/>
    </row>
    <row r="1133" spans="1:26" ht="27" hidden="1" customHeight="1">
      <c r="A1133" s="70" t="str">
        <f t="shared" si="248"/>
        <v/>
      </c>
      <c r="B1133" s="70" t="str">
        <f t="shared" si="249"/>
        <v/>
      </c>
      <c r="C1133" s="204" t="str" cm="1">
        <f t="array" ref="C1133">IF(D1133="","",
    IF(AND(ISNUMBER(D1133), D1133=INT(D1133)),
        $V$6 &amp; " " &amp; (IFERROR(MAX($Y$12:$Y1132), 0) + 1),
        IF(ISNUMBER(SEARCH(".", D1133)), "", INDEX($C$12:$C1133, MATCH(2, 1/($C$12:$C1133 &lt;&gt; ""))))
    )
)</f>
        <v/>
      </c>
      <c r="D1133" s="206"/>
      <c r="E1133" s="206" t="str">
        <f>IF(AA1133 = "", "",
    IF(ISNUMBER(SEARCH("Kiện", C1133)),
       " GÓI " &amp; COUNTIF($C$13:C1133, "*Kiện*") &amp; "/" &amp; COUNTIF($C$13:$C$1000, "*Kiện*") &amp; " " &amp; AA1133,
       AA1133)
)</f>
        <v/>
      </c>
      <c r="F1133" s="206"/>
      <c r="G1133" s="206"/>
      <c r="H1133" s="206"/>
      <c r="I1133" s="206"/>
      <c r="J1133" s="206" t="str">
        <f t="shared" si="251"/>
        <v/>
      </c>
      <c r="K1133" s="206" t="str">
        <f t="shared" si="253"/>
        <v/>
      </c>
      <c r="L1133" s="206" t="str">
        <f t="shared" si="254"/>
        <v/>
      </c>
      <c r="M1133" s="206" t="str">
        <f t="shared" si="255"/>
        <v/>
      </c>
      <c r="N1133" s="206" t="str">
        <f t="shared" si="256"/>
        <v/>
      </c>
      <c r="O1133" s="206" t="str">
        <f t="shared" si="257"/>
        <v/>
      </c>
      <c r="P1133" s="84" t="str">
        <f t="shared" si="258"/>
        <v/>
      </c>
      <c r="Q1133" s="205"/>
      <c r="R1133" s="70" t="str">
        <f>IF(S1133="IN",'BOM_Phan II'!$Y$3,"")</f>
        <v/>
      </c>
      <c r="S1133" s="69" t="str">
        <f t="shared" si="250"/>
        <v/>
      </c>
      <c r="T1133">
        <f t="shared" si="259"/>
        <v>3</v>
      </c>
      <c r="U1133" t="str">
        <f t="shared" si="247"/>
        <v>KIỆN 14</v>
      </c>
      <c r="V1133" t="str">
        <f t="shared" si="260"/>
        <v/>
      </c>
      <c r="W1133" s="266"/>
      <c r="X1133" s="266"/>
      <c r="Y1133" s="266" t="str">
        <f t="shared" si="252"/>
        <v/>
      </c>
      <c r="Z1133" s="266"/>
    </row>
    <row r="1134" spans="1:26" ht="27" hidden="1" customHeight="1">
      <c r="A1134" s="70" t="str">
        <f t="shared" si="248"/>
        <v/>
      </c>
      <c r="B1134" s="70" t="str">
        <f t="shared" si="249"/>
        <v/>
      </c>
      <c r="C1134" s="204" t="str" cm="1">
        <f t="array" ref="C1134">IF(D1134="","",
    IF(AND(ISNUMBER(D1134), D1134=INT(D1134)),
        $V$6 &amp; " " &amp; (IFERROR(MAX($Y$12:$Y1133), 0) + 1),
        IF(ISNUMBER(SEARCH(".", D1134)), "", INDEX($C$12:$C1134, MATCH(2, 1/($C$12:$C1134 &lt;&gt; ""))))
    )
)</f>
        <v/>
      </c>
      <c r="D1134" s="206"/>
      <c r="E1134" s="206" t="str">
        <f>IF(AA1134 = "", "",
    IF(ISNUMBER(SEARCH("Kiện", C1134)),
       " GÓI " &amp; COUNTIF($C$13:C1134, "*Kiện*") &amp; "/" &amp; COUNTIF($C$13:$C$1000, "*Kiện*") &amp; " " &amp; AA1134,
       AA1134)
)</f>
        <v/>
      </c>
      <c r="F1134" s="206"/>
      <c r="G1134" s="206"/>
      <c r="H1134" s="206"/>
      <c r="I1134" s="206"/>
      <c r="J1134" s="206" t="str">
        <f t="shared" si="251"/>
        <v/>
      </c>
      <c r="K1134" s="206" t="str">
        <f t="shared" si="253"/>
        <v/>
      </c>
      <c r="L1134" s="206" t="str">
        <f t="shared" si="254"/>
        <v/>
      </c>
      <c r="M1134" s="206" t="str">
        <f t="shared" si="255"/>
        <v/>
      </c>
      <c r="N1134" s="206" t="str">
        <f t="shared" si="256"/>
        <v/>
      </c>
      <c r="O1134" s="206" t="str">
        <f t="shared" si="257"/>
        <v/>
      </c>
      <c r="P1134" s="84" t="str">
        <f t="shared" si="258"/>
        <v/>
      </c>
      <c r="Q1134" s="205"/>
      <c r="R1134" s="70" t="str">
        <f>IF(S1134="IN",'BOM_Phan II'!$Y$3,"")</f>
        <v/>
      </c>
      <c r="S1134" s="69" t="str">
        <f t="shared" si="250"/>
        <v/>
      </c>
      <c r="T1134">
        <f t="shared" si="259"/>
        <v>3</v>
      </c>
      <c r="U1134" t="str">
        <f t="shared" si="247"/>
        <v>KIỆN 14</v>
      </c>
      <c r="V1134" t="str">
        <f t="shared" si="260"/>
        <v/>
      </c>
      <c r="W1134" s="266"/>
      <c r="X1134" s="266"/>
      <c r="Y1134" s="266" t="str">
        <f t="shared" si="252"/>
        <v/>
      </c>
      <c r="Z1134" s="266"/>
    </row>
    <row r="1135" spans="1:26" ht="27" hidden="1" customHeight="1">
      <c r="A1135" s="70" t="str">
        <f t="shared" si="248"/>
        <v/>
      </c>
      <c r="B1135" s="70" t="str">
        <f t="shared" si="249"/>
        <v/>
      </c>
      <c r="C1135" s="204" t="str" cm="1">
        <f t="array" ref="C1135">IF(D1135="","",
    IF(AND(ISNUMBER(D1135), D1135=INT(D1135)),
        $V$6 &amp; " " &amp; (IFERROR(MAX($Y$12:$Y1134), 0) + 1),
        IF(ISNUMBER(SEARCH(".", D1135)), "", INDEX($C$12:$C1135, MATCH(2, 1/($C$12:$C1135 &lt;&gt; ""))))
    )
)</f>
        <v/>
      </c>
      <c r="D1135" s="206"/>
      <c r="E1135" s="206" t="str">
        <f>IF(AA1135 = "", "",
    IF(ISNUMBER(SEARCH("Kiện", C1135)),
       " GÓI " &amp; COUNTIF($C$13:C1135, "*Kiện*") &amp; "/" &amp; COUNTIF($C$13:$C$1000, "*Kiện*") &amp; " " &amp; AA1135,
       AA1135)
)</f>
        <v/>
      </c>
      <c r="F1135" s="206"/>
      <c r="G1135" s="206"/>
      <c r="H1135" s="206"/>
      <c r="I1135" s="206"/>
      <c r="J1135" s="206" t="str">
        <f t="shared" si="251"/>
        <v/>
      </c>
      <c r="K1135" s="206" t="str">
        <f t="shared" si="253"/>
        <v/>
      </c>
      <c r="L1135" s="206" t="str">
        <f t="shared" si="254"/>
        <v/>
      </c>
      <c r="M1135" s="206" t="str">
        <f t="shared" si="255"/>
        <v/>
      </c>
      <c r="N1135" s="206" t="str">
        <f t="shared" si="256"/>
        <v/>
      </c>
      <c r="O1135" s="206" t="str">
        <f t="shared" si="257"/>
        <v/>
      </c>
      <c r="P1135" s="84" t="str">
        <f t="shared" si="258"/>
        <v/>
      </c>
      <c r="Q1135" s="205"/>
      <c r="R1135" s="70" t="str">
        <f>IF(S1135="IN",'BOM_Phan II'!$Y$3,"")</f>
        <v/>
      </c>
      <c r="S1135" s="69" t="str">
        <f t="shared" si="250"/>
        <v/>
      </c>
      <c r="T1135">
        <f t="shared" si="259"/>
        <v>3</v>
      </c>
      <c r="U1135" t="str">
        <f t="shared" si="247"/>
        <v>KIỆN 14</v>
      </c>
      <c r="V1135" t="str">
        <f t="shared" si="260"/>
        <v/>
      </c>
      <c r="W1135" s="266"/>
      <c r="X1135" s="266"/>
      <c r="Y1135" s="266" t="str">
        <f t="shared" si="252"/>
        <v/>
      </c>
      <c r="Z1135" s="266"/>
    </row>
    <row r="1136" spans="1:26" ht="27" hidden="1" customHeight="1">
      <c r="A1136" s="70" t="str">
        <f t="shared" si="248"/>
        <v/>
      </c>
      <c r="B1136" s="70" t="str">
        <f t="shared" si="249"/>
        <v/>
      </c>
      <c r="C1136" s="204" t="str" cm="1">
        <f t="array" ref="C1136">IF(D1136="","",
    IF(AND(ISNUMBER(D1136), D1136=INT(D1136)),
        $V$6 &amp; " " &amp; (IFERROR(MAX($Y$12:$Y1135), 0) + 1),
        IF(ISNUMBER(SEARCH(".", D1136)), "", INDEX($C$12:$C1136, MATCH(2, 1/($C$12:$C1136 &lt;&gt; ""))))
    )
)</f>
        <v/>
      </c>
      <c r="D1136" s="206"/>
      <c r="E1136" s="206" t="str">
        <f>IF(AA1136 = "", "",
    IF(ISNUMBER(SEARCH("Kiện", C1136)),
       " GÓI " &amp; COUNTIF($C$13:C1136, "*Kiện*") &amp; "/" &amp; COUNTIF($C$13:$C$1000, "*Kiện*") &amp; " " &amp; AA1136,
       AA1136)
)</f>
        <v/>
      </c>
      <c r="F1136" s="206"/>
      <c r="G1136" s="206"/>
      <c r="H1136" s="206"/>
      <c r="I1136" s="206"/>
      <c r="J1136" s="206" t="str">
        <f t="shared" si="251"/>
        <v/>
      </c>
      <c r="K1136" s="206" t="str">
        <f t="shared" si="253"/>
        <v/>
      </c>
      <c r="L1136" s="206" t="str">
        <f t="shared" si="254"/>
        <v/>
      </c>
      <c r="M1136" s="206" t="str">
        <f t="shared" si="255"/>
        <v/>
      </c>
      <c r="N1136" s="206" t="str">
        <f t="shared" si="256"/>
        <v/>
      </c>
      <c r="O1136" s="206" t="str">
        <f t="shared" si="257"/>
        <v/>
      </c>
      <c r="P1136" s="84" t="str">
        <f t="shared" si="258"/>
        <v/>
      </c>
      <c r="Q1136" s="205"/>
      <c r="R1136" s="70" t="str">
        <f>IF(S1136="IN",'BOM_Phan II'!$Y$3,"")</f>
        <v/>
      </c>
      <c r="S1136" s="69" t="str">
        <f t="shared" si="250"/>
        <v/>
      </c>
      <c r="T1136">
        <f t="shared" si="259"/>
        <v>3</v>
      </c>
      <c r="U1136" t="str">
        <f t="shared" si="247"/>
        <v>KIỆN 14</v>
      </c>
      <c r="V1136" t="str">
        <f t="shared" si="260"/>
        <v/>
      </c>
      <c r="W1136" s="266"/>
      <c r="X1136" s="266"/>
      <c r="Y1136" s="266" t="str">
        <f t="shared" si="252"/>
        <v/>
      </c>
      <c r="Z1136" s="266"/>
    </row>
    <row r="1137" spans="1:26" ht="27" hidden="1" customHeight="1">
      <c r="A1137" s="70" t="str">
        <f t="shared" si="248"/>
        <v/>
      </c>
      <c r="B1137" s="70" t="str">
        <f t="shared" si="249"/>
        <v/>
      </c>
      <c r="C1137" s="204" t="str" cm="1">
        <f t="array" ref="C1137">IF(D1137="","",
    IF(AND(ISNUMBER(D1137), D1137=INT(D1137)),
        $V$6 &amp; " " &amp; (IFERROR(MAX($Y$12:$Y1136), 0) + 1),
        IF(ISNUMBER(SEARCH(".", D1137)), "", INDEX($C$12:$C1137, MATCH(2, 1/($C$12:$C1137 &lt;&gt; ""))))
    )
)</f>
        <v/>
      </c>
      <c r="D1137" s="206"/>
      <c r="E1137" s="206" t="str">
        <f>IF(AA1137 = "", "",
    IF(ISNUMBER(SEARCH("Kiện", C1137)),
       " GÓI " &amp; COUNTIF($C$13:C1137, "*Kiện*") &amp; "/" &amp; COUNTIF($C$13:$C$1000, "*Kiện*") &amp; " " &amp; AA1137,
       AA1137)
)</f>
        <v/>
      </c>
      <c r="F1137" s="206"/>
      <c r="G1137" s="206"/>
      <c r="H1137" s="206"/>
      <c r="I1137" s="206"/>
      <c r="J1137" s="206" t="str">
        <f t="shared" si="251"/>
        <v/>
      </c>
      <c r="K1137" s="206" t="str">
        <f t="shared" si="253"/>
        <v/>
      </c>
      <c r="L1137" s="206" t="str">
        <f t="shared" si="254"/>
        <v/>
      </c>
      <c r="M1137" s="206" t="str">
        <f t="shared" si="255"/>
        <v/>
      </c>
      <c r="N1137" s="206" t="str">
        <f t="shared" si="256"/>
        <v/>
      </c>
      <c r="O1137" s="206" t="str">
        <f t="shared" si="257"/>
        <v/>
      </c>
      <c r="P1137" s="84" t="str">
        <f t="shared" si="258"/>
        <v/>
      </c>
      <c r="Q1137" s="205"/>
      <c r="R1137" s="70" t="str">
        <f>IF(S1137="IN",'BOM_Phan II'!$Y$3,"")</f>
        <v/>
      </c>
      <c r="S1137" s="69" t="str">
        <f t="shared" si="250"/>
        <v/>
      </c>
      <c r="T1137">
        <f t="shared" si="259"/>
        <v>3</v>
      </c>
      <c r="U1137" t="str">
        <f t="shared" si="247"/>
        <v>KIỆN 14</v>
      </c>
      <c r="V1137" t="str">
        <f t="shared" si="260"/>
        <v/>
      </c>
      <c r="W1137" s="266"/>
      <c r="X1137" s="266"/>
      <c r="Y1137" s="266" t="str">
        <f t="shared" si="252"/>
        <v/>
      </c>
      <c r="Z1137" s="266"/>
    </row>
    <row r="1138" spans="1:26" ht="27" hidden="1" customHeight="1">
      <c r="A1138" s="70" t="str">
        <f t="shared" si="248"/>
        <v/>
      </c>
      <c r="B1138" s="70" t="str">
        <f t="shared" si="249"/>
        <v/>
      </c>
      <c r="C1138" s="204" t="str" cm="1">
        <f t="array" ref="C1138">IF(D1138="","",
    IF(AND(ISNUMBER(D1138), D1138=INT(D1138)),
        $V$6 &amp; " " &amp; (IFERROR(MAX($Y$12:$Y1137), 0) + 1),
        IF(ISNUMBER(SEARCH(".", D1138)), "", INDEX($C$12:$C1138, MATCH(2, 1/($C$12:$C1138 &lt;&gt; ""))))
    )
)</f>
        <v/>
      </c>
      <c r="D1138" s="206"/>
      <c r="E1138" s="206" t="str">
        <f>IF(AA1138 = "", "",
    IF(ISNUMBER(SEARCH("Kiện", C1138)),
       " GÓI " &amp; COUNTIF($C$13:C1138, "*Kiện*") &amp; "/" &amp; COUNTIF($C$13:$C$1000, "*Kiện*") &amp; " " &amp; AA1138,
       AA1138)
)</f>
        <v/>
      </c>
      <c r="F1138" s="206"/>
      <c r="G1138" s="206"/>
      <c r="H1138" s="206"/>
      <c r="I1138" s="206"/>
      <c r="J1138" s="206" t="str">
        <f t="shared" si="251"/>
        <v/>
      </c>
      <c r="K1138" s="206" t="str">
        <f t="shared" si="253"/>
        <v/>
      </c>
      <c r="L1138" s="206" t="str">
        <f t="shared" si="254"/>
        <v/>
      </c>
      <c r="M1138" s="206" t="str">
        <f t="shared" si="255"/>
        <v/>
      </c>
      <c r="N1138" s="206" t="str">
        <f t="shared" si="256"/>
        <v/>
      </c>
      <c r="O1138" s="206" t="str">
        <f t="shared" si="257"/>
        <v/>
      </c>
      <c r="P1138" s="84" t="str">
        <f t="shared" si="258"/>
        <v/>
      </c>
      <c r="Q1138" s="205"/>
      <c r="R1138" s="70" t="str">
        <f>IF(S1138="IN",'BOM_Phan II'!$Y$3,"")</f>
        <v/>
      </c>
      <c r="S1138" s="69" t="str">
        <f t="shared" si="250"/>
        <v/>
      </c>
      <c r="T1138">
        <f t="shared" si="259"/>
        <v>3</v>
      </c>
      <c r="U1138" t="str">
        <f t="shared" si="247"/>
        <v>KIỆN 14</v>
      </c>
      <c r="V1138" t="str">
        <f t="shared" si="260"/>
        <v/>
      </c>
      <c r="W1138" s="266"/>
      <c r="X1138" s="266"/>
      <c r="Y1138" s="266" t="str">
        <f t="shared" si="252"/>
        <v/>
      </c>
      <c r="Z1138" s="266"/>
    </row>
    <row r="1139" spans="1:26" ht="27" hidden="1" customHeight="1">
      <c r="A1139" s="70" t="str">
        <f t="shared" si="248"/>
        <v/>
      </c>
      <c r="B1139" s="70" t="str">
        <f t="shared" si="249"/>
        <v/>
      </c>
      <c r="C1139" s="204" t="str" cm="1">
        <f t="array" ref="C1139">IF(D1139="","",
    IF(AND(ISNUMBER(D1139), D1139=INT(D1139)),
        $V$6 &amp; " " &amp; (IFERROR(MAX($Y$12:$Y1138), 0) + 1),
        IF(ISNUMBER(SEARCH(".", D1139)), "", INDEX($C$12:$C1139, MATCH(2, 1/($C$12:$C1139 &lt;&gt; ""))))
    )
)</f>
        <v/>
      </c>
      <c r="D1139" s="206"/>
      <c r="E1139" s="206" t="str">
        <f>IF(AA1139 = "", "",
    IF(ISNUMBER(SEARCH("Kiện", C1139)),
       " GÓI " &amp; COUNTIF($C$13:C1139, "*Kiện*") &amp; "/" &amp; COUNTIF($C$13:$C$1000, "*Kiện*") &amp; " " &amp; AA1139,
       AA1139)
)</f>
        <v/>
      </c>
      <c r="F1139" s="206"/>
      <c r="G1139" s="206"/>
      <c r="H1139" s="206"/>
      <c r="I1139" s="206"/>
      <c r="J1139" s="206" t="str">
        <f t="shared" si="251"/>
        <v/>
      </c>
      <c r="K1139" s="206" t="str">
        <f t="shared" si="253"/>
        <v/>
      </c>
      <c r="L1139" s="206" t="str">
        <f t="shared" si="254"/>
        <v/>
      </c>
      <c r="M1139" s="206" t="str">
        <f t="shared" si="255"/>
        <v/>
      </c>
      <c r="N1139" s="206" t="str">
        <f t="shared" si="256"/>
        <v/>
      </c>
      <c r="O1139" s="206" t="str">
        <f t="shared" si="257"/>
        <v/>
      </c>
      <c r="P1139" s="84" t="str">
        <f t="shared" si="258"/>
        <v/>
      </c>
      <c r="Q1139" s="205"/>
      <c r="R1139" s="70" t="str">
        <f>IF(S1139="IN",'BOM_Phan II'!$Y$3,"")</f>
        <v/>
      </c>
      <c r="S1139" s="69" t="str">
        <f t="shared" si="250"/>
        <v/>
      </c>
      <c r="T1139">
        <f t="shared" si="259"/>
        <v>3</v>
      </c>
      <c r="U1139" t="str">
        <f t="shared" si="247"/>
        <v>KIỆN 14</v>
      </c>
      <c r="V1139" t="str">
        <f t="shared" si="260"/>
        <v/>
      </c>
      <c r="W1139" s="266"/>
      <c r="X1139" s="266"/>
      <c r="Y1139" s="266" t="str">
        <f t="shared" si="252"/>
        <v/>
      </c>
      <c r="Z1139" s="266"/>
    </row>
    <row r="1140" spans="1:26" ht="27" hidden="1" customHeight="1">
      <c r="A1140" s="70" t="str">
        <f t="shared" si="248"/>
        <v/>
      </c>
      <c r="B1140" s="70" t="str">
        <f t="shared" si="249"/>
        <v/>
      </c>
      <c r="C1140" s="204" t="str" cm="1">
        <f t="array" ref="C1140">IF(D1140="","",
    IF(AND(ISNUMBER(D1140), D1140=INT(D1140)),
        $V$6 &amp; " " &amp; (IFERROR(MAX($Y$12:$Y1139), 0) + 1),
        IF(ISNUMBER(SEARCH(".", D1140)), "", INDEX($C$12:$C1140, MATCH(2, 1/($C$12:$C1140 &lt;&gt; ""))))
    )
)</f>
        <v/>
      </c>
      <c r="D1140" s="206"/>
      <c r="E1140" s="206" t="str">
        <f>IF(AA1140 = "", "",
    IF(ISNUMBER(SEARCH("Kiện", C1140)),
       " GÓI " &amp; COUNTIF($C$13:C1140, "*Kiện*") &amp; "/" &amp; COUNTIF($C$13:$C$1000, "*Kiện*") &amp; " " &amp; AA1140,
       AA1140)
)</f>
        <v/>
      </c>
      <c r="F1140" s="206"/>
      <c r="G1140" s="206"/>
      <c r="H1140" s="206"/>
      <c r="I1140" s="206"/>
      <c r="J1140" s="206" t="str">
        <f t="shared" si="251"/>
        <v/>
      </c>
      <c r="K1140" s="206" t="str">
        <f t="shared" si="253"/>
        <v/>
      </c>
      <c r="L1140" s="206" t="str">
        <f t="shared" si="254"/>
        <v/>
      </c>
      <c r="M1140" s="206" t="str">
        <f t="shared" si="255"/>
        <v/>
      </c>
      <c r="N1140" s="206" t="str">
        <f t="shared" si="256"/>
        <v/>
      </c>
      <c r="O1140" s="206" t="str">
        <f t="shared" si="257"/>
        <v/>
      </c>
      <c r="P1140" s="84" t="str">
        <f t="shared" si="258"/>
        <v/>
      </c>
      <c r="Q1140" s="205"/>
      <c r="R1140" s="70" t="str">
        <f>IF(S1140="IN",'BOM_Phan II'!$Y$3,"")</f>
        <v/>
      </c>
      <c r="S1140" s="69" t="str">
        <f t="shared" si="250"/>
        <v/>
      </c>
      <c r="T1140">
        <f t="shared" si="259"/>
        <v>3</v>
      </c>
      <c r="U1140" t="str">
        <f t="shared" si="247"/>
        <v>KIỆN 14</v>
      </c>
      <c r="V1140" t="str">
        <f t="shared" si="260"/>
        <v/>
      </c>
      <c r="W1140" s="266"/>
      <c r="X1140" s="266"/>
      <c r="Y1140" s="266" t="str">
        <f t="shared" si="252"/>
        <v/>
      </c>
      <c r="Z1140" s="266"/>
    </row>
    <row r="1141" spans="1:26" ht="27" hidden="1" customHeight="1">
      <c r="A1141" s="70" t="str">
        <f t="shared" si="248"/>
        <v/>
      </c>
      <c r="B1141" s="70" t="str">
        <f t="shared" si="249"/>
        <v/>
      </c>
      <c r="C1141" s="204" t="str" cm="1">
        <f t="array" ref="C1141">IF(D1141="","",
    IF(AND(ISNUMBER(D1141), D1141=INT(D1141)),
        $V$6 &amp; " " &amp; (IFERROR(MAX($Y$12:$Y1140), 0) + 1),
        IF(ISNUMBER(SEARCH(".", D1141)), "", INDEX($C$12:$C1141, MATCH(2, 1/($C$12:$C1141 &lt;&gt; ""))))
    )
)</f>
        <v/>
      </c>
      <c r="D1141" s="206"/>
      <c r="E1141" s="206" t="str">
        <f>IF(AA1141 = "", "",
    IF(ISNUMBER(SEARCH("Kiện", C1141)),
       " GÓI " &amp; COUNTIF($C$13:C1141, "*Kiện*") &amp; "/" &amp; COUNTIF($C$13:$C$1000, "*Kiện*") &amp; " " &amp; AA1141,
       AA1141)
)</f>
        <v/>
      </c>
      <c r="F1141" s="206"/>
      <c r="G1141" s="206"/>
      <c r="H1141" s="206"/>
      <c r="I1141" s="206"/>
      <c r="J1141" s="206" t="str">
        <f t="shared" si="251"/>
        <v/>
      </c>
      <c r="K1141" s="206" t="str">
        <f t="shared" si="253"/>
        <v/>
      </c>
      <c r="L1141" s="206" t="str">
        <f t="shared" si="254"/>
        <v/>
      </c>
      <c r="M1141" s="206" t="str">
        <f t="shared" si="255"/>
        <v/>
      </c>
      <c r="N1141" s="206" t="str">
        <f t="shared" si="256"/>
        <v/>
      </c>
      <c r="O1141" s="206" t="str">
        <f t="shared" si="257"/>
        <v/>
      </c>
      <c r="P1141" s="84" t="str">
        <f t="shared" si="258"/>
        <v/>
      </c>
      <c r="Q1141" s="205"/>
      <c r="R1141" s="70" t="str">
        <f>IF(S1141="IN",'BOM_Phan II'!$Y$3,"")</f>
        <v/>
      </c>
      <c r="S1141" s="69" t="str">
        <f t="shared" si="250"/>
        <v/>
      </c>
      <c r="T1141">
        <f t="shared" si="259"/>
        <v>3</v>
      </c>
      <c r="U1141" t="str">
        <f t="shared" si="247"/>
        <v>KIỆN 14</v>
      </c>
      <c r="V1141" t="str">
        <f t="shared" si="260"/>
        <v/>
      </c>
      <c r="W1141" s="266"/>
      <c r="X1141" s="266"/>
      <c r="Y1141" s="266" t="str">
        <f t="shared" si="252"/>
        <v/>
      </c>
      <c r="Z1141" s="266"/>
    </row>
    <row r="1142" spans="1:26" ht="27" hidden="1" customHeight="1">
      <c r="A1142" s="70" t="str">
        <f t="shared" si="248"/>
        <v/>
      </c>
      <c r="B1142" s="70" t="str">
        <f t="shared" si="249"/>
        <v/>
      </c>
      <c r="C1142" s="204" t="str" cm="1">
        <f t="array" ref="C1142">IF(D1142="","",
    IF(AND(ISNUMBER(D1142), D1142=INT(D1142)),
        $V$6 &amp; " " &amp; (IFERROR(MAX($Y$12:$Y1141), 0) + 1),
        IF(ISNUMBER(SEARCH(".", D1142)), "", INDEX($C$12:$C1142, MATCH(2, 1/($C$12:$C1142 &lt;&gt; ""))))
    )
)</f>
        <v/>
      </c>
      <c r="D1142" s="206"/>
      <c r="E1142" s="206" t="str">
        <f>IF(AA1142 = "", "",
    IF(ISNUMBER(SEARCH("Kiện", C1142)),
       " GÓI " &amp; COUNTIF($C$13:C1142, "*Kiện*") &amp; "/" &amp; COUNTIF($C$13:$C$1000, "*Kiện*") &amp; " " &amp; AA1142,
       AA1142)
)</f>
        <v/>
      </c>
      <c r="F1142" s="206"/>
      <c r="G1142" s="206"/>
      <c r="H1142" s="206"/>
      <c r="I1142" s="206"/>
      <c r="J1142" s="206" t="str">
        <f t="shared" si="251"/>
        <v/>
      </c>
      <c r="K1142" s="206" t="str">
        <f t="shared" si="253"/>
        <v/>
      </c>
      <c r="L1142" s="206" t="str">
        <f t="shared" si="254"/>
        <v/>
      </c>
      <c r="M1142" s="206" t="str">
        <f t="shared" si="255"/>
        <v/>
      </c>
      <c r="N1142" s="206" t="str">
        <f t="shared" si="256"/>
        <v/>
      </c>
      <c r="O1142" s="206" t="str">
        <f t="shared" si="257"/>
        <v/>
      </c>
      <c r="P1142" s="84" t="str">
        <f t="shared" si="258"/>
        <v/>
      </c>
      <c r="Q1142" s="205"/>
      <c r="R1142" s="70" t="str">
        <f>IF(S1142="IN",'BOM_Phan II'!$Y$3,"")</f>
        <v/>
      </c>
      <c r="S1142" s="69" t="str">
        <f t="shared" si="250"/>
        <v/>
      </c>
      <c r="T1142">
        <f t="shared" si="259"/>
        <v>3</v>
      </c>
      <c r="U1142" t="str">
        <f t="shared" si="247"/>
        <v>KIỆN 14</v>
      </c>
      <c r="V1142" t="str">
        <f t="shared" si="260"/>
        <v/>
      </c>
      <c r="W1142" s="266"/>
      <c r="X1142" s="266"/>
      <c r="Y1142" s="266" t="str">
        <f t="shared" si="252"/>
        <v/>
      </c>
      <c r="Z1142" s="266"/>
    </row>
    <row r="1143" spans="1:26" ht="27" hidden="1" customHeight="1">
      <c r="A1143" s="70" t="str">
        <f t="shared" si="248"/>
        <v/>
      </c>
      <c r="B1143" s="70" t="str">
        <f t="shared" si="249"/>
        <v/>
      </c>
      <c r="C1143" s="204" t="str" cm="1">
        <f t="array" ref="C1143">IF(D1143="","",
    IF(AND(ISNUMBER(D1143), D1143=INT(D1143)),
        $V$6 &amp; " " &amp; (IFERROR(MAX($Y$12:$Y1142), 0) + 1),
        IF(ISNUMBER(SEARCH(".", D1143)), "", INDEX($C$12:$C1143, MATCH(2, 1/($C$12:$C1143 &lt;&gt; ""))))
    )
)</f>
        <v/>
      </c>
      <c r="D1143" s="206"/>
      <c r="E1143" s="206" t="str">
        <f>IF(AA1143 = "", "",
    IF(ISNUMBER(SEARCH("Kiện", C1143)),
       " GÓI " &amp; COUNTIF($C$13:C1143, "*Kiện*") &amp; "/" &amp; COUNTIF($C$13:$C$1000, "*Kiện*") &amp; " " &amp; AA1143,
       AA1143)
)</f>
        <v/>
      </c>
      <c r="F1143" s="206"/>
      <c r="G1143" s="206"/>
      <c r="H1143" s="206"/>
      <c r="I1143" s="206"/>
      <c r="J1143" s="206" t="str">
        <f t="shared" si="251"/>
        <v/>
      </c>
      <c r="K1143" s="206" t="str">
        <f t="shared" si="253"/>
        <v/>
      </c>
      <c r="L1143" s="206" t="str">
        <f t="shared" si="254"/>
        <v/>
      </c>
      <c r="M1143" s="206" t="str">
        <f t="shared" si="255"/>
        <v/>
      </c>
      <c r="N1143" s="206" t="str">
        <f t="shared" si="256"/>
        <v/>
      </c>
      <c r="O1143" s="206" t="str">
        <f t="shared" si="257"/>
        <v/>
      </c>
      <c r="P1143" s="84" t="str">
        <f t="shared" si="258"/>
        <v/>
      </c>
      <c r="Q1143" s="205"/>
      <c r="R1143" s="70" t="str">
        <f>IF(S1143="IN",'BOM_Phan II'!$Y$3,"")</f>
        <v/>
      </c>
      <c r="S1143" s="69" t="str">
        <f t="shared" si="250"/>
        <v/>
      </c>
      <c r="T1143">
        <f t="shared" si="259"/>
        <v>3</v>
      </c>
      <c r="U1143" t="str">
        <f t="shared" si="247"/>
        <v>KIỆN 14</v>
      </c>
      <c r="V1143" t="str">
        <f t="shared" si="260"/>
        <v/>
      </c>
      <c r="W1143" s="266"/>
      <c r="X1143" s="266"/>
      <c r="Y1143" s="266" t="str">
        <f t="shared" si="252"/>
        <v/>
      </c>
      <c r="Z1143" s="266"/>
    </row>
    <row r="1144" spans="1:26" ht="27" hidden="1" customHeight="1">
      <c r="A1144" s="70" t="str">
        <f t="shared" si="248"/>
        <v/>
      </c>
      <c r="B1144" s="70" t="str">
        <f t="shared" si="249"/>
        <v/>
      </c>
      <c r="C1144" s="204" t="str" cm="1">
        <f t="array" ref="C1144">IF(D1144="","",
    IF(AND(ISNUMBER(D1144), D1144=INT(D1144)),
        $V$6 &amp; " " &amp; (IFERROR(MAX($Y$12:$Y1143), 0) + 1),
        IF(ISNUMBER(SEARCH(".", D1144)), "", INDEX($C$12:$C1144, MATCH(2, 1/($C$12:$C1144 &lt;&gt; ""))))
    )
)</f>
        <v/>
      </c>
      <c r="D1144" s="206"/>
      <c r="E1144" s="206" t="str">
        <f>IF(AA1144 = "", "",
    IF(ISNUMBER(SEARCH("Kiện", C1144)),
       " GÓI " &amp; COUNTIF($C$13:C1144, "*Kiện*") &amp; "/" &amp; COUNTIF($C$13:$C$1000, "*Kiện*") &amp; " " &amp; AA1144,
       AA1144)
)</f>
        <v/>
      </c>
      <c r="F1144" s="206"/>
      <c r="G1144" s="206"/>
      <c r="H1144" s="206"/>
      <c r="I1144" s="206"/>
      <c r="J1144" s="206" t="str">
        <f t="shared" si="251"/>
        <v/>
      </c>
      <c r="K1144" s="206" t="str">
        <f t="shared" si="253"/>
        <v/>
      </c>
      <c r="L1144" s="206" t="str">
        <f t="shared" si="254"/>
        <v/>
      </c>
      <c r="M1144" s="206" t="str">
        <f t="shared" si="255"/>
        <v/>
      </c>
      <c r="N1144" s="206" t="str">
        <f t="shared" si="256"/>
        <v/>
      </c>
      <c r="O1144" s="206" t="str">
        <f t="shared" si="257"/>
        <v/>
      </c>
      <c r="P1144" s="84" t="str">
        <f t="shared" si="258"/>
        <v/>
      </c>
      <c r="Q1144" s="205"/>
      <c r="R1144" s="70" t="str">
        <f>IF(S1144="IN",'BOM_Phan II'!$Y$3,"")</f>
        <v/>
      </c>
      <c r="S1144" s="69" t="str">
        <f t="shared" si="250"/>
        <v/>
      </c>
      <c r="T1144">
        <f t="shared" si="259"/>
        <v>3</v>
      </c>
      <c r="U1144" t="str">
        <f t="shared" si="247"/>
        <v>KIỆN 14</v>
      </c>
      <c r="V1144" t="str">
        <f t="shared" si="260"/>
        <v/>
      </c>
      <c r="W1144" s="266"/>
      <c r="X1144" s="266"/>
      <c r="Y1144" s="266" t="str">
        <f t="shared" si="252"/>
        <v/>
      </c>
      <c r="Z1144" s="266"/>
    </row>
    <row r="1145" spans="1:26" ht="27" hidden="1" customHeight="1">
      <c r="A1145" s="70" t="str">
        <f t="shared" si="248"/>
        <v/>
      </c>
      <c r="B1145" s="70" t="str">
        <f t="shared" si="249"/>
        <v/>
      </c>
      <c r="C1145" s="204" t="str" cm="1">
        <f t="array" ref="C1145">IF(D1145="","",
    IF(AND(ISNUMBER(D1145), D1145=INT(D1145)),
        $V$6 &amp; " " &amp; (IFERROR(MAX($Y$12:$Y1144), 0) + 1),
        IF(ISNUMBER(SEARCH(".", D1145)), "", INDEX($C$12:$C1145, MATCH(2, 1/($C$12:$C1145 &lt;&gt; ""))))
    )
)</f>
        <v/>
      </c>
      <c r="D1145" s="206"/>
      <c r="E1145" s="206" t="str">
        <f>IF(AA1145 = "", "",
    IF(ISNUMBER(SEARCH("Kiện", C1145)),
       " GÓI " &amp; COUNTIF($C$13:C1145, "*Kiện*") &amp; "/" &amp; COUNTIF($C$13:$C$1000, "*Kiện*") &amp; " " &amp; AA1145,
       AA1145)
)</f>
        <v/>
      </c>
      <c r="F1145" s="206"/>
      <c r="G1145" s="206"/>
      <c r="H1145" s="206"/>
      <c r="I1145" s="206"/>
      <c r="J1145" s="206" t="str">
        <f t="shared" si="251"/>
        <v/>
      </c>
      <c r="K1145" s="206" t="str">
        <f t="shared" si="253"/>
        <v/>
      </c>
      <c r="L1145" s="206" t="str">
        <f t="shared" si="254"/>
        <v/>
      </c>
      <c r="M1145" s="206" t="str">
        <f t="shared" si="255"/>
        <v/>
      </c>
      <c r="N1145" s="206" t="str">
        <f t="shared" si="256"/>
        <v/>
      </c>
      <c r="O1145" s="206" t="str">
        <f t="shared" si="257"/>
        <v/>
      </c>
      <c r="P1145" s="84" t="str">
        <f t="shared" si="258"/>
        <v/>
      </c>
      <c r="Q1145" s="205"/>
      <c r="R1145" s="70" t="str">
        <f>IF(S1145="IN",'BOM_Phan II'!$Y$3,"")</f>
        <v/>
      </c>
      <c r="S1145" s="69" t="str">
        <f t="shared" si="250"/>
        <v/>
      </c>
      <c r="T1145">
        <f t="shared" si="259"/>
        <v>3</v>
      </c>
      <c r="U1145" t="str">
        <f t="shared" si="247"/>
        <v>KIỆN 14</v>
      </c>
      <c r="V1145" t="str">
        <f t="shared" si="260"/>
        <v/>
      </c>
      <c r="W1145" s="266"/>
      <c r="X1145" s="266"/>
      <c r="Y1145" s="266" t="str">
        <f t="shared" si="252"/>
        <v/>
      </c>
      <c r="Z1145" s="266"/>
    </row>
    <row r="1146" spans="1:26" ht="27" hidden="1" customHeight="1">
      <c r="A1146" s="70" t="str">
        <f t="shared" si="248"/>
        <v/>
      </c>
      <c r="B1146" s="70" t="str">
        <f t="shared" si="249"/>
        <v/>
      </c>
      <c r="C1146" s="204" t="str" cm="1">
        <f t="array" ref="C1146">IF(D1146="","",
    IF(AND(ISNUMBER(D1146), D1146=INT(D1146)),
        $V$6 &amp; " " &amp; (IFERROR(MAX($Y$12:$Y1145), 0) + 1),
        IF(ISNUMBER(SEARCH(".", D1146)), "", INDEX($C$12:$C1146, MATCH(2, 1/($C$12:$C1146 &lt;&gt; ""))))
    )
)</f>
        <v/>
      </c>
      <c r="D1146" s="206"/>
      <c r="E1146" s="206" t="str">
        <f>IF(AA1146 = "", "",
    IF(ISNUMBER(SEARCH("Kiện", C1146)),
       " GÓI " &amp; COUNTIF($C$13:C1146, "*Kiện*") &amp; "/" &amp; COUNTIF($C$13:$C$1000, "*Kiện*") &amp; " " &amp; AA1146,
       AA1146)
)</f>
        <v/>
      </c>
      <c r="F1146" s="206"/>
      <c r="G1146" s="206"/>
      <c r="H1146" s="206"/>
      <c r="I1146" s="206"/>
      <c r="J1146" s="206" t="str">
        <f t="shared" si="251"/>
        <v/>
      </c>
      <c r="K1146" s="206" t="str">
        <f t="shared" si="253"/>
        <v/>
      </c>
      <c r="L1146" s="206" t="str">
        <f t="shared" si="254"/>
        <v/>
      </c>
      <c r="M1146" s="206" t="str">
        <f t="shared" si="255"/>
        <v/>
      </c>
      <c r="N1146" s="206" t="str">
        <f t="shared" si="256"/>
        <v/>
      </c>
      <c r="O1146" s="206" t="str">
        <f t="shared" si="257"/>
        <v/>
      </c>
      <c r="P1146" s="84" t="str">
        <f t="shared" si="258"/>
        <v/>
      </c>
      <c r="Q1146" s="205"/>
      <c r="R1146" s="70" t="str">
        <f>IF(S1146="IN",'BOM_Phan II'!$Y$3,"")</f>
        <v/>
      </c>
      <c r="S1146" s="69" t="str">
        <f t="shared" si="250"/>
        <v/>
      </c>
      <c r="T1146">
        <f t="shared" si="259"/>
        <v>3</v>
      </c>
      <c r="U1146" t="str">
        <f t="shared" si="247"/>
        <v>KIỆN 14</v>
      </c>
      <c r="V1146" t="str">
        <f t="shared" si="260"/>
        <v/>
      </c>
      <c r="W1146" s="266"/>
      <c r="X1146" s="266"/>
      <c r="Y1146" s="266" t="str">
        <f t="shared" si="252"/>
        <v/>
      </c>
      <c r="Z1146" s="266"/>
    </row>
    <row r="1147" spans="1:26" ht="27" hidden="1" customHeight="1">
      <c r="A1147" s="70" t="str">
        <f t="shared" si="248"/>
        <v/>
      </c>
      <c r="B1147" s="70" t="str">
        <f t="shared" si="249"/>
        <v/>
      </c>
      <c r="C1147" s="204" t="str" cm="1">
        <f t="array" ref="C1147">IF(D1147="","",
    IF(AND(ISNUMBER(D1147), D1147=INT(D1147)),
        $V$6 &amp; " " &amp; (IFERROR(MAX($Y$12:$Y1146), 0) + 1),
        IF(ISNUMBER(SEARCH(".", D1147)), "", INDEX($C$12:$C1147, MATCH(2, 1/($C$12:$C1147 &lt;&gt; ""))))
    )
)</f>
        <v/>
      </c>
      <c r="D1147" s="206"/>
      <c r="E1147" s="206" t="str">
        <f>IF(AA1147 = "", "",
    IF(ISNUMBER(SEARCH("Kiện", C1147)),
       " GÓI " &amp; COUNTIF($C$13:C1147, "*Kiện*") &amp; "/" &amp; COUNTIF($C$13:$C$1000, "*Kiện*") &amp; " " &amp; AA1147,
       AA1147)
)</f>
        <v/>
      </c>
      <c r="F1147" s="206"/>
      <c r="G1147" s="206"/>
      <c r="H1147" s="206"/>
      <c r="I1147" s="206"/>
      <c r="J1147" s="206" t="str">
        <f t="shared" si="251"/>
        <v/>
      </c>
      <c r="K1147" s="206" t="str">
        <f t="shared" si="253"/>
        <v/>
      </c>
      <c r="L1147" s="206" t="str">
        <f t="shared" si="254"/>
        <v/>
      </c>
      <c r="M1147" s="206" t="str">
        <f t="shared" si="255"/>
        <v/>
      </c>
      <c r="N1147" s="206" t="str">
        <f t="shared" si="256"/>
        <v/>
      </c>
      <c r="O1147" s="206" t="str">
        <f t="shared" si="257"/>
        <v/>
      </c>
      <c r="P1147" s="84" t="str">
        <f t="shared" si="258"/>
        <v/>
      </c>
      <c r="Q1147" s="205"/>
      <c r="R1147" s="70" t="str">
        <f>IF(S1147="IN",'BOM_Phan II'!$Y$3,"")</f>
        <v/>
      </c>
      <c r="S1147" s="69" t="str">
        <f t="shared" si="250"/>
        <v/>
      </c>
      <c r="T1147">
        <f t="shared" si="259"/>
        <v>3</v>
      </c>
      <c r="U1147" t="str">
        <f t="shared" si="247"/>
        <v>KIỆN 14</v>
      </c>
      <c r="V1147" t="str">
        <f t="shared" si="260"/>
        <v/>
      </c>
      <c r="W1147" s="266"/>
      <c r="X1147" s="266"/>
      <c r="Y1147" s="266" t="str">
        <f t="shared" si="252"/>
        <v/>
      </c>
      <c r="Z1147" s="266"/>
    </row>
    <row r="1148" spans="1:26" ht="27" hidden="1" customHeight="1">
      <c r="A1148" s="70" t="str">
        <f t="shared" si="248"/>
        <v/>
      </c>
      <c r="B1148" s="70" t="str">
        <f t="shared" si="249"/>
        <v/>
      </c>
      <c r="C1148" s="204" t="str" cm="1">
        <f t="array" ref="C1148">IF(D1148="","",
    IF(AND(ISNUMBER(D1148), D1148=INT(D1148)),
        $V$6 &amp; " " &amp; (IFERROR(MAX($Y$12:$Y1147), 0) + 1),
        IF(ISNUMBER(SEARCH(".", D1148)), "", INDEX($C$12:$C1148, MATCH(2, 1/($C$12:$C1148 &lt;&gt; ""))))
    )
)</f>
        <v/>
      </c>
      <c r="D1148" s="206"/>
      <c r="E1148" s="206" t="str">
        <f>IF(AA1148 = "", "",
    IF(ISNUMBER(SEARCH("Kiện", C1148)),
       " GÓI " &amp; COUNTIF($C$13:C1148, "*Kiện*") &amp; "/" &amp; COUNTIF($C$13:$C$1000, "*Kiện*") &amp; " " &amp; AA1148,
       AA1148)
)</f>
        <v/>
      </c>
      <c r="F1148" s="206"/>
      <c r="G1148" s="206"/>
      <c r="H1148" s="206"/>
      <c r="I1148" s="206"/>
      <c r="J1148" s="206" t="str">
        <f t="shared" si="251"/>
        <v/>
      </c>
      <c r="K1148" s="206" t="str">
        <f t="shared" si="253"/>
        <v/>
      </c>
      <c r="L1148" s="206" t="str">
        <f t="shared" si="254"/>
        <v/>
      </c>
      <c r="M1148" s="206" t="str">
        <f t="shared" si="255"/>
        <v/>
      </c>
      <c r="N1148" s="206" t="str">
        <f t="shared" si="256"/>
        <v/>
      </c>
      <c r="O1148" s="206" t="str">
        <f t="shared" si="257"/>
        <v/>
      </c>
      <c r="P1148" s="84" t="str">
        <f t="shared" si="258"/>
        <v/>
      </c>
      <c r="Q1148" s="205"/>
      <c r="R1148" s="70" t="str">
        <f>IF(S1148="IN",'BOM_Phan II'!$Y$3,"")</f>
        <v/>
      </c>
      <c r="S1148" s="69" t="str">
        <f t="shared" si="250"/>
        <v/>
      </c>
      <c r="T1148">
        <f t="shared" si="259"/>
        <v>3</v>
      </c>
      <c r="U1148" t="str">
        <f t="shared" si="247"/>
        <v>KIỆN 14</v>
      </c>
      <c r="V1148" t="str">
        <f t="shared" si="260"/>
        <v/>
      </c>
      <c r="W1148" s="266"/>
      <c r="X1148" s="266"/>
      <c r="Y1148" s="266" t="str">
        <f t="shared" si="252"/>
        <v/>
      </c>
      <c r="Z1148" s="266"/>
    </row>
    <row r="1149" spans="1:26" ht="27" hidden="1" customHeight="1">
      <c r="A1149" s="70" t="str">
        <f t="shared" si="248"/>
        <v/>
      </c>
      <c r="B1149" s="70" t="str">
        <f t="shared" si="249"/>
        <v/>
      </c>
      <c r="C1149" s="204" t="str" cm="1">
        <f t="array" ref="C1149">IF(D1149="","",
    IF(AND(ISNUMBER(D1149), D1149=INT(D1149)),
        $V$6 &amp; " " &amp; (IFERROR(MAX($Y$12:$Y1148), 0) + 1),
        IF(ISNUMBER(SEARCH(".", D1149)), "", INDEX($C$12:$C1149, MATCH(2, 1/($C$12:$C1149 &lt;&gt; ""))))
    )
)</f>
        <v/>
      </c>
      <c r="D1149" s="206"/>
      <c r="E1149" s="206" t="str">
        <f>IF(AA1149 = "", "",
    IF(ISNUMBER(SEARCH("Kiện", C1149)),
       " GÓI " &amp; COUNTIF($C$13:C1149, "*Kiện*") &amp; "/" &amp; COUNTIF($C$13:$C$1000, "*Kiện*") &amp; " " &amp; AA1149,
       AA1149)
)</f>
        <v/>
      </c>
      <c r="F1149" s="206"/>
      <c r="G1149" s="206"/>
      <c r="H1149" s="206"/>
      <c r="I1149" s="206"/>
      <c r="J1149" s="206" t="str">
        <f t="shared" si="251"/>
        <v/>
      </c>
      <c r="K1149" s="206" t="str">
        <f t="shared" si="253"/>
        <v/>
      </c>
      <c r="L1149" s="206" t="str">
        <f t="shared" si="254"/>
        <v/>
      </c>
      <c r="M1149" s="206" t="str">
        <f t="shared" si="255"/>
        <v/>
      </c>
      <c r="N1149" s="206" t="str">
        <f t="shared" si="256"/>
        <v/>
      </c>
      <c r="O1149" s="206" t="str">
        <f t="shared" si="257"/>
        <v/>
      </c>
      <c r="P1149" s="84" t="str">
        <f t="shared" si="258"/>
        <v/>
      </c>
      <c r="Q1149" s="205"/>
      <c r="R1149" s="70" t="str">
        <f>IF(S1149="IN",'BOM_Phan II'!$Y$3,"")</f>
        <v/>
      </c>
      <c r="S1149" s="69" t="str">
        <f t="shared" si="250"/>
        <v/>
      </c>
      <c r="T1149">
        <f t="shared" si="259"/>
        <v>3</v>
      </c>
      <c r="U1149" t="str">
        <f t="shared" si="247"/>
        <v>KIỆN 14</v>
      </c>
      <c r="V1149" t="str">
        <f t="shared" si="260"/>
        <v/>
      </c>
      <c r="W1149" s="266"/>
      <c r="X1149" s="266"/>
      <c r="Y1149" s="266" t="str">
        <f t="shared" si="252"/>
        <v/>
      </c>
      <c r="Z1149" s="266"/>
    </row>
    <row r="1150" spans="1:26" ht="27" hidden="1" customHeight="1">
      <c r="A1150" s="70" t="str">
        <f t="shared" si="248"/>
        <v/>
      </c>
      <c r="B1150" s="70" t="str">
        <f t="shared" si="249"/>
        <v/>
      </c>
      <c r="C1150" s="204" t="str" cm="1">
        <f t="array" ref="C1150">IF(D1150="","",
    IF(AND(ISNUMBER(D1150), D1150=INT(D1150)),
        $V$6 &amp; " " &amp; (IFERROR(MAX($Y$12:$Y1149), 0) + 1),
        IF(ISNUMBER(SEARCH(".", D1150)), "", INDEX($C$12:$C1150, MATCH(2, 1/($C$12:$C1150 &lt;&gt; ""))))
    )
)</f>
        <v/>
      </c>
      <c r="D1150" s="206"/>
      <c r="E1150" s="206" t="str">
        <f>IF(AA1150 = "", "",
    IF(ISNUMBER(SEARCH("Kiện", C1150)),
       " GÓI " &amp; COUNTIF($C$13:C1150, "*Kiện*") &amp; "/" &amp; COUNTIF($C$13:$C$1000, "*Kiện*") &amp; " " &amp; AA1150,
       AA1150)
)</f>
        <v/>
      </c>
      <c r="F1150" s="206"/>
      <c r="G1150" s="206"/>
      <c r="H1150" s="206"/>
      <c r="I1150" s="206"/>
      <c r="J1150" s="206" t="str">
        <f t="shared" si="251"/>
        <v/>
      </c>
      <c r="K1150" s="206" t="str">
        <f t="shared" si="253"/>
        <v/>
      </c>
      <c r="L1150" s="206" t="str">
        <f t="shared" si="254"/>
        <v/>
      </c>
      <c r="M1150" s="206" t="str">
        <f t="shared" si="255"/>
        <v/>
      </c>
      <c r="N1150" s="206" t="str">
        <f t="shared" si="256"/>
        <v/>
      </c>
      <c r="O1150" s="206" t="str">
        <f t="shared" si="257"/>
        <v/>
      </c>
      <c r="P1150" s="84" t="str">
        <f t="shared" si="258"/>
        <v/>
      </c>
      <c r="Q1150" s="205"/>
      <c r="R1150" s="70" t="str">
        <f>IF(S1150="IN",'BOM_Phan II'!$Y$3,"")</f>
        <v/>
      </c>
      <c r="S1150" s="69" t="str">
        <f t="shared" si="250"/>
        <v/>
      </c>
      <c r="T1150">
        <f t="shared" si="259"/>
        <v>3</v>
      </c>
      <c r="U1150" t="str">
        <f t="shared" si="247"/>
        <v>KIỆN 14</v>
      </c>
      <c r="V1150" t="str">
        <f t="shared" si="260"/>
        <v/>
      </c>
      <c r="W1150" s="266"/>
      <c r="X1150" s="266"/>
      <c r="Y1150" s="266" t="str">
        <f t="shared" si="252"/>
        <v/>
      </c>
      <c r="Z1150" s="266"/>
    </row>
    <row r="1151" spans="1:26" ht="27" hidden="1" customHeight="1">
      <c r="A1151" s="70" t="str">
        <f t="shared" si="248"/>
        <v/>
      </c>
      <c r="B1151" s="70" t="str">
        <f t="shared" si="249"/>
        <v/>
      </c>
      <c r="C1151" s="204" t="str" cm="1">
        <f t="array" ref="C1151">IF(D1151="","",
    IF(AND(ISNUMBER(D1151), D1151=INT(D1151)),
        $V$6 &amp; " " &amp; (IFERROR(MAX($Y$12:$Y1150), 0) + 1),
        IF(ISNUMBER(SEARCH(".", D1151)), "", INDEX($C$12:$C1151, MATCH(2, 1/($C$12:$C1151 &lt;&gt; ""))))
    )
)</f>
        <v/>
      </c>
      <c r="D1151" s="206"/>
      <c r="E1151" s="206" t="str">
        <f>IF(AA1151 = "", "",
    IF(ISNUMBER(SEARCH("Kiện", C1151)),
       " GÓI " &amp; COUNTIF($C$13:C1151, "*Kiện*") &amp; "/" &amp; COUNTIF($C$13:$C$1000, "*Kiện*") &amp; " " &amp; AA1151,
       AA1151)
)</f>
        <v/>
      </c>
      <c r="F1151" s="206"/>
      <c r="G1151" s="206"/>
      <c r="H1151" s="206"/>
      <c r="I1151" s="206"/>
      <c r="J1151" s="206" t="str">
        <f t="shared" si="251"/>
        <v/>
      </c>
      <c r="K1151" s="206" t="str">
        <f t="shared" si="253"/>
        <v/>
      </c>
      <c r="L1151" s="206" t="str">
        <f t="shared" si="254"/>
        <v/>
      </c>
      <c r="M1151" s="206" t="str">
        <f t="shared" si="255"/>
        <v/>
      </c>
      <c r="N1151" s="206" t="str">
        <f t="shared" si="256"/>
        <v/>
      </c>
      <c r="O1151" s="206" t="str">
        <f t="shared" si="257"/>
        <v/>
      </c>
      <c r="P1151" s="84" t="str">
        <f t="shared" si="258"/>
        <v/>
      </c>
      <c r="Q1151" s="205"/>
      <c r="R1151" s="70" t="str">
        <f>IF(S1151="IN",'BOM_Phan II'!$Y$3,"")</f>
        <v/>
      </c>
      <c r="S1151" s="69" t="str">
        <f t="shared" si="250"/>
        <v/>
      </c>
      <c r="T1151">
        <f t="shared" si="259"/>
        <v>3</v>
      </c>
      <c r="U1151" t="str">
        <f t="shared" si="247"/>
        <v>KIỆN 14</v>
      </c>
      <c r="V1151" t="str">
        <f t="shared" si="260"/>
        <v/>
      </c>
      <c r="W1151" s="266"/>
      <c r="X1151" s="266"/>
      <c r="Y1151" s="266" t="str">
        <f t="shared" si="252"/>
        <v/>
      </c>
      <c r="Z1151" s="266"/>
    </row>
    <row r="1152" spans="1:26" ht="27" hidden="1" customHeight="1">
      <c r="A1152" s="70" t="str">
        <f t="shared" si="248"/>
        <v/>
      </c>
      <c r="B1152" s="70" t="str">
        <f t="shared" si="249"/>
        <v/>
      </c>
      <c r="C1152" s="204" t="str" cm="1">
        <f t="array" ref="C1152">IF(D1152="","",
    IF(AND(ISNUMBER(D1152), D1152=INT(D1152)),
        $V$6 &amp; " " &amp; (IFERROR(MAX($Y$12:$Y1151), 0) + 1),
        IF(ISNUMBER(SEARCH(".", D1152)), "", INDEX($C$12:$C1152, MATCH(2, 1/($C$12:$C1152 &lt;&gt; ""))))
    )
)</f>
        <v/>
      </c>
      <c r="D1152" s="206"/>
      <c r="E1152" s="206" t="str">
        <f>IF(AA1152 = "", "",
    IF(ISNUMBER(SEARCH("Kiện", C1152)),
       " GÓI " &amp; COUNTIF($C$13:C1152, "*Kiện*") &amp; "/" &amp; COUNTIF($C$13:$C$1000, "*Kiện*") &amp; " " &amp; AA1152,
       AA1152)
)</f>
        <v/>
      </c>
      <c r="F1152" s="206"/>
      <c r="G1152" s="206"/>
      <c r="H1152" s="206"/>
      <c r="I1152" s="206"/>
      <c r="J1152" s="206" t="str">
        <f t="shared" si="251"/>
        <v/>
      </c>
      <c r="K1152" s="206" t="str">
        <f t="shared" si="253"/>
        <v/>
      </c>
      <c r="L1152" s="206" t="str">
        <f t="shared" si="254"/>
        <v/>
      </c>
      <c r="M1152" s="206" t="str">
        <f t="shared" si="255"/>
        <v/>
      </c>
      <c r="N1152" s="206" t="str">
        <f t="shared" si="256"/>
        <v/>
      </c>
      <c r="O1152" s="206" t="str">
        <f t="shared" si="257"/>
        <v/>
      </c>
      <c r="P1152" s="84" t="str">
        <f t="shared" si="258"/>
        <v/>
      </c>
      <c r="Q1152" s="205"/>
      <c r="R1152" s="70" t="str">
        <f>IF(S1152="IN",'BOM_Phan II'!$Y$3,"")</f>
        <v/>
      </c>
      <c r="S1152" s="69" t="str">
        <f t="shared" si="250"/>
        <v/>
      </c>
      <c r="T1152">
        <f t="shared" si="259"/>
        <v>3</v>
      </c>
      <c r="U1152" t="str">
        <f t="shared" si="247"/>
        <v>KIỆN 14</v>
      </c>
      <c r="V1152" t="str">
        <f t="shared" si="260"/>
        <v/>
      </c>
      <c r="W1152" s="266"/>
      <c r="X1152" s="266"/>
      <c r="Y1152" s="266" t="str">
        <f t="shared" si="252"/>
        <v/>
      </c>
      <c r="Z1152" s="266"/>
    </row>
    <row r="1153" spans="1:26" ht="27" hidden="1" customHeight="1">
      <c r="A1153" s="70" t="str">
        <f t="shared" si="248"/>
        <v/>
      </c>
      <c r="B1153" s="70" t="str">
        <f t="shared" si="249"/>
        <v/>
      </c>
      <c r="C1153" s="204" t="str" cm="1">
        <f t="array" ref="C1153">IF(D1153="","",
    IF(AND(ISNUMBER(D1153), D1153=INT(D1153)),
        $V$6 &amp; " " &amp; (IFERROR(MAX($Y$12:$Y1152), 0) + 1),
        IF(ISNUMBER(SEARCH(".", D1153)), "", INDEX($C$12:$C1153, MATCH(2, 1/($C$12:$C1153 &lt;&gt; ""))))
    )
)</f>
        <v/>
      </c>
      <c r="D1153" s="206"/>
      <c r="E1153" s="206" t="str">
        <f>IF(AA1153 = "", "",
    IF(ISNUMBER(SEARCH("Kiện", C1153)),
       " GÓI " &amp; COUNTIF($C$13:C1153, "*Kiện*") &amp; "/" &amp; COUNTIF($C$13:$C$1000, "*Kiện*") &amp; " " &amp; AA1153,
       AA1153)
)</f>
        <v/>
      </c>
      <c r="F1153" s="206"/>
      <c r="G1153" s="206"/>
      <c r="H1153" s="206"/>
      <c r="I1153" s="206"/>
      <c r="J1153" s="206" t="str">
        <f t="shared" si="251"/>
        <v/>
      </c>
      <c r="K1153" s="206" t="str">
        <f t="shared" si="253"/>
        <v/>
      </c>
      <c r="L1153" s="206" t="str">
        <f t="shared" si="254"/>
        <v/>
      </c>
      <c r="M1153" s="206" t="str">
        <f t="shared" si="255"/>
        <v/>
      </c>
      <c r="N1153" s="206" t="str">
        <f t="shared" si="256"/>
        <v/>
      </c>
      <c r="O1153" s="206" t="str">
        <f t="shared" si="257"/>
        <v/>
      </c>
      <c r="P1153" s="84" t="str">
        <f t="shared" si="258"/>
        <v/>
      </c>
      <c r="Q1153" s="205"/>
      <c r="R1153" s="70" t="str">
        <f>IF(S1153="IN",'BOM_Phan II'!$Y$3,"")</f>
        <v/>
      </c>
      <c r="S1153" s="69" t="str">
        <f t="shared" si="250"/>
        <v/>
      </c>
      <c r="T1153">
        <f t="shared" si="259"/>
        <v>3</v>
      </c>
      <c r="U1153" t="str">
        <f t="shared" si="247"/>
        <v>KIỆN 14</v>
      </c>
      <c r="V1153" t="str">
        <f t="shared" si="260"/>
        <v/>
      </c>
      <c r="W1153" s="266"/>
      <c r="X1153" s="266"/>
      <c r="Y1153" s="266" t="str">
        <f t="shared" si="252"/>
        <v/>
      </c>
      <c r="Z1153" s="266"/>
    </row>
    <row r="1154" spans="1:26" ht="27" hidden="1" customHeight="1">
      <c r="A1154" s="70" t="str">
        <f t="shared" si="248"/>
        <v/>
      </c>
      <c r="B1154" s="70" t="str">
        <f t="shared" si="249"/>
        <v/>
      </c>
      <c r="C1154" s="204" t="str" cm="1">
        <f t="array" ref="C1154">IF(D1154="","",
    IF(AND(ISNUMBER(D1154), D1154=INT(D1154)),
        $V$6 &amp; " " &amp; (IFERROR(MAX($Y$12:$Y1153), 0) + 1),
        IF(ISNUMBER(SEARCH(".", D1154)), "", INDEX($C$12:$C1154, MATCH(2, 1/($C$12:$C1154 &lt;&gt; ""))))
    )
)</f>
        <v/>
      </c>
      <c r="D1154" s="206"/>
      <c r="E1154" s="206" t="str">
        <f>IF(AA1154 = "", "",
    IF(ISNUMBER(SEARCH("Kiện", C1154)),
       " GÓI " &amp; COUNTIF($C$13:C1154, "*Kiện*") &amp; "/" &amp; COUNTIF($C$13:$C$1000, "*Kiện*") &amp; " " &amp; AA1154,
       AA1154)
)</f>
        <v/>
      </c>
      <c r="F1154" s="206"/>
      <c r="G1154" s="206"/>
      <c r="H1154" s="206"/>
      <c r="I1154" s="206"/>
      <c r="J1154" s="206" t="str">
        <f t="shared" si="251"/>
        <v/>
      </c>
      <c r="K1154" s="206" t="str">
        <f t="shared" si="253"/>
        <v/>
      </c>
      <c r="L1154" s="206" t="str">
        <f t="shared" si="254"/>
        <v/>
      </c>
      <c r="M1154" s="206" t="str">
        <f t="shared" si="255"/>
        <v/>
      </c>
      <c r="N1154" s="206" t="str">
        <f t="shared" si="256"/>
        <v/>
      </c>
      <c r="O1154" s="206" t="str">
        <f t="shared" si="257"/>
        <v/>
      </c>
      <c r="P1154" s="84" t="str">
        <f t="shared" si="258"/>
        <v/>
      </c>
      <c r="Q1154" s="205"/>
      <c r="R1154" s="70" t="str">
        <f>IF(S1154="IN",'BOM_Phan II'!$Y$3,"")</f>
        <v/>
      </c>
      <c r="S1154" s="69" t="str">
        <f t="shared" si="250"/>
        <v/>
      </c>
      <c r="T1154">
        <f t="shared" si="259"/>
        <v>3</v>
      </c>
      <c r="U1154" t="str">
        <f t="shared" si="247"/>
        <v>KIỆN 14</v>
      </c>
      <c r="V1154" t="str">
        <f t="shared" si="260"/>
        <v/>
      </c>
      <c r="W1154" s="266"/>
      <c r="X1154" s="266"/>
      <c r="Y1154" s="266" t="str">
        <f t="shared" si="252"/>
        <v/>
      </c>
      <c r="Z1154" s="266"/>
    </row>
    <row r="1155" spans="1:26" ht="27" hidden="1" customHeight="1">
      <c r="A1155" s="70" t="str">
        <f t="shared" si="248"/>
        <v/>
      </c>
      <c r="B1155" s="70" t="str">
        <f t="shared" si="249"/>
        <v/>
      </c>
      <c r="C1155" s="204" t="str" cm="1">
        <f t="array" ref="C1155">IF(D1155="","",
    IF(AND(ISNUMBER(D1155), D1155=INT(D1155)),
        $V$6 &amp; " " &amp; (IFERROR(MAX($Y$12:$Y1154), 0) + 1),
        IF(ISNUMBER(SEARCH(".", D1155)), "", INDEX($C$12:$C1155, MATCH(2, 1/($C$12:$C1155 &lt;&gt; ""))))
    )
)</f>
        <v/>
      </c>
      <c r="D1155" s="206"/>
      <c r="E1155" s="206" t="str">
        <f>IF(AA1155 = "", "",
    IF(ISNUMBER(SEARCH("Kiện", C1155)),
       " GÓI " &amp; COUNTIF($C$13:C1155, "*Kiện*") &amp; "/" &amp; COUNTIF($C$13:$C$1000, "*Kiện*") &amp; " " &amp; AA1155,
       AA1155)
)</f>
        <v/>
      </c>
      <c r="F1155" s="206"/>
      <c r="G1155" s="206"/>
      <c r="H1155" s="206"/>
      <c r="I1155" s="206"/>
      <c r="J1155" s="206" t="str">
        <f t="shared" si="251"/>
        <v/>
      </c>
      <c r="K1155" s="206" t="str">
        <f t="shared" si="253"/>
        <v/>
      </c>
      <c r="L1155" s="206" t="str">
        <f t="shared" si="254"/>
        <v/>
      </c>
      <c r="M1155" s="206" t="str">
        <f t="shared" si="255"/>
        <v/>
      </c>
      <c r="N1155" s="206" t="str">
        <f t="shared" si="256"/>
        <v/>
      </c>
      <c r="O1155" s="206" t="str">
        <f t="shared" si="257"/>
        <v/>
      </c>
      <c r="P1155" s="84" t="str">
        <f t="shared" si="258"/>
        <v/>
      </c>
      <c r="Q1155" s="205"/>
      <c r="R1155" s="70" t="str">
        <f>IF(S1155="IN",'BOM_Phan II'!$Y$3,"")</f>
        <v/>
      </c>
      <c r="S1155" s="69" t="str">
        <f t="shared" si="250"/>
        <v/>
      </c>
      <c r="T1155">
        <f t="shared" si="259"/>
        <v>3</v>
      </c>
      <c r="U1155" t="str">
        <f t="shared" ref="U1155:U1218" si="261">IF(C1155="",U1154,C1155)</f>
        <v>KIỆN 14</v>
      </c>
      <c r="V1155" t="str">
        <f t="shared" si="260"/>
        <v/>
      </c>
      <c r="W1155" s="266"/>
      <c r="X1155" s="266"/>
      <c r="Y1155" s="266" t="str">
        <f t="shared" si="252"/>
        <v/>
      </c>
      <c r="Z1155" s="266"/>
    </row>
    <row r="1156" spans="1:26" ht="27" hidden="1" customHeight="1">
      <c r="A1156" s="70" t="str">
        <f t="shared" si="248"/>
        <v/>
      </c>
      <c r="B1156" s="70" t="str">
        <f t="shared" si="249"/>
        <v/>
      </c>
      <c r="C1156" s="204" t="str" cm="1">
        <f t="array" ref="C1156">IF(D1156="","",
    IF(AND(ISNUMBER(D1156), D1156=INT(D1156)),
        $V$6 &amp; " " &amp; (IFERROR(MAX($Y$12:$Y1155), 0) + 1),
        IF(ISNUMBER(SEARCH(".", D1156)), "", INDEX($C$12:$C1156, MATCH(2, 1/($C$12:$C1156 &lt;&gt; ""))))
    )
)</f>
        <v/>
      </c>
      <c r="D1156" s="206"/>
      <c r="E1156" s="206" t="str">
        <f>IF(AA1156 = "", "",
    IF(ISNUMBER(SEARCH("Kiện", C1156)),
       " GÓI " &amp; COUNTIF($C$13:C1156, "*Kiện*") &amp; "/" &amp; COUNTIF($C$13:$C$1000, "*Kiện*") &amp; " " &amp; AA1156,
       AA1156)
)</f>
        <v/>
      </c>
      <c r="F1156" s="206"/>
      <c r="G1156" s="206"/>
      <c r="H1156" s="206"/>
      <c r="I1156" s="206"/>
      <c r="J1156" s="206" t="str">
        <f t="shared" si="251"/>
        <v/>
      </c>
      <c r="K1156" s="206" t="str">
        <f t="shared" si="253"/>
        <v/>
      </c>
      <c r="L1156" s="206" t="str">
        <f t="shared" si="254"/>
        <v/>
      </c>
      <c r="M1156" s="206" t="str">
        <f t="shared" si="255"/>
        <v/>
      </c>
      <c r="N1156" s="206" t="str">
        <f t="shared" si="256"/>
        <v/>
      </c>
      <c r="O1156" s="206" t="str">
        <f t="shared" si="257"/>
        <v/>
      </c>
      <c r="P1156" s="84" t="str">
        <f t="shared" si="258"/>
        <v/>
      </c>
      <c r="Q1156" s="205"/>
      <c r="R1156" s="70" t="str">
        <f>IF(S1156="IN",'BOM_Phan II'!$Y$3,"")</f>
        <v/>
      </c>
      <c r="S1156" s="69" t="str">
        <f t="shared" si="250"/>
        <v/>
      </c>
      <c r="T1156">
        <f t="shared" si="259"/>
        <v>3</v>
      </c>
      <c r="U1156" t="str">
        <f t="shared" si="261"/>
        <v>KIỆN 14</v>
      </c>
      <c r="V1156" t="str">
        <f t="shared" si="260"/>
        <v/>
      </c>
      <c r="W1156" s="266"/>
      <c r="X1156" s="266"/>
      <c r="Y1156" s="266" t="str">
        <f t="shared" si="252"/>
        <v/>
      </c>
      <c r="Z1156" s="266"/>
    </row>
    <row r="1157" spans="1:26" ht="27" hidden="1" customHeight="1">
      <c r="A1157" s="70" t="str">
        <f t="shared" si="248"/>
        <v/>
      </c>
      <c r="B1157" s="70" t="str">
        <f t="shared" si="249"/>
        <v/>
      </c>
      <c r="C1157" s="204" t="str" cm="1">
        <f t="array" ref="C1157">IF(D1157="","",
    IF(AND(ISNUMBER(D1157), D1157=INT(D1157)),
        $V$6 &amp; " " &amp; (IFERROR(MAX($Y$12:$Y1156), 0) + 1),
        IF(ISNUMBER(SEARCH(".", D1157)), "", INDEX($C$12:$C1157, MATCH(2, 1/($C$12:$C1157 &lt;&gt; ""))))
    )
)</f>
        <v/>
      </c>
      <c r="D1157" s="206"/>
      <c r="E1157" s="206" t="str">
        <f>IF(AA1157 = "", "",
    IF(ISNUMBER(SEARCH("Kiện", C1157)),
       " GÓI " &amp; COUNTIF($C$13:C1157, "*Kiện*") &amp; "/" &amp; COUNTIF($C$13:$C$1000, "*Kiện*") &amp; " " &amp; AA1157,
       AA1157)
)</f>
        <v/>
      </c>
      <c r="F1157" s="206"/>
      <c r="G1157" s="206"/>
      <c r="H1157" s="206"/>
      <c r="I1157" s="206"/>
      <c r="J1157" s="206" t="str">
        <f t="shared" si="251"/>
        <v/>
      </c>
      <c r="K1157" s="206" t="str">
        <f t="shared" si="253"/>
        <v/>
      </c>
      <c r="L1157" s="206" t="str">
        <f t="shared" si="254"/>
        <v/>
      </c>
      <c r="M1157" s="206" t="str">
        <f t="shared" si="255"/>
        <v/>
      </c>
      <c r="N1157" s="206" t="str">
        <f t="shared" si="256"/>
        <v/>
      </c>
      <c r="O1157" s="206" t="str">
        <f t="shared" si="257"/>
        <v/>
      </c>
      <c r="P1157" s="84" t="str">
        <f t="shared" si="258"/>
        <v/>
      </c>
      <c r="Q1157" s="205"/>
      <c r="R1157" s="70" t="str">
        <f>IF(S1157="IN",'BOM_Phan II'!$Y$3,"")</f>
        <v/>
      </c>
      <c r="S1157" s="69" t="str">
        <f t="shared" si="250"/>
        <v/>
      </c>
      <c r="T1157">
        <f t="shared" si="259"/>
        <v>3</v>
      </c>
      <c r="U1157" t="str">
        <f t="shared" si="261"/>
        <v>KIỆN 14</v>
      </c>
      <c r="V1157" t="str">
        <f t="shared" si="260"/>
        <v/>
      </c>
      <c r="W1157" s="266"/>
      <c r="X1157" s="266"/>
      <c r="Y1157" s="266" t="str">
        <f t="shared" si="252"/>
        <v/>
      </c>
      <c r="Z1157" s="266"/>
    </row>
    <row r="1158" spans="1:26" ht="27" hidden="1" customHeight="1">
      <c r="A1158" s="70" t="str">
        <f t="shared" si="248"/>
        <v/>
      </c>
      <c r="B1158" s="70" t="str">
        <f t="shared" si="249"/>
        <v/>
      </c>
      <c r="C1158" s="204" t="str" cm="1">
        <f t="array" ref="C1158">IF(D1158="","",
    IF(AND(ISNUMBER(D1158), D1158=INT(D1158)),
        $V$6 &amp; " " &amp; (IFERROR(MAX($Y$12:$Y1157), 0) + 1),
        IF(ISNUMBER(SEARCH(".", D1158)), "", INDEX($C$12:$C1158, MATCH(2, 1/($C$12:$C1158 &lt;&gt; ""))))
    )
)</f>
        <v/>
      </c>
      <c r="D1158" s="206"/>
      <c r="E1158" s="206" t="str">
        <f>IF(AA1158 = "", "",
    IF(ISNUMBER(SEARCH("Kiện", C1158)),
       " GÓI " &amp; COUNTIF($C$13:C1158, "*Kiện*") &amp; "/" &amp; COUNTIF($C$13:$C$1000, "*Kiện*") &amp; " " &amp; AA1158,
       AA1158)
)</f>
        <v/>
      </c>
      <c r="F1158" s="206"/>
      <c r="G1158" s="206"/>
      <c r="H1158" s="206"/>
      <c r="I1158" s="206"/>
      <c r="J1158" s="206" t="str">
        <f t="shared" si="251"/>
        <v/>
      </c>
      <c r="K1158" s="206" t="str">
        <f t="shared" si="253"/>
        <v/>
      </c>
      <c r="L1158" s="206" t="str">
        <f t="shared" si="254"/>
        <v/>
      </c>
      <c r="M1158" s="206" t="str">
        <f t="shared" si="255"/>
        <v/>
      </c>
      <c r="N1158" s="206" t="str">
        <f t="shared" si="256"/>
        <v/>
      </c>
      <c r="O1158" s="206" t="str">
        <f t="shared" si="257"/>
        <v/>
      </c>
      <c r="P1158" s="84" t="str">
        <f t="shared" si="258"/>
        <v/>
      </c>
      <c r="Q1158" s="205"/>
      <c r="R1158" s="70" t="str">
        <f>IF(S1158="IN",'BOM_Phan II'!$Y$3,"")</f>
        <v/>
      </c>
      <c r="S1158" s="69" t="str">
        <f t="shared" si="250"/>
        <v/>
      </c>
      <c r="T1158">
        <f t="shared" si="259"/>
        <v>3</v>
      </c>
      <c r="U1158" t="str">
        <f t="shared" si="261"/>
        <v>KIỆN 14</v>
      </c>
      <c r="V1158" t="str">
        <f t="shared" si="260"/>
        <v/>
      </c>
      <c r="W1158" s="266"/>
      <c r="X1158" s="266"/>
      <c r="Y1158" s="266" t="str">
        <f t="shared" si="252"/>
        <v/>
      </c>
      <c r="Z1158" s="266"/>
    </row>
    <row r="1159" spans="1:26" ht="27" hidden="1" customHeight="1">
      <c r="A1159" s="70" t="str">
        <f t="shared" si="248"/>
        <v/>
      </c>
      <c r="B1159" s="70" t="str">
        <f t="shared" si="249"/>
        <v/>
      </c>
      <c r="C1159" s="204" t="str" cm="1">
        <f t="array" ref="C1159">IF(D1159="","",
    IF(AND(ISNUMBER(D1159), D1159=INT(D1159)),
        $V$6 &amp; " " &amp; (IFERROR(MAX($Y$12:$Y1158), 0) + 1),
        IF(ISNUMBER(SEARCH(".", D1159)), "", INDEX($C$12:$C1159, MATCH(2, 1/($C$12:$C1159 &lt;&gt; ""))))
    )
)</f>
        <v/>
      </c>
      <c r="D1159" s="206"/>
      <c r="E1159" s="206" t="str">
        <f>IF(AA1159 = "", "",
    IF(ISNUMBER(SEARCH("Kiện", C1159)),
       " GÓI " &amp; COUNTIF($C$13:C1159, "*Kiện*") &amp; "/" &amp; COUNTIF($C$13:$C$1000, "*Kiện*") &amp; " " &amp; AA1159,
       AA1159)
)</f>
        <v/>
      </c>
      <c r="F1159" s="206"/>
      <c r="G1159" s="206"/>
      <c r="H1159" s="206"/>
      <c r="I1159" s="206"/>
      <c r="J1159" s="206" t="str">
        <f t="shared" si="251"/>
        <v/>
      </c>
      <c r="K1159" s="206" t="str">
        <f t="shared" si="253"/>
        <v/>
      </c>
      <c r="L1159" s="206" t="str">
        <f t="shared" si="254"/>
        <v/>
      </c>
      <c r="M1159" s="206" t="str">
        <f t="shared" si="255"/>
        <v/>
      </c>
      <c r="N1159" s="206" t="str">
        <f t="shared" si="256"/>
        <v/>
      </c>
      <c r="O1159" s="206" t="str">
        <f t="shared" si="257"/>
        <v/>
      </c>
      <c r="P1159" s="84" t="str">
        <f t="shared" si="258"/>
        <v/>
      </c>
      <c r="Q1159" s="205"/>
      <c r="R1159" s="70" t="str">
        <f>IF(S1159="IN",'BOM_Phan II'!$Y$3,"")</f>
        <v/>
      </c>
      <c r="S1159" s="69" t="str">
        <f t="shared" si="250"/>
        <v/>
      </c>
      <c r="T1159">
        <f t="shared" si="259"/>
        <v>3</v>
      </c>
      <c r="U1159" t="str">
        <f t="shared" si="261"/>
        <v>KIỆN 14</v>
      </c>
      <c r="V1159" t="str">
        <f t="shared" si="260"/>
        <v/>
      </c>
      <c r="W1159" s="266"/>
      <c r="X1159" s="266"/>
      <c r="Y1159" s="266" t="str">
        <f t="shared" si="252"/>
        <v/>
      </c>
      <c r="Z1159" s="266"/>
    </row>
    <row r="1160" spans="1:26" ht="27" hidden="1" customHeight="1">
      <c r="A1160" s="70" t="str">
        <f t="shared" si="248"/>
        <v/>
      </c>
      <c r="B1160" s="70" t="str">
        <f t="shared" si="249"/>
        <v/>
      </c>
      <c r="C1160" s="204" t="str" cm="1">
        <f t="array" ref="C1160">IF(D1160="","",
    IF(AND(ISNUMBER(D1160), D1160=INT(D1160)),
        $V$6 &amp; " " &amp; (IFERROR(MAX($Y$12:$Y1159), 0) + 1),
        IF(ISNUMBER(SEARCH(".", D1160)), "", INDEX($C$12:$C1160, MATCH(2, 1/($C$12:$C1160 &lt;&gt; ""))))
    )
)</f>
        <v/>
      </c>
      <c r="D1160" s="206"/>
      <c r="E1160" s="206" t="str">
        <f>IF(AA1160 = "", "",
    IF(ISNUMBER(SEARCH("Kiện", C1160)),
       " GÓI " &amp; COUNTIF($C$13:C1160, "*Kiện*") &amp; "/" &amp; COUNTIF($C$13:$C$1000, "*Kiện*") &amp; " " &amp; AA1160,
       AA1160)
)</f>
        <v/>
      </c>
      <c r="F1160" s="206"/>
      <c r="G1160" s="206"/>
      <c r="H1160" s="206"/>
      <c r="I1160" s="206"/>
      <c r="J1160" s="206" t="str">
        <f t="shared" si="251"/>
        <v/>
      </c>
      <c r="K1160" s="206" t="str">
        <f t="shared" si="253"/>
        <v/>
      </c>
      <c r="L1160" s="206" t="str">
        <f t="shared" si="254"/>
        <v/>
      </c>
      <c r="M1160" s="206" t="str">
        <f t="shared" si="255"/>
        <v/>
      </c>
      <c r="N1160" s="206" t="str">
        <f t="shared" si="256"/>
        <v/>
      </c>
      <c r="O1160" s="206" t="str">
        <f t="shared" si="257"/>
        <v/>
      </c>
      <c r="P1160" s="84" t="str">
        <f t="shared" si="258"/>
        <v/>
      </c>
      <c r="Q1160" s="205"/>
      <c r="R1160" s="70" t="str">
        <f>IF(S1160="IN",'BOM_Phan II'!$Y$3,"")</f>
        <v/>
      </c>
      <c r="S1160" s="69" t="str">
        <f t="shared" si="250"/>
        <v/>
      </c>
      <c r="T1160">
        <f t="shared" si="259"/>
        <v>3</v>
      </c>
      <c r="U1160" t="str">
        <f t="shared" si="261"/>
        <v>KIỆN 14</v>
      </c>
      <c r="V1160" t="str">
        <f t="shared" si="260"/>
        <v/>
      </c>
      <c r="W1160" s="266"/>
      <c r="X1160" s="266"/>
      <c r="Y1160" s="266" t="str">
        <f t="shared" si="252"/>
        <v/>
      </c>
      <c r="Z1160" s="266"/>
    </row>
    <row r="1161" spans="1:26" ht="27" hidden="1" customHeight="1">
      <c r="A1161" s="70" t="str">
        <f t="shared" si="248"/>
        <v/>
      </c>
      <c r="B1161" s="70" t="str">
        <f t="shared" si="249"/>
        <v/>
      </c>
      <c r="C1161" s="204" t="str" cm="1">
        <f t="array" ref="C1161">IF(D1161="","",
    IF(AND(ISNUMBER(D1161), D1161=INT(D1161)),
        $V$6 &amp; " " &amp; (IFERROR(MAX($Y$12:$Y1160), 0) + 1),
        IF(ISNUMBER(SEARCH(".", D1161)), "", INDEX($C$12:$C1161, MATCH(2, 1/($C$12:$C1161 &lt;&gt; ""))))
    )
)</f>
        <v/>
      </c>
      <c r="D1161" s="206"/>
      <c r="E1161" s="206" t="str">
        <f>IF(AA1161 = "", "",
    IF(ISNUMBER(SEARCH("Kiện", C1161)),
       " GÓI " &amp; COUNTIF($C$13:C1161, "*Kiện*") &amp; "/" &amp; COUNTIF($C$13:$C$1000, "*Kiện*") &amp; " " &amp; AA1161,
       AA1161)
)</f>
        <v/>
      </c>
      <c r="F1161" s="206"/>
      <c r="G1161" s="206"/>
      <c r="H1161" s="206"/>
      <c r="I1161" s="206"/>
      <c r="J1161" s="206" t="str">
        <f t="shared" si="251"/>
        <v/>
      </c>
      <c r="K1161" s="206" t="str">
        <f t="shared" si="253"/>
        <v/>
      </c>
      <c r="L1161" s="206" t="str">
        <f t="shared" si="254"/>
        <v/>
      </c>
      <c r="M1161" s="206" t="str">
        <f t="shared" si="255"/>
        <v/>
      </c>
      <c r="N1161" s="206" t="str">
        <f t="shared" si="256"/>
        <v/>
      </c>
      <c r="O1161" s="206" t="str">
        <f t="shared" si="257"/>
        <v/>
      </c>
      <c r="P1161" s="84" t="str">
        <f t="shared" si="258"/>
        <v/>
      </c>
      <c r="Q1161" s="205"/>
      <c r="R1161" s="70" t="str">
        <f>IF(S1161="IN",'BOM_Phan II'!$Y$3,"")</f>
        <v/>
      </c>
      <c r="S1161" s="69" t="str">
        <f t="shared" si="250"/>
        <v/>
      </c>
      <c r="T1161">
        <f t="shared" si="259"/>
        <v>3</v>
      </c>
      <c r="U1161" t="str">
        <f t="shared" si="261"/>
        <v>KIỆN 14</v>
      </c>
      <c r="V1161" t="str">
        <f t="shared" si="260"/>
        <v/>
      </c>
      <c r="W1161" s="266"/>
      <c r="X1161" s="266"/>
      <c r="Y1161" s="266" t="str">
        <f t="shared" si="252"/>
        <v/>
      </c>
      <c r="Z1161" s="266"/>
    </row>
    <row r="1162" spans="1:26" ht="27" hidden="1" customHeight="1">
      <c r="A1162" s="70" t="str">
        <f t="shared" si="248"/>
        <v/>
      </c>
      <c r="B1162" s="70" t="str">
        <f t="shared" si="249"/>
        <v/>
      </c>
      <c r="C1162" s="204" t="str" cm="1">
        <f t="array" ref="C1162">IF(D1162="","",
    IF(AND(ISNUMBER(D1162), D1162=INT(D1162)),
        $V$6 &amp; " " &amp; (IFERROR(MAX($Y$12:$Y1161), 0) + 1),
        IF(ISNUMBER(SEARCH(".", D1162)), "", INDEX($C$12:$C1162, MATCH(2, 1/($C$12:$C1162 &lt;&gt; ""))))
    )
)</f>
        <v/>
      </c>
      <c r="D1162" s="206"/>
      <c r="E1162" s="206" t="str">
        <f>IF(AA1162 = "", "",
    IF(ISNUMBER(SEARCH("Kiện", C1162)),
       " GÓI " &amp; COUNTIF($C$13:C1162, "*Kiện*") &amp; "/" &amp; COUNTIF($C$13:$C$1000, "*Kiện*") &amp; " " &amp; AA1162,
       AA1162)
)</f>
        <v/>
      </c>
      <c r="F1162" s="206"/>
      <c r="G1162" s="206"/>
      <c r="H1162" s="206"/>
      <c r="I1162" s="206"/>
      <c r="J1162" s="206" t="str">
        <f t="shared" si="251"/>
        <v/>
      </c>
      <c r="K1162" s="206" t="str">
        <f t="shared" si="253"/>
        <v/>
      </c>
      <c r="L1162" s="206" t="str">
        <f t="shared" si="254"/>
        <v/>
      </c>
      <c r="M1162" s="206" t="str">
        <f t="shared" si="255"/>
        <v/>
      </c>
      <c r="N1162" s="206" t="str">
        <f t="shared" si="256"/>
        <v/>
      </c>
      <c r="O1162" s="206" t="str">
        <f t="shared" si="257"/>
        <v/>
      </c>
      <c r="P1162" s="84" t="str">
        <f t="shared" si="258"/>
        <v/>
      </c>
      <c r="Q1162" s="205"/>
      <c r="R1162" s="70" t="str">
        <f>IF(S1162="IN",'BOM_Phan II'!$Y$3,"")</f>
        <v/>
      </c>
      <c r="S1162" s="69" t="str">
        <f t="shared" si="250"/>
        <v/>
      </c>
      <c r="T1162">
        <f t="shared" si="259"/>
        <v>3</v>
      </c>
      <c r="U1162" t="str">
        <f t="shared" si="261"/>
        <v>KIỆN 14</v>
      </c>
      <c r="V1162" t="str">
        <f t="shared" si="260"/>
        <v/>
      </c>
      <c r="W1162" s="266"/>
      <c r="X1162" s="266"/>
      <c r="Y1162" s="266" t="str">
        <f t="shared" si="252"/>
        <v/>
      </c>
      <c r="Z1162" s="266"/>
    </row>
    <row r="1163" spans="1:26" ht="27" hidden="1" customHeight="1">
      <c r="A1163" s="70" t="str">
        <f t="shared" si="248"/>
        <v/>
      </c>
      <c r="B1163" s="70" t="str">
        <f t="shared" si="249"/>
        <v/>
      </c>
      <c r="C1163" s="204" t="str" cm="1">
        <f t="array" ref="C1163">IF(D1163="","",
    IF(AND(ISNUMBER(D1163), D1163=INT(D1163)),
        $V$6 &amp; " " &amp; (IFERROR(MAX($Y$12:$Y1162), 0) + 1),
        IF(ISNUMBER(SEARCH(".", D1163)), "", INDEX($C$12:$C1163, MATCH(2, 1/($C$12:$C1163 &lt;&gt; ""))))
    )
)</f>
        <v/>
      </c>
      <c r="D1163" s="206"/>
      <c r="E1163" s="206" t="str">
        <f>IF(AA1163 = "", "",
    IF(ISNUMBER(SEARCH("Kiện", C1163)),
       " GÓI " &amp; COUNTIF($C$13:C1163, "*Kiện*") &amp; "/" &amp; COUNTIF($C$13:$C$1000, "*Kiện*") &amp; " " &amp; AA1163,
       AA1163)
)</f>
        <v/>
      </c>
      <c r="F1163" s="206"/>
      <c r="G1163" s="206"/>
      <c r="H1163" s="206"/>
      <c r="I1163" s="206"/>
      <c r="J1163" s="206" t="str">
        <f t="shared" si="251"/>
        <v/>
      </c>
      <c r="K1163" s="206" t="str">
        <f t="shared" si="253"/>
        <v/>
      </c>
      <c r="L1163" s="206" t="str">
        <f t="shared" si="254"/>
        <v/>
      </c>
      <c r="M1163" s="206" t="str">
        <f t="shared" si="255"/>
        <v/>
      </c>
      <c r="N1163" s="206" t="str">
        <f t="shared" si="256"/>
        <v/>
      </c>
      <c r="O1163" s="206" t="str">
        <f t="shared" si="257"/>
        <v/>
      </c>
      <c r="P1163" s="84" t="str">
        <f t="shared" si="258"/>
        <v/>
      </c>
      <c r="Q1163" s="205"/>
      <c r="R1163" s="70" t="str">
        <f>IF(S1163="IN",'BOM_Phan II'!$Y$3,"")</f>
        <v/>
      </c>
      <c r="S1163" s="69" t="str">
        <f t="shared" si="250"/>
        <v/>
      </c>
      <c r="T1163">
        <f t="shared" si="259"/>
        <v>3</v>
      </c>
      <c r="U1163" t="str">
        <f t="shared" si="261"/>
        <v>KIỆN 14</v>
      </c>
      <c r="V1163" t="str">
        <f t="shared" si="260"/>
        <v/>
      </c>
      <c r="W1163" s="266"/>
      <c r="X1163" s="266"/>
      <c r="Y1163" s="266" t="str">
        <f t="shared" si="252"/>
        <v/>
      </c>
      <c r="Z1163" s="266"/>
    </row>
    <row r="1164" spans="1:26" ht="27" hidden="1" customHeight="1">
      <c r="A1164" s="70" t="str">
        <f t="shared" ref="A1164:A1227" si="262">IF(S1164="IN",$E$6,"")</f>
        <v/>
      </c>
      <c r="B1164" s="70" t="str">
        <f t="shared" ref="B1164:B1227" si="263">IF(S1164="IN","Muc "&amp;$E$7,"")</f>
        <v/>
      </c>
      <c r="C1164" s="204" t="str" cm="1">
        <f t="array" ref="C1164">IF(D1164="","",
    IF(AND(ISNUMBER(D1164), D1164=INT(D1164)),
        $V$6 &amp; " " &amp; (IFERROR(MAX($Y$12:$Y1163), 0) + 1),
        IF(ISNUMBER(SEARCH(".", D1164)), "", INDEX($C$12:$C1164, MATCH(2, 1/($C$12:$C1164 &lt;&gt; ""))))
    )
)</f>
        <v/>
      </c>
      <c r="D1164" s="206"/>
      <c r="E1164" s="206" t="str">
        <f>IF(AA1164 = "", "",
    IF(ISNUMBER(SEARCH("Kiện", C1164)),
       " GÓI " &amp; COUNTIF($C$13:C1164, "*Kiện*") &amp; "/" &amp; COUNTIF($C$13:$C$1000, "*Kiện*") &amp; " " &amp; AA1164,
       AA1164)
)</f>
        <v/>
      </c>
      <c r="F1164" s="206"/>
      <c r="G1164" s="206"/>
      <c r="H1164" s="206"/>
      <c r="I1164" s="206"/>
      <c r="J1164" s="206" t="str">
        <f t="shared" si="251"/>
        <v/>
      </c>
      <c r="K1164" s="206" t="str">
        <f t="shared" si="253"/>
        <v/>
      </c>
      <c r="L1164" s="206" t="str">
        <f t="shared" si="254"/>
        <v/>
      </c>
      <c r="M1164" s="206" t="str">
        <f t="shared" si="255"/>
        <v/>
      </c>
      <c r="N1164" s="206" t="str">
        <f t="shared" si="256"/>
        <v/>
      </c>
      <c r="O1164" s="206" t="str">
        <f t="shared" si="257"/>
        <v/>
      </c>
      <c r="P1164" s="84" t="str">
        <f t="shared" si="258"/>
        <v/>
      </c>
      <c r="Q1164" s="205"/>
      <c r="R1164" s="70" t="str">
        <f>IF(S1164="IN",'BOM_Phan II'!$Y$3,"")</f>
        <v/>
      </c>
      <c r="S1164" s="69" t="str">
        <f t="shared" ref="S1164:S1227" si="264">IF(OR(E1164&lt;&gt;"",D1164&lt;&gt;""),"IN","")</f>
        <v/>
      </c>
      <c r="T1164">
        <f t="shared" si="259"/>
        <v>3</v>
      </c>
      <c r="U1164" t="str">
        <f t="shared" si="261"/>
        <v>KIỆN 14</v>
      </c>
      <c r="V1164" t="str">
        <f t="shared" si="260"/>
        <v/>
      </c>
      <c r="W1164" s="266"/>
      <c r="X1164" s="266"/>
      <c r="Y1164" s="266" t="str">
        <f t="shared" si="252"/>
        <v/>
      </c>
      <c r="Z1164" s="266"/>
    </row>
    <row r="1165" spans="1:26" ht="27" hidden="1" customHeight="1">
      <c r="A1165" s="70" t="str">
        <f t="shared" si="262"/>
        <v/>
      </c>
      <c r="B1165" s="70" t="str">
        <f t="shared" si="263"/>
        <v/>
      </c>
      <c r="C1165" s="204" t="str" cm="1">
        <f t="array" ref="C1165">IF(D1165="","",
    IF(AND(ISNUMBER(D1165), D1165=INT(D1165)),
        $V$6 &amp; " " &amp; (IFERROR(MAX($Y$12:$Y1164), 0) + 1),
        IF(ISNUMBER(SEARCH(".", D1165)), "", INDEX($C$12:$C1165, MATCH(2, 1/($C$12:$C1165 &lt;&gt; ""))))
    )
)</f>
        <v/>
      </c>
      <c r="D1165" s="206"/>
      <c r="E1165" s="206" t="str">
        <f>IF(AA1165 = "", "",
    IF(ISNUMBER(SEARCH("Kiện", C1165)),
       " GÓI " &amp; COUNTIF($C$13:C1165, "*Kiện*") &amp; "/" &amp; COUNTIF($C$13:$C$1000, "*Kiện*") &amp; " " &amp; AA1165,
       AA1165)
)</f>
        <v/>
      </c>
      <c r="F1165" s="206"/>
      <c r="G1165" s="206"/>
      <c r="H1165" s="206"/>
      <c r="I1165" s="206"/>
      <c r="J1165" s="206" t="str">
        <f t="shared" ref="J1165:J1228" si="265">IF(C1165&lt;&gt;"",C1165&amp;"_"&amp;$E$6,"")</f>
        <v/>
      </c>
      <c r="K1165" s="206" t="str">
        <f t="shared" si="253"/>
        <v/>
      </c>
      <c r="L1165" s="206" t="str">
        <f t="shared" si="254"/>
        <v/>
      </c>
      <c r="M1165" s="206" t="str">
        <f t="shared" si="255"/>
        <v/>
      </c>
      <c r="N1165" s="206" t="str">
        <f t="shared" si="256"/>
        <v/>
      </c>
      <c r="O1165" s="206" t="str">
        <f t="shared" si="257"/>
        <v/>
      </c>
      <c r="P1165" s="84" t="str">
        <f t="shared" si="258"/>
        <v/>
      </c>
      <c r="Q1165" s="205"/>
      <c r="R1165" s="70" t="str">
        <f>IF(S1165="IN",'BOM_Phan II'!$Y$3,"")</f>
        <v/>
      </c>
      <c r="S1165" s="69" t="str">
        <f t="shared" si="264"/>
        <v/>
      </c>
      <c r="T1165">
        <f t="shared" si="259"/>
        <v>3</v>
      </c>
      <c r="U1165" t="str">
        <f t="shared" si="261"/>
        <v>KIỆN 14</v>
      </c>
      <c r="V1165" t="str">
        <f t="shared" si="260"/>
        <v/>
      </c>
      <c r="W1165" s="266"/>
      <c r="X1165" s="266"/>
      <c r="Y1165" s="266" t="str">
        <f t="shared" ref="Y1165:Y1228" si="266">IFERROR(VALUE(RIGHT(C1165,LEN(C1165)-5)),"")</f>
        <v/>
      </c>
      <c r="Z1165" s="266"/>
    </row>
    <row r="1166" spans="1:26" ht="27" hidden="1" customHeight="1">
      <c r="A1166" s="70" t="str">
        <f t="shared" si="262"/>
        <v/>
      </c>
      <c r="B1166" s="70" t="str">
        <f t="shared" si="263"/>
        <v/>
      </c>
      <c r="C1166" s="204" t="str" cm="1">
        <f t="array" ref="C1166">IF(D1166="","",
    IF(AND(ISNUMBER(D1166), D1166=INT(D1166)),
        $V$6 &amp; " " &amp; (IFERROR(MAX($Y$12:$Y1165), 0) + 1),
        IF(ISNUMBER(SEARCH(".", D1166)), "", INDEX($C$12:$C1166, MATCH(2, 1/($C$12:$C1166 &lt;&gt; ""))))
    )
)</f>
        <v/>
      </c>
      <c r="D1166" s="206"/>
      <c r="E1166" s="206" t="str">
        <f>IF(AA1166 = "", "",
    IF(ISNUMBER(SEARCH("Kiện", C1166)),
       " GÓI " &amp; COUNTIF($C$13:C1166, "*Kiện*") &amp; "/" &amp; COUNTIF($C$13:$C$1000, "*Kiện*") &amp; " " &amp; AA1166,
       AA1166)
)</f>
        <v/>
      </c>
      <c r="F1166" s="206"/>
      <c r="G1166" s="206"/>
      <c r="H1166" s="206"/>
      <c r="I1166" s="206"/>
      <c r="J1166" s="206" t="str">
        <f t="shared" si="265"/>
        <v/>
      </c>
      <c r="K1166" s="206" t="str">
        <f t="shared" ref="K1166:K1229" si="267">IFERROR(IF($C1166&lt;&gt;"",IF($T$13=1,F1166+20,IF($T$13=2,F1166+20,IF($T$13=3,F1166+50,IF($T$13=4,F1166+40,IF($T$13=5,F1166+50,IF($T$13=51,F1166+50,IF($T$13=6,F1166+50,IF($T$13=7,F1166+50,"")))))))),""),"")</f>
        <v/>
      </c>
      <c r="L1166" s="206" t="str">
        <f t="shared" ref="L1166:L1229" si="268">IFERROR(IF($C1166&lt;&gt;"",IF($T$13=1,G1166+20,IF($T$13=2,G1166+20,IF($T$13=3,G1166+50,IF($T$13=4,G1166+40,IF($T$13=5,G1166+50,IF($T$13=51,G1166+50,IF($T$13=6,G1166+50,IF($T$13=7,G1166+50,"")))))))),""),"")</f>
        <v/>
      </c>
      <c r="M1166" s="206" t="str">
        <f t="shared" ref="M1166:M1229" si="269">IFERROR(IF($C1166&lt;&gt;"",IF($T$13=1,H1166+20,IF($T$13=2,H1166+20,IF($T$13=3,H1166+70,IF($T$13=4,H1166+40,IF($T$13=5,H1166+50,IF($T$13=51,H1166+150,IF($T$13=6,H1166+50,IF($T$13=7,H1166+50,"")))))))),""),"")</f>
        <v/>
      </c>
      <c r="N1166" s="206" t="str">
        <f t="shared" ref="N1166:N1229" si="270">IF(C1166&lt;&gt;"",I1166,"")</f>
        <v/>
      </c>
      <c r="O1166" s="206" t="str">
        <f t="shared" ref="O1166:O1229" si="271">IF(C1166&lt;&gt;"",$O$13,"")</f>
        <v/>
      </c>
      <c r="P1166" s="84" t="str">
        <f t="shared" ref="P1166:P1229" si="272">IFERROR(IF(C1166&lt;&gt;"",SUMIFS($V$13:$V$969,$U$13:$U$969,C1166)*$S$6,V1166*$S$6),"")</f>
        <v/>
      </c>
      <c r="Q1166" s="205"/>
      <c r="R1166" s="70" t="str">
        <f>IF(S1166="IN",'BOM_Phan II'!$Y$3,"")</f>
        <v/>
      </c>
      <c r="S1166" s="69" t="str">
        <f t="shared" si="264"/>
        <v/>
      </c>
      <c r="T1166">
        <f t="shared" ref="T1166:T1229" si="273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3</v>
      </c>
      <c r="U1166" t="str">
        <f t="shared" si="261"/>
        <v>KIỆN 14</v>
      </c>
      <c r="V1166" t="str">
        <f t="shared" ref="V1166:V1229" si="274">IFERROR(IF(AND(C1166="", OR($W1166="1", $W1166="2")), IF(I1166="", "", F1166*G1166*H1166*I1166/10^9), ""), "")</f>
        <v/>
      </c>
      <c r="W1166" s="266"/>
      <c r="X1166" s="266"/>
      <c r="Y1166" s="266" t="str">
        <f t="shared" si="266"/>
        <v/>
      </c>
      <c r="Z1166" s="266"/>
    </row>
    <row r="1167" spans="1:26" ht="27" hidden="1" customHeight="1">
      <c r="A1167" s="70" t="str">
        <f t="shared" si="262"/>
        <v/>
      </c>
      <c r="B1167" s="70" t="str">
        <f t="shared" si="263"/>
        <v/>
      </c>
      <c r="C1167" s="204" t="str" cm="1">
        <f t="array" ref="C1167">IF(D1167="","",
    IF(AND(ISNUMBER(D1167), D1167=INT(D1167)),
        $V$6 &amp; " " &amp; (IFERROR(MAX($Y$12:$Y1166), 0) + 1),
        IF(ISNUMBER(SEARCH(".", D1167)), "", INDEX($C$12:$C1167, MATCH(2, 1/($C$12:$C1167 &lt;&gt; ""))))
    )
)</f>
        <v/>
      </c>
      <c r="D1167" s="206"/>
      <c r="E1167" s="206" t="str">
        <f>IF(AA1167 = "", "",
    IF(ISNUMBER(SEARCH("Kiện", C1167)),
       " GÓI " &amp; COUNTIF($C$13:C1167, "*Kiện*") &amp; "/" &amp; COUNTIF($C$13:$C$1000, "*Kiện*") &amp; " " &amp; AA1167,
       AA1167)
)</f>
        <v/>
      </c>
      <c r="F1167" s="206"/>
      <c r="G1167" s="206"/>
      <c r="H1167" s="206"/>
      <c r="I1167" s="206"/>
      <c r="J1167" s="206" t="str">
        <f t="shared" si="265"/>
        <v/>
      </c>
      <c r="K1167" s="206" t="str">
        <f t="shared" si="267"/>
        <v/>
      </c>
      <c r="L1167" s="206" t="str">
        <f t="shared" si="268"/>
        <v/>
      </c>
      <c r="M1167" s="206" t="str">
        <f t="shared" si="269"/>
        <v/>
      </c>
      <c r="N1167" s="206" t="str">
        <f t="shared" si="270"/>
        <v/>
      </c>
      <c r="O1167" s="206" t="str">
        <f t="shared" si="271"/>
        <v/>
      </c>
      <c r="P1167" s="84" t="str">
        <f t="shared" si="272"/>
        <v/>
      </c>
      <c r="Q1167" s="205"/>
      <c r="R1167" s="70" t="str">
        <f>IF(S1167="IN",'BOM_Phan II'!$Y$3,"")</f>
        <v/>
      </c>
      <c r="S1167" s="69" t="str">
        <f t="shared" si="264"/>
        <v/>
      </c>
      <c r="T1167">
        <f t="shared" si="273"/>
        <v>3</v>
      </c>
      <c r="U1167" t="str">
        <f t="shared" si="261"/>
        <v>KIỆN 14</v>
      </c>
      <c r="V1167" t="str">
        <f t="shared" si="274"/>
        <v/>
      </c>
      <c r="W1167" s="266"/>
      <c r="X1167" s="266"/>
      <c r="Y1167" s="266" t="str">
        <f t="shared" si="266"/>
        <v/>
      </c>
      <c r="Z1167" s="266"/>
    </row>
    <row r="1168" spans="1:26" ht="27" hidden="1" customHeight="1">
      <c r="A1168" s="70" t="str">
        <f t="shared" si="262"/>
        <v/>
      </c>
      <c r="B1168" s="70" t="str">
        <f t="shared" si="263"/>
        <v/>
      </c>
      <c r="C1168" s="204" t="str" cm="1">
        <f t="array" ref="C1168">IF(D1168="","",
    IF(AND(ISNUMBER(D1168), D1168=INT(D1168)),
        $V$6 &amp; " " &amp; (IFERROR(MAX($Y$12:$Y1167), 0) + 1),
        IF(ISNUMBER(SEARCH(".", D1168)), "", INDEX($C$12:$C1168, MATCH(2, 1/($C$12:$C1168 &lt;&gt; ""))))
    )
)</f>
        <v/>
      </c>
      <c r="D1168" s="206"/>
      <c r="E1168" s="206" t="str">
        <f>IF(AA1168 = "", "",
    IF(ISNUMBER(SEARCH("Kiện", C1168)),
       " GÓI " &amp; COUNTIF($C$13:C1168, "*Kiện*") &amp; "/" &amp; COUNTIF($C$13:$C$1000, "*Kiện*") &amp; " " &amp; AA1168,
       AA1168)
)</f>
        <v/>
      </c>
      <c r="F1168" s="206"/>
      <c r="G1168" s="206"/>
      <c r="H1168" s="206"/>
      <c r="I1168" s="206"/>
      <c r="J1168" s="206" t="str">
        <f t="shared" si="265"/>
        <v/>
      </c>
      <c r="K1168" s="206" t="str">
        <f t="shared" si="267"/>
        <v/>
      </c>
      <c r="L1168" s="206" t="str">
        <f t="shared" si="268"/>
        <v/>
      </c>
      <c r="M1168" s="206" t="str">
        <f t="shared" si="269"/>
        <v/>
      </c>
      <c r="N1168" s="206" t="str">
        <f t="shared" si="270"/>
        <v/>
      </c>
      <c r="O1168" s="206" t="str">
        <f t="shared" si="271"/>
        <v/>
      </c>
      <c r="P1168" s="84" t="str">
        <f t="shared" si="272"/>
        <v/>
      </c>
      <c r="Q1168" s="205"/>
      <c r="R1168" s="70" t="str">
        <f>IF(S1168="IN",'BOM_Phan II'!$Y$3,"")</f>
        <v/>
      </c>
      <c r="S1168" s="69" t="str">
        <f t="shared" si="264"/>
        <v/>
      </c>
      <c r="T1168">
        <f t="shared" si="273"/>
        <v>3</v>
      </c>
      <c r="U1168" t="str">
        <f t="shared" si="261"/>
        <v>KIỆN 14</v>
      </c>
      <c r="V1168" t="str">
        <f t="shared" si="274"/>
        <v/>
      </c>
      <c r="W1168" s="266"/>
      <c r="X1168" s="266"/>
      <c r="Y1168" s="266" t="str">
        <f t="shared" si="266"/>
        <v/>
      </c>
      <c r="Z1168" s="266"/>
    </row>
    <row r="1169" spans="1:26" ht="27" hidden="1" customHeight="1">
      <c r="A1169" s="70" t="str">
        <f t="shared" si="262"/>
        <v/>
      </c>
      <c r="B1169" s="70" t="str">
        <f t="shared" si="263"/>
        <v/>
      </c>
      <c r="C1169" s="204" t="str" cm="1">
        <f t="array" ref="C1169">IF(D1169="","",
    IF(AND(ISNUMBER(D1169), D1169=INT(D1169)),
        $V$6 &amp; " " &amp; (IFERROR(MAX($Y$12:$Y1168), 0) + 1),
        IF(ISNUMBER(SEARCH(".", D1169)), "", INDEX($C$12:$C1169, MATCH(2, 1/($C$12:$C1169 &lt;&gt; ""))))
    )
)</f>
        <v/>
      </c>
      <c r="D1169" s="206"/>
      <c r="E1169" s="206" t="str">
        <f>IF(AA1169 = "", "",
    IF(ISNUMBER(SEARCH("Kiện", C1169)),
       " GÓI " &amp; COUNTIF($C$13:C1169, "*Kiện*") &amp; "/" &amp; COUNTIF($C$13:$C$1000, "*Kiện*") &amp; " " &amp; AA1169,
       AA1169)
)</f>
        <v/>
      </c>
      <c r="F1169" s="206"/>
      <c r="G1169" s="206"/>
      <c r="H1169" s="206"/>
      <c r="I1169" s="206"/>
      <c r="J1169" s="206" t="str">
        <f t="shared" si="265"/>
        <v/>
      </c>
      <c r="K1169" s="206" t="str">
        <f t="shared" si="267"/>
        <v/>
      </c>
      <c r="L1169" s="206" t="str">
        <f t="shared" si="268"/>
        <v/>
      </c>
      <c r="M1169" s="206" t="str">
        <f t="shared" si="269"/>
        <v/>
      </c>
      <c r="N1169" s="206" t="str">
        <f t="shared" si="270"/>
        <v/>
      </c>
      <c r="O1169" s="206" t="str">
        <f t="shared" si="271"/>
        <v/>
      </c>
      <c r="P1169" s="84" t="str">
        <f t="shared" si="272"/>
        <v/>
      </c>
      <c r="Q1169" s="205"/>
      <c r="R1169" s="70" t="str">
        <f>IF(S1169="IN",'BOM_Phan II'!$Y$3,"")</f>
        <v/>
      </c>
      <c r="S1169" s="69" t="str">
        <f t="shared" si="264"/>
        <v/>
      </c>
      <c r="T1169">
        <f t="shared" si="273"/>
        <v>3</v>
      </c>
      <c r="U1169" t="str">
        <f t="shared" si="261"/>
        <v>KIỆN 14</v>
      </c>
      <c r="V1169" t="str">
        <f t="shared" si="274"/>
        <v/>
      </c>
      <c r="W1169" s="266"/>
      <c r="X1169" s="266"/>
      <c r="Y1169" s="266" t="str">
        <f t="shared" si="266"/>
        <v/>
      </c>
      <c r="Z1169" s="266"/>
    </row>
    <row r="1170" spans="1:26" ht="27" hidden="1" customHeight="1">
      <c r="A1170" s="70" t="str">
        <f t="shared" si="262"/>
        <v/>
      </c>
      <c r="B1170" s="70" t="str">
        <f t="shared" si="263"/>
        <v/>
      </c>
      <c r="C1170" s="204" t="str" cm="1">
        <f t="array" ref="C1170">IF(D1170="","",
    IF(AND(ISNUMBER(D1170), D1170=INT(D1170)),
        $V$6 &amp; " " &amp; (IFERROR(MAX($Y$12:$Y1169), 0) + 1),
        IF(ISNUMBER(SEARCH(".", D1170)), "", INDEX($C$12:$C1170, MATCH(2, 1/($C$12:$C1170 &lt;&gt; ""))))
    )
)</f>
        <v/>
      </c>
      <c r="D1170" s="206"/>
      <c r="E1170" s="206" t="str">
        <f>IF(AA1170 = "", "",
    IF(ISNUMBER(SEARCH("Kiện", C1170)),
       " GÓI " &amp; COUNTIF($C$13:C1170, "*Kiện*") &amp; "/" &amp; COUNTIF($C$13:$C$1000, "*Kiện*") &amp; " " &amp; AA1170,
       AA1170)
)</f>
        <v/>
      </c>
      <c r="F1170" s="206"/>
      <c r="G1170" s="206"/>
      <c r="H1170" s="206"/>
      <c r="I1170" s="206"/>
      <c r="J1170" s="206" t="str">
        <f t="shared" si="265"/>
        <v/>
      </c>
      <c r="K1170" s="206" t="str">
        <f t="shared" si="267"/>
        <v/>
      </c>
      <c r="L1170" s="206" t="str">
        <f t="shared" si="268"/>
        <v/>
      </c>
      <c r="M1170" s="206" t="str">
        <f t="shared" si="269"/>
        <v/>
      </c>
      <c r="N1170" s="206" t="str">
        <f t="shared" si="270"/>
        <v/>
      </c>
      <c r="O1170" s="206" t="str">
        <f t="shared" si="271"/>
        <v/>
      </c>
      <c r="P1170" s="84" t="str">
        <f t="shared" si="272"/>
        <v/>
      </c>
      <c r="Q1170" s="205"/>
      <c r="R1170" s="70" t="str">
        <f>IF(S1170="IN",'BOM_Phan II'!$Y$3,"")</f>
        <v/>
      </c>
      <c r="S1170" s="69" t="str">
        <f t="shared" si="264"/>
        <v/>
      </c>
      <c r="T1170">
        <f t="shared" si="273"/>
        <v>3</v>
      </c>
      <c r="U1170" t="str">
        <f t="shared" si="261"/>
        <v>KIỆN 14</v>
      </c>
      <c r="V1170" t="str">
        <f t="shared" si="274"/>
        <v/>
      </c>
      <c r="W1170" s="266"/>
      <c r="X1170" s="266"/>
      <c r="Y1170" s="266" t="str">
        <f t="shared" si="266"/>
        <v/>
      </c>
      <c r="Z1170" s="266"/>
    </row>
    <row r="1171" spans="1:26" ht="27" hidden="1" customHeight="1">
      <c r="A1171" s="70" t="str">
        <f t="shared" si="262"/>
        <v/>
      </c>
      <c r="B1171" s="70" t="str">
        <f t="shared" si="263"/>
        <v/>
      </c>
      <c r="C1171" s="204" t="str" cm="1">
        <f t="array" ref="C1171">IF(D1171="","",
    IF(AND(ISNUMBER(D1171), D1171=INT(D1171)),
        $V$6 &amp; " " &amp; (IFERROR(MAX($Y$12:$Y1170), 0) + 1),
        IF(ISNUMBER(SEARCH(".", D1171)), "", INDEX($C$12:$C1171, MATCH(2, 1/($C$12:$C1171 &lt;&gt; ""))))
    )
)</f>
        <v/>
      </c>
      <c r="D1171" s="206"/>
      <c r="E1171" s="206" t="str">
        <f>IF(AA1171 = "", "",
    IF(ISNUMBER(SEARCH("Kiện", C1171)),
       " GÓI " &amp; COUNTIF($C$13:C1171, "*Kiện*") &amp; "/" &amp; COUNTIF($C$13:$C$1000, "*Kiện*") &amp; " " &amp; AA1171,
       AA1171)
)</f>
        <v/>
      </c>
      <c r="F1171" s="206"/>
      <c r="G1171" s="206"/>
      <c r="H1171" s="206"/>
      <c r="I1171" s="206"/>
      <c r="J1171" s="206" t="str">
        <f t="shared" si="265"/>
        <v/>
      </c>
      <c r="K1171" s="206" t="str">
        <f t="shared" si="267"/>
        <v/>
      </c>
      <c r="L1171" s="206" t="str">
        <f t="shared" si="268"/>
        <v/>
      </c>
      <c r="M1171" s="206" t="str">
        <f t="shared" si="269"/>
        <v/>
      </c>
      <c r="N1171" s="206" t="str">
        <f t="shared" si="270"/>
        <v/>
      </c>
      <c r="O1171" s="206" t="str">
        <f t="shared" si="271"/>
        <v/>
      </c>
      <c r="P1171" s="84" t="str">
        <f t="shared" si="272"/>
        <v/>
      </c>
      <c r="Q1171" s="205"/>
      <c r="R1171" s="70" t="str">
        <f>IF(S1171="IN",'BOM_Phan II'!$Y$3,"")</f>
        <v/>
      </c>
      <c r="S1171" s="69" t="str">
        <f t="shared" si="264"/>
        <v/>
      </c>
      <c r="T1171">
        <f t="shared" si="273"/>
        <v>3</v>
      </c>
      <c r="U1171" t="str">
        <f t="shared" si="261"/>
        <v>KIỆN 14</v>
      </c>
      <c r="V1171" t="str">
        <f t="shared" si="274"/>
        <v/>
      </c>
      <c r="W1171" s="266"/>
      <c r="X1171" s="266"/>
      <c r="Y1171" s="266" t="str">
        <f t="shared" si="266"/>
        <v/>
      </c>
      <c r="Z1171" s="266"/>
    </row>
    <row r="1172" spans="1:26" ht="27" hidden="1" customHeight="1">
      <c r="A1172" s="70" t="str">
        <f t="shared" si="262"/>
        <v/>
      </c>
      <c r="B1172" s="70" t="str">
        <f t="shared" si="263"/>
        <v/>
      </c>
      <c r="C1172" s="204" t="str" cm="1">
        <f t="array" ref="C1172">IF(D1172="","",
    IF(AND(ISNUMBER(D1172), D1172=INT(D1172)),
        $V$6 &amp; " " &amp; (IFERROR(MAX($Y$12:$Y1171), 0) + 1),
        IF(ISNUMBER(SEARCH(".", D1172)), "", INDEX($C$12:$C1172, MATCH(2, 1/($C$12:$C1172 &lt;&gt; ""))))
    )
)</f>
        <v/>
      </c>
      <c r="D1172" s="206"/>
      <c r="E1172" s="206" t="str">
        <f>IF(AA1172 = "", "",
    IF(ISNUMBER(SEARCH("Kiện", C1172)),
       " GÓI " &amp; COUNTIF($C$13:C1172, "*Kiện*") &amp; "/" &amp; COUNTIF($C$13:$C$1000, "*Kiện*") &amp; " " &amp; AA1172,
       AA1172)
)</f>
        <v/>
      </c>
      <c r="F1172" s="206"/>
      <c r="G1172" s="206"/>
      <c r="H1172" s="206"/>
      <c r="I1172" s="206"/>
      <c r="J1172" s="206" t="str">
        <f t="shared" si="265"/>
        <v/>
      </c>
      <c r="K1172" s="206" t="str">
        <f t="shared" si="267"/>
        <v/>
      </c>
      <c r="L1172" s="206" t="str">
        <f t="shared" si="268"/>
        <v/>
      </c>
      <c r="M1172" s="206" t="str">
        <f t="shared" si="269"/>
        <v/>
      </c>
      <c r="N1172" s="206" t="str">
        <f t="shared" si="270"/>
        <v/>
      </c>
      <c r="O1172" s="206" t="str">
        <f t="shared" si="271"/>
        <v/>
      </c>
      <c r="P1172" s="84" t="str">
        <f t="shared" si="272"/>
        <v/>
      </c>
      <c r="Q1172" s="205"/>
      <c r="R1172" s="70" t="str">
        <f>IF(S1172="IN",'BOM_Phan II'!$Y$3,"")</f>
        <v/>
      </c>
      <c r="S1172" s="69" t="str">
        <f t="shared" si="264"/>
        <v/>
      </c>
      <c r="T1172">
        <f t="shared" si="273"/>
        <v>3</v>
      </c>
      <c r="U1172" t="str">
        <f t="shared" si="261"/>
        <v>KIỆN 14</v>
      </c>
      <c r="V1172" t="str">
        <f t="shared" si="274"/>
        <v/>
      </c>
      <c r="W1172" s="266"/>
      <c r="X1172" s="266"/>
      <c r="Y1172" s="266" t="str">
        <f t="shared" si="266"/>
        <v/>
      </c>
      <c r="Z1172" s="266"/>
    </row>
    <row r="1173" spans="1:26" ht="27" hidden="1" customHeight="1">
      <c r="A1173" s="70" t="str">
        <f t="shared" si="262"/>
        <v/>
      </c>
      <c r="B1173" s="70" t="str">
        <f t="shared" si="263"/>
        <v/>
      </c>
      <c r="C1173" s="204" t="str" cm="1">
        <f t="array" ref="C1173">IF(D1173="","",
    IF(AND(ISNUMBER(D1173), D1173=INT(D1173)),
        $V$6 &amp; " " &amp; (IFERROR(MAX($Y$12:$Y1172), 0) + 1),
        IF(ISNUMBER(SEARCH(".", D1173)), "", INDEX($C$12:$C1173, MATCH(2, 1/($C$12:$C1173 &lt;&gt; ""))))
    )
)</f>
        <v/>
      </c>
      <c r="D1173" s="206"/>
      <c r="E1173" s="206" t="str">
        <f>IF(AA1173 = "", "",
    IF(ISNUMBER(SEARCH("Kiện", C1173)),
       " GÓI " &amp; COUNTIF($C$13:C1173, "*Kiện*") &amp; "/" &amp; COUNTIF($C$13:$C$1000, "*Kiện*") &amp; " " &amp; AA1173,
       AA1173)
)</f>
        <v/>
      </c>
      <c r="F1173" s="206"/>
      <c r="G1173" s="206"/>
      <c r="H1173" s="206"/>
      <c r="I1173" s="206"/>
      <c r="J1173" s="206" t="str">
        <f t="shared" si="265"/>
        <v/>
      </c>
      <c r="K1173" s="206" t="str">
        <f t="shared" si="267"/>
        <v/>
      </c>
      <c r="L1173" s="206" t="str">
        <f t="shared" si="268"/>
        <v/>
      </c>
      <c r="M1173" s="206" t="str">
        <f t="shared" si="269"/>
        <v/>
      </c>
      <c r="N1173" s="206" t="str">
        <f t="shared" si="270"/>
        <v/>
      </c>
      <c r="O1173" s="206" t="str">
        <f t="shared" si="271"/>
        <v/>
      </c>
      <c r="P1173" s="84" t="str">
        <f t="shared" si="272"/>
        <v/>
      </c>
      <c r="Q1173" s="205"/>
      <c r="R1173" s="70" t="str">
        <f>IF(S1173="IN",'BOM_Phan II'!$Y$3,"")</f>
        <v/>
      </c>
      <c r="S1173" s="69" t="str">
        <f t="shared" si="264"/>
        <v/>
      </c>
      <c r="T1173">
        <f t="shared" si="273"/>
        <v>3</v>
      </c>
      <c r="U1173" t="str">
        <f t="shared" si="261"/>
        <v>KIỆN 14</v>
      </c>
      <c r="V1173" t="str">
        <f t="shared" si="274"/>
        <v/>
      </c>
      <c r="W1173" s="266"/>
      <c r="X1173" s="266"/>
      <c r="Y1173" s="266" t="str">
        <f t="shared" si="266"/>
        <v/>
      </c>
      <c r="Z1173" s="266"/>
    </row>
    <row r="1174" spans="1:26" ht="27" hidden="1" customHeight="1">
      <c r="A1174" s="70" t="str">
        <f t="shared" si="262"/>
        <v/>
      </c>
      <c r="B1174" s="70" t="str">
        <f t="shared" si="263"/>
        <v/>
      </c>
      <c r="C1174" s="204" t="str" cm="1">
        <f t="array" ref="C1174">IF(D1174="","",
    IF(AND(ISNUMBER(D1174), D1174=INT(D1174)),
        $V$6 &amp; " " &amp; (IFERROR(MAX($Y$12:$Y1173), 0) + 1),
        IF(ISNUMBER(SEARCH(".", D1174)), "", INDEX($C$12:$C1174, MATCH(2, 1/($C$12:$C1174 &lt;&gt; ""))))
    )
)</f>
        <v/>
      </c>
      <c r="D1174" s="206"/>
      <c r="E1174" s="206" t="str">
        <f>IF(AA1174 = "", "",
    IF(ISNUMBER(SEARCH("Kiện", C1174)),
       " GÓI " &amp; COUNTIF($C$13:C1174, "*Kiện*") &amp; "/" &amp; COUNTIF($C$13:$C$1000, "*Kiện*") &amp; " " &amp; AA1174,
       AA1174)
)</f>
        <v/>
      </c>
      <c r="F1174" s="206"/>
      <c r="G1174" s="206"/>
      <c r="H1174" s="206"/>
      <c r="I1174" s="206"/>
      <c r="J1174" s="206" t="str">
        <f t="shared" si="265"/>
        <v/>
      </c>
      <c r="K1174" s="206" t="str">
        <f t="shared" si="267"/>
        <v/>
      </c>
      <c r="L1174" s="206" t="str">
        <f t="shared" si="268"/>
        <v/>
      </c>
      <c r="M1174" s="206" t="str">
        <f t="shared" si="269"/>
        <v/>
      </c>
      <c r="N1174" s="206" t="str">
        <f t="shared" si="270"/>
        <v/>
      </c>
      <c r="O1174" s="206" t="str">
        <f t="shared" si="271"/>
        <v/>
      </c>
      <c r="P1174" s="84" t="str">
        <f t="shared" si="272"/>
        <v/>
      </c>
      <c r="Q1174" s="205"/>
      <c r="R1174" s="70" t="str">
        <f>IF(S1174="IN",'BOM_Phan II'!$Y$3,"")</f>
        <v/>
      </c>
      <c r="S1174" s="69" t="str">
        <f t="shared" si="264"/>
        <v/>
      </c>
      <c r="T1174">
        <f t="shared" si="273"/>
        <v>3</v>
      </c>
      <c r="U1174" t="str">
        <f t="shared" si="261"/>
        <v>KIỆN 14</v>
      </c>
      <c r="V1174" t="str">
        <f t="shared" si="274"/>
        <v/>
      </c>
      <c r="W1174" s="266"/>
      <c r="X1174" s="266"/>
      <c r="Y1174" s="266" t="str">
        <f t="shared" si="266"/>
        <v/>
      </c>
      <c r="Z1174" s="266"/>
    </row>
    <row r="1175" spans="1:26" ht="27" hidden="1" customHeight="1">
      <c r="A1175" s="70" t="str">
        <f t="shared" si="262"/>
        <v/>
      </c>
      <c r="B1175" s="70" t="str">
        <f t="shared" si="263"/>
        <v/>
      </c>
      <c r="C1175" s="204" t="str" cm="1">
        <f t="array" ref="C1175">IF(D1175="","",
    IF(AND(ISNUMBER(D1175), D1175=INT(D1175)),
        $V$6 &amp; " " &amp; (IFERROR(MAX($Y$12:$Y1174), 0) + 1),
        IF(ISNUMBER(SEARCH(".", D1175)), "", INDEX($C$12:$C1175, MATCH(2, 1/($C$12:$C1175 &lt;&gt; ""))))
    )
)</f>
        <v/>
      </c>
      <c r="D1175" s="206"/>
      <c r="E1175" s="206" t="str">
        <f>IF(AA1175 = "", "",
    IF(ISNUMBER(SEARCH("Kiện", C1175)),
       " GÓI " &amp; COUNTIF($C$13:C1175, "*Kiện*") &amp; "/" &amp; COUNTIF($C$13:$C$1000, "*Kiện*") &amp; " " &amp; AA1175,
       AA1175)
)</f>
        <v/>
      </c>
      <c r="F1175" s="206"/>
      <c r="G1175" s="206"/>
      <c r="H1175" s="206"/>
      <c r="I1175" s="206"/>
      <c r="J1175" s="206" t="str">
        <f t="shared" si="265"/>
        <v/>
      </c>
      <c r="K1175" s="206" t="str">
        <f t="shared" si="267"/>
        <v/>
      </c>
      <c r="L1175" s="206" t="str">
        <f t="shared" si="268"/>
        <v/>
      </c>
      <c r="M1175" s="206" t="str">
        <f t="shared" si="269"/>
        <v/>
      </c>
      <c r="N1175" s="206" t="str">
        <f t="shared" si="270"/>
        <v/>
      </c>
      <c r="O1175" s="206" t="str">
        <f t="shared" si="271"/>
        <v/>
      </c>
      <c r="P1175" s="84" t="str">
        <f t="shared" si="272"/>
        <v/>
      </c>
      <c r="Q1175" s="205"/>
      <c r="R1175" s="70" t="str">
        <f>IF(S1175="IN",'BOM_Phan II'!$Y$3,"")</f>
        <v/>
      </c>
      <c r="S1175" s="69" t="str">
        <f t="shared" si="264"/>
        <v/>
      </c>
      <c r="T1175">
        <f t="shared" si="273"/>
        <v>3</v>
      </c>
      <c r="U1175" t="str">
        <f t="shared" si="261"/>
        <v>KIỆN 14</v>
      </c>
      <c r="V1175" t="str">
        <f t="shared" si="274"/>
        <v/>
      </c>
      <c r="W1175" s="266"/>
      <c r="X1175" s="266"/>
      <c r="Y1175" s="266" t="str">
        <f t="shared" si="266"/>
        <v/>
      </c>
      <c r="Z1175" s="266"/>
    </row>
    <row r="1176" spans="1:26" ht="27" hidden="1" customHeight="1">
      <c r="A1176" s="70" t="str">
        <f t="shared" si="262"/>
        <v/>
      </c>
      <c r="B1176" s="70" t="str">
        <f t="shared" si="263"/>
        <v/>
      </c>
      <c r="C1176" s="204" t="str" cm="1">
        <f t="array" ref="C1176">IF(D1176="","",
    IF(AND(ISNUMBER(D1176), D1176=INT(D1176)),
        $V$6 &amp; " " &amp; (IFERROR(MAX($Y$12:$Y1175), 0) + 1),
        IF(ISNUMBER(SEARCH(".", D1176)), "", INDEX($C$12:$C1176, MATCH(2, 1/($C$12:$C1176 &lt;&gt; ""))))
    )
)</f>
        <v/>
      </c>
      <c r="D1176" s="206"/>
      <c r="E1176" s="206" t="str">
        <f>IF(AA1176 = "", "",
    IF(ISNUMBER(SEARCH("Kiện", C1176)),
       " GÓI " &amp; COUNTIF($C$13:C1176, "*Kiện*") &amp; "/" &amp; COUNTIF($C$13:$C$1000, "*Kiện*") &amp; " " &amp; AA1176,
       AA1176)
)</f>
        <v/>
      </c>
      <c r="F1176" s="206"/>
      <c r="G1176" s="206"/>
      <c r="H1176" s="206"/>
      <c r="I1176" s="206"/>
      <c r="J1176" s="206" t="str">
        <f t="shared" si="265"/>
        <v/>
      </c>
      <c r="K1176" s="206" t="str">
        <f t="shared" si="267"/>
        <v/>
      </c>
      <c r="L1176" s="206" t="str">
        <f t="shared" si="268"/>
        <v/>
      </c>
      <c r="M1176" s="206" t="str">
        <f t="shared" si="269"/>
        <v/>
      </c>
      <c r="N1176" s="206" t="str">
        <f t="shared" si="270"/>
        <v/>
      </c>
      <c r="O1176" s="206" t="str">
        <f t="shared" si="271"/>
        <v/>
      </c>
      <c r="P1176" s="84" t="str">
        <f t="shared" si="272"/>
        <v/>
      </c>
      <c r="Q1176" s="205"/>
      <c r="R1176" s="70" t="str">
        <f>IF(S1176="IN",'BOM_Phan II'!$Y$3,"")</f>
        <v/>
      </c>
      <c r="S1176" s="69" t="str">
        <f t="shared" si="264"/>
        <v/>
      </c>
      <c r="T1176">
        <f t="shared" si="273"/>
        <v>3</v>
      </c>
      <c r="U1176" t="str">
        <f t="shared" si="261"/>
        <v>KIỆN 14</v>
      </c>
      <c r="V1176" t="str">
        <f t="shared" si="274"/>
        <v/>
      </c>
      <c r="W1176" s="266"/>
      <c r="X1176" s="266"/>
      <c r="Y1176" s="266" t="str">
        <f t="shared" si="266"/>
        <v/>
      </c>
      <c r="Z1176" s="266"/>
    </row>
    <row r="1177" spans="1:26" ht="27" hidden="1" customHeight="1">
      <c r="A1177" s="70" t="str">
        <f t="shared" si="262"/>
        <v/>
      </c>
      <c r="B1177" s="70" t="str">
        <f t="shared" si="263"/>
        <v/>
      </c>
      <c r="C1177" s="204" t="str" cm="1">
        <f t="array" ref="C1177">IF(D1177="","",
    IF(AND(ISNUMBER(D1177), D1177=INT(D1177)),
        $V$6 &amp; " " &amp; (IFERROR(MAX($Y$12:$Y1176), 0) + 1),
        IF(ISNUMBER(SEARCH(".", D1177)), "", INDEX($C$12:$C1177, MATCH(2, 1/($C$12:$C1177 &lt;&gt; ""))))
    )
)</f>
        <v/>
      </c>
      <c r="D1177" s="206"/>
      <c r="E1177" s="206" t="str">
        <f>IF(AA1177 = "", "",
    IF(ISNUMBER(SEARCH("Kiện", C1177)),
       " GÓI " &amp; COUNTIF($C$13:C1177, "*Kiện*") &amp; "/" &amp; COUNTIF($C$13:$C$1000, "*Kiện*") &amp; " " &amp; AA1177,
       AA1177)
)</f>
        <v/>
      </c>
      <c r="F1177" s="206"/>
      <c r="G1177" s="206"/>
      <c r="H1177" s="206"/>
      <c r="I1177" s="206"/>
      <c r="J1177" s="206" t="str">
        <f t="shared" si="265"/>
        <v/>
      </c>
      <c r="K1177" s="206" t="str">
        <f t="shared" si="267"/>
        <v/>
      </c>
      <c r="L1177" s="206" t="str">
        <f t="shared" si="268"/>
        <v/>
      </c>
      <c r="M1177" s="206" t="str">
        <f t="shared" si="269"/>
        <v/>
      </c>
      <c r="N1177" s="206" t="str">
        <f t="shared" si="270"/>
        <v/>
      </c>
      <c r="O1177" s="206" t="str">
        <f t="shared" si="271"/>
        <v/>
      </c>
      <c r="P1177" s="84" t="str">
        <f t="shared" si="272"/>
        <v/>
      </c>
      <c r="Q1177" s="205"/>
      <c r="R1177" s="70" t="str">
        <f>IF(S1177="IN",'BOM_Phan II'!$Y$3,"")</f>
        <v/>
      </c>
      <c r="S1177" s="69" t="str">
        <f t="shared" si="264"/>
        <v/>
      </c>
      <c r="T1177">
        <f t="shared" si="273"/>
        <v>3</v>
      </c>
      <c r="U1177" t="str">
        <f t="shared" si="261"/>
        <v>KIỆN 14</v>
      </c>
      <c r="V1177" t="str">
        <f t="shared" si="274"/>
        <v/>
      </c>
      <c r="W1177" s="266"/>
      <c r="X1177" s="266"/>
      <c r="Y1177" s="266" t="str">
        <f t="shared" si="266"/>
        <v/>
      </c>
      <c r="Z1177" s="266"/>
    </row>
    <row r="1178" spans="1:26" ht="27" hidden="1" customHeight="1">
      <c r="A1178" s="70" t="str">
        <f t="shared" si="262"/>
        <v/>
      </c>
      <c r="B1178" s="70" t="str">
        <f t="shared" si="263"/>
        <v/>
      </c>
      <c r="C1178" s="204" t="str" cm="1">
        <f t="array" ref="C1178">IF(D1178="","",
    IF(AND(ISNUMBER(D1178), D1178=INT(D1178)),
        $V$6 &amp; " " &amp; (IFERROR(MAX($Y$12:$Y1177), 0) + 1),
        IF(ISNUMBER(SEARCH(".", D1178)), "", INDEX($C$12:$C1178, MATCH(2, 1/($C$12:$C1178 &lt;&gt; ""))))
    )
)</f>
        <v/>
      </c>
      <c r="D1178" s="206"/>
      <c r="E1178" s="206" t="str">
        <f>IF(AA1178 = "", "",
    IF(ISNUMBER(SEARCH("Kiện", C1178)),
       " GÓI " &amp; COUNTIF($C$13:C1178, "*Kiện*") &amp; "/" &amp; COUNTIF($C$13:$C$1000, "*Kiện*") &amp; " " &amp; AA1178,
       AA1178)
)</f>
        <v/>
      </c>
      <c r="F1178" s="206"/>
      <c r="G1178" s="206"/>
      <c r="H1178" s="206"/>
      <c r="I1178" s="206"/>
      <c r="J1178" s="206" t="str">
        <f t="shared" si="265"/>
        <v/>
      </c>
      <c r="K1178" s="206" t="str">
        <f t="shared" si="267"/>
        <v/>
      </c>
      <c r="L1178" s="206" t="str">
        <f t="shared" si="268"/>
        <v/>
      </c>
      <c r="M1178" s="206" t="str">
        <f t="shared" si="269"/>
        <v/>
      </c>
      <c r="N1178" s="206" t="str">
        <f t="shared" si="270"/>
        <v/>
      </c>
      <c r="O1178" s="206" t="str">
        <f t="shared" si="271"/>
        <v/>
      </c>
      <c r="P1178" s="84" t="str">
        <f t="shared" si="272"/>
        <v/>
      </c>
      <c r="Q1178" s="205"/>
      <c r="R1178" s="70" t="str">
        <f>IF(S1178="IN",'BOM_Phan II'!$Y$3,"")</f>
        <v/>
      </c>
      <c r="S1178" s="69" t="str">
        <f t="shared" si="264"/>
        <v/>
      </c>
      <c r="T1178">
        <f t="shared" si="273"/>
        <v>3</v>
      </c>
      <c r="U1178" t="str">
        <f t="shared" si="261"/>
        <v>KIỆN 14</v>
      </c>
      <c r="V1178" t="str">
        <f t="shared" si="274"/>
        <v/>
      </c>
      <c r="W1178" s="266"/>
      <c r="X1178" s="266"/>
      <c r="Y1178" s="266" t="str">
        <f t="shared" si="266"/>
        <v/>
      </c>
      <c r="Z1178" s="266"/>
    </row>
    <row r="1179" spans="1:26" ht="27" hidden="1" customHeight="1">
      <c r="A1179" s="70" t="str">
        <f t="shared" si="262"/>
        <v/>
      </c>
      <c r="B1179" s="70" t="str">
        <f t="shared" si="263"/>
        <v/>
      </c>
      <c r="C1179" s="204" t="str" cm="1">
        <f t="array" ref="C1179">IF(D1179="","",
    IF(AND(ISNUMBER(D1179), D1179=INT(D1179)),
        $V$6 &amp; " " &amp; (IFERROR(MAX($Y$12:$Y1178), 0) + 1),
        IF(ISNUMBER(SEARCH(".", D1179)), "", INDEX($C$12:$C1179, MATCH(2, 1/($C$12:$C1179 &lt;&gt; ""))))
    )
)</f>
        <v/>
      </c>
      <c r="D1179" s="206"/>
      <c r="E1179" s="206" t="str">
        <f>IF(AA1179 = "", "",
    IF(ISNUMBER(SEARCH("Kiện", C1179)),
       " GÓI " &amp; COUNTIF($C$13:C1179, "*Kiện*") &amp; "/" &amp; COUNTIF($C$13:$C$1000, "*Kiện*") &amp; " " &amp; AA1179,
       AA1179)
)</f>
        <v/>
      </c>
      <c r="F1179" s="206"/>
      <c r="G1179" s="206"/>
      <c r="H1179" s="206"/>
      <c r="I1179" s="206"/>
      <c r="J1179" s="206" t="str">
        <f t="shared" si="265"/>
        <v/>
      </c>
      <c r="K1179" s="206" t="str">
        <f t="shared" si="267"/>
        <v/>
      </c>
      <c r="L1179" s="206" t="str">
        <f t="shared" si="268"/>
        <v/>
      </c>
      <c r="M1179" s="206" t="str">
        <f t="shared" si="269"/>
        <v/>
      </c>
      <c r="N1179" s="206" t="str">
        <f t="shared" si="270"/>
        <v/>
      </c>
      <c r="O1179" s="206" t="str">
        <f t="shared" si="271"/>
        <v/>
      </c>
      <c r="P1179" s="84" t="str">
        <f t="shared" si="272"/>
        <v/>
      </c>
      <c r="Q1179" s="205"/>
      <c r="R1179" s="70" t="str">
        <f>IF(S1179="IN",'BOM_Phan II'!$Y$3,"")</f>
        <v/>
      </c>
      <c r="S1179" s="69" t="str">
        <f t="shared" si="264"/>
        <v/>
      </c>
      <c r="T1179">
        <f t="shared" si="273"/>
        <v>3</v>
      </c>
      <c r="U1179" t="str">
        <f t="shared" si="261"/>
        <v>KIỆN 14</v>
      </c>
      <c r="V1179" t="str">
        <f t="shared" si="274"/>
        <v/>
      </c>
      <c r="W1179" s="266"/>
      <c r="X1179" s="266"/>
      <c r="Y1179" s="266" t="str">
        <f t="shared" si="266"/>
        <v/>
      </c>
      <c r="Z1179" s="266"/>
    </row>
    <row r="1180" spans="1:26" ht="27" hidden="1" customHeight="1">
      <c r="A1180" s="70" t="str">
        <f t="shared" si="262"/>
        <v/>
      </c>
      <c r="B1180" s="70" t="str">
        <f t="shared" si="263"/>
        <v/>
      </c>
      <c r="C1180" s="204" t="str" cm="1">
        <f t="array" ref="C1180">IF(D1180="","",
    IF(AND(ISNUMBER(D1180), D1180=INT(D1180)),
        $V$6 &amp; " " &amp; (IFERROR(MAX($Y$12:$Y1179), 0) + 1),
        IF(ISNUMBER(SEARCH(".", D1180)), "", INDEX($C$12:$C1180, MATCH(2, 1/($C$12:$C1180 &lt;&gt; ""))))
    )
)</f>
        <v/>
      </c>
      <c r="D1180" s="206"/>
      <c r="E1180" s="206" t="str">
        <f>IF(AA1180 = "", "",
    IF(ISNUMBER(SEARCH("Kiện", C1180)),
       " GÓI " &amp; COUNTIF($C$13:C1180, "*Kiện*") &amp; "/" &amp; COUNTIF($C$13:$C$1000, "*Kiện*") &amp; " " &amp; AA1180,
       AA1180)
)</f>
        <v/>
      </c>
      <c r="F1180" s="206"/>
      <c r="G1180" s="206"/>
      <c r="H1180" s="206"/>
      <c r="I1180" s="206"/>
      <c r="J1180" s="206" t="str">
        <f t="shared" si="265"/>
        <v/>
      </c>
      <c r="K1180" s="206" t="str">
        <f t="shared" si="267"/>
        <v/>
      </c>
      <c r="L1180" s="206" t="str">
        <f t="shared" si="268"/>
        <v/>
      </c>
      <c r="M1180" s="206" t="str">
        <f t="shared" si="269"/>
        <v/>
      </c>
      <c r="N1180" s="206" t="str">
        <f t="shared" si="270"/>
        <v/>
      </c>
      <c r="O1180" s="206" t="str">
        <f t="shared" si="271"/>
        <v/>
      </c>
      <c r="P1180" s="84" t="str">
        <f t="shared" si="272"/>
        <v/>
      </c>
      <c r="Q1180" s="205"/>
      <c r="R1180" s="70" t="str">
        <f>IF(S1180="IN",'BOM_Phan II'!$Y$3,"")</f>
        <v/>
      </c>
      <c r="S1180" s="69" t="str">
        <f t="shared" si="264"/>
        <v/>
      </c>
      <c r="T1180">
        <f t="shared" si="273"/>
        <v>3</v>
      </c>
      <c r="U1180" t="str">
        <f t="shared" si="261"/>
        <v>KIỆN 14</v>
      </c>
      <c r="V1180" t="str">
        <f t="shared" si="274"/>
        <v/>
      </c>
      <c r="W1180" s="266"/>
      <c r="X1180" s="266"/>
      <c r="Y1180" s="266" t="str">
        <f t="shared" si="266"/>
        <v/>
      </c>
      <c r="Z1180" s="266"/>
    </row>
    <row r="1181" spans="1:26" ht="27" hidden="1" customHeight="1">
      <c r="A1181" s="70" t="str">
        <f t="shared" si="262"/>
        <v/>
      </c>
      <c r="B1181" s="70" t="str">
        <f t="shared" si="263"/>
        <v/>
      </c>
      <c r="C1181" s="204" t="str" cm="1">
        <f t="array" ref="C1181">IF(D1181="","",
    IF(AND(ISNUMBER(D1181), D1181=INT(D1181)),
        $V$6 &amp; " " &amp; (IFERROR(MAX($Y$12:$Y1180), 0) + 1),
        IF(ISNUMBER(SEARCH(".", D1181)), "", INDEX($C$12:$C1181, MATCH(2, 1/($C$12:$C1181 &lt;&gt; ""))))
    )
)</f>
        <v/>
      </c>
      <c r="D1181" s="206"/>
      <c r="E1181" s="206" t="str">
        <f>IF(AA1181 = "", "",
    IF(ISNUMBER(SEARCH("Kiện", C1181)),
       " GÓI " &amp; COUNTIF($C$13:C1181, "*Kiện*") &amp; "/" &amp; COUNTIF($C$13:$C$1000, "*Kiện*") &amp; " " &amp; AA1181,
       AA1181)
)</f>
        <v/>
      </c>
      <c r="F1181" s="206"/>
      <c r="G1181" s="206"/>
      <c r="H1181" s="206"/>
      <c r="I1181" s="206"/>
      <c r="J1181" s="206" t="str">
        <f t="shared" si="265"/>
        <v/>
      </c>
      <c r="K1181" s="206" t="str">
        <f t="shared" si="267"/>
        <v/>
      </c>
      <c r="L1181" s="206" t="str">
        <f t="shared" si="268"/>
        <v/>
      </c>
      <c r="M1181" s="206" t="str">
        <f t="shared" si="269"/>
        <v/>
      </c>
      <c r="N1181" s="206" t="str">
        <f t="shared" si="270"/>
        <v/>
      </c>
      <c r="O1181" s="206" t="str">
        <f t="shared" si="271"/>
        <v/>
      </c>
      <c r="P1181" s="84" t="str">
        <f t="shared" si="272"/>
        <v/>
      </c>
      <c r="Q1181" s="205"/>
      <c r="R1181" s="70" t="str">
        <f>IF(S1181="IN",'BOM_Phan II'!$Y$3,"")</f>
        <v/>
      </c>
      <c r="S1181" s="69" t="str">
        <f t="shared" si="264"/>
        <v/>
      </c>
      <c r="T1181">
        <f t="shared" si="273"/>
        <v>3</v>
      </c>
      <c r="U1181" t="str">
        <f t="shared" si="261"/>
        <v>KIỆN 14</v>
      </c>
      <c r="V1181" t="str">
        <f t="shared" si="274"/>
        <v/>
      </c>
      <c r="W1181" s="266"/>
      <c r="X1181" s="266"/>
      <c r="Y1181" s="266" t="str">
        <f t="shared" si="266"/>
        <v/>
      </c>
      <c r="Z1181" s="266"/>
    </row>
    <row r="1182" spans="1:26" ht="27" hidden="1" customHeight="1">
      <c r="A1182" s="70" t="str">
        <f t="shared" si="262"/>
        <v/>
      </c>
      <c r="B1182" s="70" t="str">
        <f t="shared" si="263"/>
        <v/>
      </c>
      <c r="C1182" s="204" t="str" cm="1">
        <f t="array" ref="C1182">IF(D1182="","",
    IF(AND(ISNUMBER(D1182), D1182=INT(D1182)),
        $V$6 &amp; " " &amp; (IFERROR(MAX($Y$12:$Y1181), 0) + 1),
        IF(ISNUMBER(SEARCH(".", D1182)), "", INDEX($C$12:$C1182, MATCH(2, 1/($C$12:$C1182 &lt;&gt; ""))))
    )
)</f>
        <v/>
      </c>
      <c r="D1182" s="206"/>
      <c r="E1182" s="206" t="str">
        <f>IF(AA1182 = "", "",
    IF(ISNUMBER(SEARCH("Kiện", C1182)),
       " GÓI " &amp; COUNTIF($C$13:C1182, "*Kiện*") &amp; "/" &amp; COUNTIF($C$13:$C$1000, "*Kiện*") &amp; " " &amp; AA1182,
       AA1182)
)</f>
        <v/>
      </c>
      <c r="F1182" s="206"/>
      <c r="G1182" s="206"/>
      <c r="H1182" s="206"/>
      <c r="I1182" s="206"/>
      <c r="J1182" s="206" t="str">
        <f t="shared" si="265"/>
        <v/>
      </c>
      <c r="K1182" s="206" t="str">
        <f t="shared" si="267"/>
        <v/>
      </c>
      <c r="L1182" s="206" t="str">
        <f t="shared" si="268"/>
        <v/>
      </c>
      <c r="M1182" s="206" t="str">
        <f t="shared" si="269"/>
        <v/>
      </c>
      <c r="N1182" s="206" t="str">
        <f t="shared" si="270"/>
        <v/>
      </c>
      <c r="O1182" s="206" t="str">
        <f t="shared" si="271"/>
        <v/>
      </c>
      <c r="P1182" s="84" t="str">
        <f t="shared" si="272"/>
        <v/>
      </c>
      <c r="Q1182" s="205"/>
      <c r="R1182" s="70" t="str">
        <f>IF(S1182="IN",'BOM_Phan II'!$Y$3,"")</f>
        <v/>
      </c>
      <c r="S1182" s="69" t="str">
        <f t="shared" si="264"/>
        <v/>
      </c>
      <c r="T1182">
        <f t="shared" si="273"/>
        <v>3</v>
      </c>
      <c r="U1182" t="str">
        <f t="shared" si="261"/>
        <v>KIỆN 14</v>
      </c>
      <c r="V1182" t="str">
        <f t="shared" si="274"/>
        <v/>
      </c>
      <c r="W1182" s="266"/>
      <c r="X1182" s="266"/>
      <c r="Y1182" s="266" t="str">
        <f t="shared" si="266"/>
        <v/>
      </c>
      <c r="Z1182" s="266"/>
    </row>
    <row r="1183" spans="1:26" ht="27" hidden="1" customHeight="1">
      <c r="A1183" s="70" t="str">
        <f t="shared" si="262"/>
        <v/>
      </c>
      <c r="B1183" s="70" t="str">
        <f t="shared" si="263"/>
        <v/>
      </c>
      <c r="C1183" s="204" t="str" cm="1">
        <f t="array" ref="C1183">IF(D1183="","",
    IF(AND(ISNUMBER(D1183), D1183=INT(D1183)),
        $V$6 &amp; " " &amp; (IFERROR(MAX($Y$12:$Y1182), 0) + 1),
        IF(ISNUMBER(SEARCH(".", D1183)), "", INDEX($C$12:$C1183, MATCH(2, 1/($C$12:$C1183 &lt;&gt; ""))))
    )
)</f>
        <v/>
      </c>
      <c r="D1183" s="206"/>
      <c r="E1183" s="206" t="str">
        <f>IF(AA1183 = "", "",
    IF(ISNUMBER(SEARCH("Kiện", C1183)),
       " GÓI " &amp; COUNTIF($C$13:C1183, "*Kiện*") &amp; "/" &amp; COUNTIF($C$13:$C$1000, "*Kiện*") &amp; " " &amp; AA1183,
       AA1183)
)</f>
        <v/>
      </c>
      <c r="F1183" s="206"/>
      <c r="G1183" s="206"/>
      <c r="H1183" s="206"/>
      <c r="I1183" s="206"/>
      <c r="J1183" s="206" t="str">
        <f t="shared" si="265"/>
        <v/>
      </c>
      <c r="K1183" s="206" t="str">
        <f t="shared" si="267"/>
        <v/>
      </c>
      <c r="L1183" s="206" t="str">
        <f t="shared" si="268"/>
        <v/>
      </c>
      <c r="M1183" s="206" t="str">
        <f t="shared" si="269"/>
        <v/>
      </c>
      <c r="N1183" s="206" t="str">
        <f t="shared" si="270"/>
        <v/>
      </c>
      <c r="O1183" s="206" t="str">
        <f t="shared" si="271"/>
        <v/>
      </c>
      <c r="P1183" s="84" t="str">
        <f t="shared" si="272"/>
        <v/>
      </c>
      <c r="Q1183" s="205"/>
      <c r="R1183" s="70" t="str">
        <f>IF(S1183="IN",'BOM_Phan II'!$Y$3,"")</f>
        <v/>
      </c>
      <c r="S1183" s="69" t="str">
        <f t="shared" si="264"/>
        <v/>
      </c>
      <c r="T1183">
        <f t="shared" si="273"/>
        <v>3</v>
      </c>
      <c r="U1183" t="str">
        <f t="shared" si="261"/>
        <v>KIỆN 14</v>
      </c>
      <c r="V1183" t="str">
        <f t="shared" si="274"/>
        <v/>
      </c>
      <c r="W1183" s="266"/>
      <c r="X1183" s="266"/>
      <c r="Y1183" s="266" t="str">
        <f t="shared" si="266"/>
        <v/>
      </c>
      <c r="Z1183" s="266"/>
    </row>
    <row r="1184" spans="1:26" ht="27" hidden="1" customHeight="1">
      <c r="A1184" s="70" t="str">
        <f t="shared" si="262"/>
        <v/>
      </c>
      <c r="B1184" s="70" t="str">
        <f t="shared" si="263"/>
        <v/>
      </c>
      <c r="C1184" s="204" t="str" cm="1">
        <f t="array" ref="C1184">IF(D1184="","",
    IF(AND(ISNUMBER(D1184), D1184=INT(D1184)),
        $V$6 &amp; " " &amp; (IFERROR(MAX($Y$12:$Y1183), 0) + 1),
        IF(ISNUMBER(SEARCH(".", D1184)), "", INDEX($C$12:$C1184, MATCH(2, 1/($C$12:$C1184 &lt;&gt; ""))))
    )
)</f>
        <v/>
      </c>
      <c r="D1184" s="206"/>
      <c r="E1184" s="206" t="str">
        <f>IF(AA1184 = "", "",
    IF(ISNUMBER(SEARCH("Kiện", C1184)),
       " GÓI " &amp; COUNTIF($C$13:C1184, "*Kiện*") &amp; "/" &amp; COUNTIF($C$13:$C$1000, "*Kiện*") &amp; " " &amp; AA1184,
       AA1184)
)</f>
        <v/>
      </c>
      <c r="F1184" s="206"/>
      <c r="G1184" s="206"/>
      <c r="H1184" s="206"/>
      <c r="I1184" s="206"/>
      <c r="J1184" s="206" t="str">
        <f t="shared" si="265"/>
        <v/>
      </c>
      <c r="K1184" s="206" t="str">
        <f t="shared" si="267"/>
        <v/>
      </c>
      <c r="L1184" s="206" t="str">
        <f t="shared" si="268"/>
        <v/>
      </c>
      <c r="M1184" s="206" t="str">
        <f t="shared" si="269"/>
        <v/>
      </c>
      <c r="N1184" s="206" t="str">
        <f t="shared" si="270"/>
        <v/>
      </c>
      <c r="O1184" s="206" t="str">
        <f t="shared" si="271"/>
        <v/>
      </c>
      <c r="P1184" s="84" t="str">
        <f t="shared" si="272"/>
        <v/>
      </c>
      <c r="Q1184" s="205"/>
      <c r="R1184" s="70" t="str">
        <f>IF(S1184="IN",'BOM_Phan II'!$Y$3,"")</f>
        <v/>
      </c>
      <c r="S1184" s="69" t="str">
        <f t="shared" si="264"/>
        <v/>
      </c>
      <c r="T1184">
        <f t="shared" si="273"/>
        <v>3</v>
      </c>
      <c r="U1184" t="str">
        <f t="shared" si="261"/>
        <v>KIỆN 14</v>
      </c>
      <c r="V1184" t="str">
        <f t="shared" si="274"/>
        <v/>
      </c>
      <c r="W1184" s="266"/>
      <c r="X1184" s="266"/>
      <c r="Y1184" s="266" t="str">
        <f t="shared" si="266"/>
        <v/>
      </c>
      <c r="Z1184" s="266"/>
    </row>
    <row r="1185" spans="1:26" ht="27" hidden="1" customHeight="1">
      <c r="A1185" s="70" t="str">
        <f t="shared" si="262"/>
        <v/>
      </c>
      <c r="B1185" s="70" t="str">
        <f t="shared" si="263"/>
        <v/>
      </c>
      <c r="C1185" s="204" t="str" cm="1">
        <f t="array" ref="C1185">IF(D1185="","",
    IF(AND(ISNUMBER(D1185), D1185=INT(D1185)),
        $V$6 &amp; " " &amp; (IFERROR(MAX($Y$12:$Y1184), 0) + 1),
        IF(ISNUMBER(SEARCH(".", D1185)), "", INDEX($C$12:$C1185, MATCH(2, 1/($C$12:$C1185 &lt;&gt; ""))))
    )
)</f>
        <v/>
      </c>
      <c r="D1185" s="206"/>
      <c r="E1185" s="206" t="str">
        <f>IF(AA1185 = "", "",
    IF(ISNUMBER(SEARCH("Kiện", C1185)),
       " GÓI " &amp; COUNTIF($C$13:C1185, "*Kiện*") &amp; "/" &amp; COUNTIF($C$13:$C$1000, "*Kiện*") &amp; " " &amp; AA1185,
       AA1185)
)</f>
        <v/>
      </c>
      <c r="F1185" s="206"/>
      <c r="G1185" s="206"/>
      <c r="H1185" s="206"/>
      <c r="I1185" s="206"/>
      <c r="J1185" s="206" t="str">
        <f t="shared" si="265"/>
        <v/>
      </c>
      <c r="K1185" s="206" t="str">
        <f t="shared" si="267"/>
        <v/>
      </c>
      <c r="L1185" s="206" t="str">
        <f t="shared" si="268"/>
        <v/>
      </c>
      <c r="M1185" s="206" t="str">
        <f t="shared" si="269"/>
        <v/>
      </c>
      <c r="N1185" s="206" t="str">
        <f t="shared" si="270"/>
        <v/>
      </c>
      <c r="O1185" s="206" t="str">
        <f t="shared" si="271"/>
        <v/>
      </c>
      <c r="P1185" s="84" t="str">
        <f t="shared" si="272"/>
        <v/>
      </c>
      <c r="Q1185" s="205"/>
      <c r="R1185" s="70" t="str">
        <f>IF(S1185="IN",'BOM_Phan II'!$Y$3,"")</f>
        <v/>
      </c>
      <c r="S1185" s="69" t="str">
        <f t="shared" si="264"/>
        <v/>
      </c>
      <c r="T1185">
        <f t="shared" si="273"/>
        <v>3</v>
      </c>
      <c r="U1185" t="str">
        <f t="shared" si="261"/>
        <v>KIỆN 14</v>
      </c>
      <c r="V1185" t="str">
        <f t="shared" si="274"/>
        <v/>
      </c>
      <c r="W1185" s="266"/>
      <c r="X1185" s="266"/>
      <c r="Y1185" s="266" t="str">
        <f t="shared" si="266"/>
        <v/>
      </c>
      <c r="Z1185" s="266"/>
    </row>
    <row r="1186" spans="1:26" ht="27" hidden="1" customHeight="1">
      <c r="A1186" s="70" t="str">
        <f t="shared" si="262"/>
        <v/>
      </c>
      <c r="B1186" s="70" t="str">
        <f t="shared" si="263"/>
        <v/>
      </c>
      <c r="C1186" s="204" t="str" cm="1">
        <f t="array" ref="C1186">IF(D1186="","",
    IF(AND(ISNUMBER(D1186), D1186=INT(D1186)),
        $V$6 &amp; " " &amp; (IFERROR(MAX($Y$12:$Y1185), 0) + 1),
        IF(ISNUMBER(SEARCH(".", D1186)), "", INDEX($C$12:$C1186, MATCH(2, 1/($C$12:$C1186 &lt;&gt; ""))))
    )
)</f>
        <v/>
      </c>
      <c r="D1186" s="206"/>
      <c r="E1186" s="206" t="str">
        <f>IF(AA1186 = "", "",
    IF(ISNUMBER(SEARCH("Kiện", C1186)),
       " GÓI " &amp; COUNTIF($C$13:C1186, "*Kiện*") &amp; "/" &amp; COUNTIF($C$13:$C$1000, "*Kiện*") &amp; " " &amp; AA1186,
       AA1186)
)</f>
        <v/>
      </c>
      <c r="F1186" s="206"/>
      <c r="G1186" s="206"/>
      <c r="H1186" s="206"/>
      <c r="I1186" s="206"/>
      <c r="J1186" s="206" t="str">
        <f t="shared" si="265"/>
        <v/>
      </c>
      <c r="K1186" s="206" t="str">
        <f t="shared" si="267"/>
        <v/>
      </c>
      <c r="L1186" s="206" t="str">
        <f t="shared" si="268"/>
        <v/>
      </c>
      <c r="M1186" s="206" t="str">
        <f t="shared" si="269"/>
        <v/>
      </c>
      <c r="N1186" s="206" t="str">
        <f t="shared" si="270"/>
        <v/>
      </c>
      <c r="O1186" s="206" t="str">
        <f t="shared" si="271"/>
        <v/>
      </c>
      <c r="P1186" s="84" t="str">
        <f t="shared" si="272"/>
        <v/>
      </c>
      <c r="Q1186" s="205"/>
      <c r="R1186" s="70" t="str">
        <f>IF(S1186="IN",'BOM_Phan II'!$Y$3,"")</f>
        <v/>
      </c>
      <c r="S1186" s="69" t="str">
        <f t="shared" si="264"/>
        <v/>
      </c>
      <c r="T1186">
        <f t="shared" si="273"/>
        <v>3</v>
      </c>
      <c r="U1186" t="str">
        <f t="shared" si="261"/>
        <v>KIỆN 14</v>
      </c>
      <c r="V1186" t="str">
        <f t="shared" si="274"/>
        <v/>
      </c>
      <c r="W1186" s="266"/>
      <c r="X1186" s="266"/>
      <c r="Y1186" s="266" t="str">
        <f t="shared" si="266"/>
        <v/>
      </c>
      <c r="Z1186" s="266"/>
    </row>
    <row r="1187" spans="1:26" ht="27" hidden="1" customHeight="1">
      <c r="A1187" s="70" t="str">
        <f t="shared" si="262"/>
        <v/>
      </c>
      <c r="B1187" s="70" t="str">
        <f t="shared" si="263"/>
        <v/>
      </c>
      <c r="C1187" s="204" t="str" cm="1">
        <f t="array" ref="C1187">IF(D1187="","",
    IF(AND(ISNUMBER(D1187), D1187=INT(D1187)),
        $V$6 &amp; " " &amp; (IFERROR(MAX($Y$12:$Y1186), 0) + 1),
        IF(ISNUMBER(SEARCH(".", D1187)), "", INDEX($C$12:$C1187, MATCH(2, 1/($C$12:$C1187 &lt;&gt; ""))))
    )
)</f>
        <v/>
      </c>
      <c r="D1187" s="206"/>
      <c r="E1187" s="206" t="str">
        <f>IF(AA1187 = "", "",
    IF(ISNUMBER(SEARCH("Kiện", C1187)),
       " GÓI " &amp; COUNTIF($C$13:C1187, "*Kiện*") &amp; "/" &amp; COUNTIF($C$13:$C$1000, "*Kiện*") &amp; " " &amp; AA1187,
       AA1187)
)</f>
        <v/>
      </c>
      <c r="F1187" s="206"/>
      <c r="G1187" s="206"/>
      <c r="H1187" s="206"/>
      <c r="I1187" s="206"/>
      <c r="J1187" s="206" t="str">
        <f t="shared" si="265"/>
        <v/>
      </c>
      <c r="K1187" s="206" t="str">
        <f t="shared" si="267"/>
        <v/>
      </c>
      <c r="L1187" s="206" t="str">
        <f t="shared" si="268"/>
        <v/>
      </c>
      <c r="M1187" s="206" t="str">
        <f t="shared" si="269"/>
        <v/>
      </c>
      <c r="N1187" s="206" t="str">
        <f t="shared" si="270"/>
        <v/>
      </c>
      <c r="O1187" s="206" t="str">
        <f t="shared" si="271"/>
        <v/>
      </c>
      <c r="P1187" s="84" t="str">
        <f t="shared" si="272"/>
        <v/>
      </c>
      <c r="Q1187" s="205"/>
      <c r="R1187" s="70" t="str">
        <f>IF(S1187="IN",'BOM_Phan II'!$Y$3,"")</f>
        <v/>
      </c>
      <c r="S1187" s="69" t="str">
        <f t="shared" si="264"/>
        <v/>
      </c>
      <c r="T1187">
        <f t="shared" si="273"/>
        <v>3</v>
      </c>
      <c r="U1187" t="str">
        <f t="shared" si="261"/>
        <v>KIỆN 14</v>
      </c>
      <c r="V1187" t="str">
        <f t="shared" si="274"/>
        <v/>
      </c>
      <c r="W1187" s="266"/>
      <c r="X1187" s="266"/>
      <c r="Y1187" s="266" t="str">
        <f t="shared" si="266"/>
        <v/>
      </c>
      <c r="Z1187" s="266"/>
    </row>
    <row r="1188" spans="1:26" ht="27" hidden="1" customHeight="1">
      <c r="A1188" s="70" t="str">
        <f t="shared" si="262"/>
        <v/>
      </c>
      <c r="B1188" s="70" t="str">
        <f t="shared" si="263"/>
        <v/>
      </c>
      <c r="C1188" s="204" t="str" cm="1">
        <f t="array" ref="C1188">IF(D1188="","",
    IF(AND(ISNUMBER(D1188), D1188=INT(D1188)),
        $V$6 &amp; " " &amp; (IFERROR(MAX($Y$12:$Y1187), 0) + 1),
        IF(ISNUMBER(SEARCH(".", D1188)), "", INDEX($C$12:$C1188, MATCH(2, 1/($C$12:$C1188 &lt;&gt; ""))))
    )
)</f>
        <v/>
      </c>
      <c r="D1188" s="206"/>
      <c r="E1188" s="206" t="str">
        <f>IF(AA1188 = "", "",
    IF(ISNUMBER(SEARCH("Kiện", C1188)),
       " GÓI " &amp; COUNTIF($C$13:C1188, "*Kiện*") &amp; "/" &amp; COUNTIF($C$13:$C$1000, "*Kiện*") &amp; " " &amp; AA1188,
       AA1188)
)</f>
        <v/>
      </c>
      <c r="F1188" s="206"/>
      <c r="G1188" s="206"/>
      <c r="H1188" s="206"/>
      <c r="I1188" s="206"/>
      <c r="J1188" s="206" t="str">
        <f t="shared" si="265"/>
        <v/>
      </c>
      <c r="K1188" s="206" t="str">
        <f t="shared" si="267"/>
        <v/>
      </c>
      <c r="L1188" s="206" t="str">
        <f t="shared" si="268"/>
        <v/>
      </c>
      <c r="M1188" s="206" t="str">
        <f t="shared" si="269"/>
        <v/>
      </c>
      <c r="N1188" s="206" t="str">
        <f t="shared" si="270"/>
        <v/>
      </c>
      <c r="O1188" s="206" t="str">
        <f t="shared" si="271"/>
        <v/>
      </c>
      <c r="P1188" s="84" t="str">
        <f t="shared" si="272"/>
        <v/>
      </c>
      <c r="Q1188" s="205"/>
      <c r="R1188" s="70" t="str">
        <f>IF(S1188="IN",'BOM_Phan II'!$Y$3,"")</f>
        <v/>
      </c>
      <c r="S1188" s="69" t="str">
        <f t="shared" si="264"/>
        <v/>
      </c>
      <c r="T1188">
        <f t="shared" si="273"/>
        <v>3</v>
      </c>
      <c r="U1188" t="str">
        <f t="shared" si="261"/>
        <v>KIỆN 14</v>
      </c>
      <c r="V1188" t="str">
        <f t="shared" si="274"/>
        <v/>
      </c>
      <c r="W1188" s="266"/>
      <c r="X1188" s="266"/>
      <c r="Y1188" s="266" t="str">
        <f t="shared" si="266"/>
        <v/>
      </c>
      <c r="Z1188" s="266"/>
    </row>
    <row r="1189" spans="1:26" ht="27" hidden="1" customHeight="1">
      <c r="A1189" s="70" t="str">
        <f t="shared" si="262"/>
        <v/>
      </c>
      <c r="B1189" s="70" t="str">
        <f t="shared" si="263"/>
        <v/>
      </c>
      <c r="C1189" s="204" t="str" cm="1">
        <f t="array" ref="C1189">IF(D1189="","",
    IF(AND(ISNUMBER(D1189), D1189=INT(D1189)),
        $V$6 &amp; " " &amp; (IFERROR(MAX($Y$12:$Y1188), 0) + 1),
        IF(ISNUMBER(SEARCH(".", D1189)), "", INDEX($C$12:$C1189, MATCH(2, 1/($C$12:$C1189 &lt;&gt; ""))))
    )
)</f>
        <v/>
      </c>
      <c r="D1189" s="206"/>
      <c r="E1189" s="206" t="str">
        <f>IF(AA1189 = "", "",
    IF(ISNUMBER(SEARCH("Kiện", C1189)),
       " GÓI " &amp; COUNTIF($C$13:C1189, "*Kiện*") &amp; "/" &amp; COUNTIF($C$13:$C$1000, "*Kiện*") &amp; " " &amp; AA1189,
       AA1189)
)</f>
        <v/>
      </c>
      <c r="F1189" s="206"/>
      <c r="G1189" s="206"/>
      <c r="H1189" s="206"/>
      <c r="I1189" s="206"/>
      <c r="J1189" s="206" t="str">
        <f t="shared" si="265"/>
        <v/>
      </c>
      <c r="K1189" s="206" t="str">
        <f t="shared" si="267"/>
        <v/>
      </c>
      <c r="L1189" s="206" t="str">
        <f t="shared" si="268"/>
        <v/>
      </c>
      <c r="M1189" s="206" t="str">
        <f t="shared" si="269"/>
        <v/>
      </c>
      <c r="N1189" s="206" t="str">
        <f t="shared" si="270"/>
        <v/>
      </c>
      <c r="O1189" s="206" t="str">
        <f t="shared" si="271"/>
        <v/>
      </c>
      <c r="P1189" s="84" t="str">
        <f t="shared" si="272"/>
        <v/>
      </c>
      <c r="Q1189" s="205"/>
      <c r="R1189" s="70" t="str">
        <f>IF(S1189="IN",'BOM_Phan II'!$Y$3,"")</f>
        <v/>
      </c>
      <c r="S1189" s="69" t="str">
        <f t="shared" si="264"/>
        <v/>
      </c>
      <c r="T1189">
        <f t="shared" si="273"/>
        <v>3</v>
      </c>
      <c r="U1189" t="str">
        <f t="shared" si="261"/>
        <v>KIỆN 14</v>
      </c>
      <c r="V1189" t="str">
        <f t="shared" si="274"/>
        <v/>
      </c>
      <c r="W1189" s="266"/>
      <c r="X1189" s="266"/>
      <c r="Y1189" s="266" t="str">
        <f t="shared" si="266"/>
        <v/>
      </c>
      <c r="Z1189" s="266"/>
    </row>
    <row r="1190" spans="1:26" ht="27" hidden="1" customHeight="1">
      <c r="A1190" s="70" t="str">
        <f t="shared" si="262"/>
        <v/>
      </c>
      <c r="B1190" s="70" t="str">
        <f t="shared" si="263"/>
        <v/>
      </c>
      <c r="C1190" s="204" t="str" cm="1">
        <f t="array" ref="C1190">IF(D1190="","",
    IF(AND(ISNUMBER(D1190), D1190=INT(D1190)),
        $V$6 &amp; " " &amp; (IFERROR(MAX($Y$12:$Y1189), 0) + 1),
        IF(ISNUMBER(SEARCH(".", D1190)), "", INDEX($C$12:$C1190, MATCH(2, 1/($C$12:$C1190 &lt;&gt; ""))))
    )
)</f>
        <v/>
      </c>
      <c r="D1190" s="206"/>
      <c r="E1190" s="206" t="str">
        <f>IF(AA1190 = "", "",
    IF(ISNUMBER(SEARCH("Kiện", C1190)),
       " GÓI " &amp; COUNTIF($C$13:C1190, "*Kiện*") &amp; "/" &amp; COUNTIF($C$13:$C$1000, "*Kiện*") &amp; " " &amp; AA1190,
       AA1190)
)</f>
        <v/>
      </c>
      <c r="F1190" s="206"/>
      <c r="G1190" s="206"/>
      <c r="H1190" s="206"/>
      <c r="I1190" s="206"/>
      <c r="J1190" s="206" t="str">
        <f t="shared" si="265"/>
        <v/>
      </c>
      <c r="K1190" s="206" t="str">
        <f t="shared" si="267"/>
        <v/>
      </c>
      <c r="L1190" s="206" t="str">
        <f t="shared" si="268"/>
        <v/>
      </c>
      <c r="M1190" s="206" t="str">
        <f t="shared" si="269"/>
        <v/>
      </c>
      <c r="N1190" s="206" t="str">
        <f t="shared" si="270"/>
        <v/>
      </c>
      <c r="O1190" s="206" t="str">
        <f t="shared" si="271"/>
        <v/>
      </c>
      <c r="P1190" s="84" t="str">
        <f t="shared" si="272"/>
        <v/>
      </c>
      <c r="Q1190" s="205"/>
      <c r="R1190" s="70" t="str">
        <f>IF(S1190="IN",'BOM_Phan II'!$Y$3,"")</f>
        <v/>
      </c>
      <c r="S1190" s="69" t="str">
        <f t="shared" si="264"/>
        <v/>
      </c>
      <c r="T1190">
        <f t="shared" si="273"/>
        <v>3</v>
      </c>
      <c r="U1190" t="str">
        <f t="shared" si="261"/>
        <v>KIỆN 14</v>
      </c>
      <c r="V1190" t="str">
        <f t="shared" si="274"/>
        <v/>
      </c>
      <c r="W1190" s="266"/>
      <c r="X1190" s="266"/>
      <c r="Y1190" s="266" t="str">
        <f t="shared" si="266"/>
        <v/>
      </c>
      <c r="Z1190" s="266"/>
    </row>
    <row r="1191" spans="1:26" ht="27" hidden="1" customHeight="1">
      <c r="A1191" s="70" t="str">
        <f t="shared" si="262"/>
        <v/>
      </c>
      <c r="B1191" s="70" t="str">
        <f t="shared" si="263"/>
        <v/>
      </c>
      <c r="C1191" s="204" t="str" cm="1">
        <f t="array" ref="C1191">IF(D1191="","",
    IF(AND(ISNUMBER(D1191), D1191=INT(D1191)),
        $V$6 &amp; " " &amp; (IFERROR(MAX($Y$12:$Y1190), 0) + 1),
        IF(ISNUMBER(SEARCH(".", D1191)), "", INDEX($C$12:$C1191, MATCH(2, 1/($C$12:$C1191 &lt;&gt; ""))))
    )
)</f>
        <v/>
      </c>
      <c r="D1191" s="206"/>
      <c r="E1191" s="206" t="str">
        <f>IF(AA1191 = "", "",
    IF(ISNUMBER(SEARCH("Kiện", C1191)),
       " GÓI " &amp; COUNTIF($C$13:C1191, "*Kiện*") &amp; "/" &amp; COUNTIF($C$13:$C$1000, "*Kiện*") &amp; " " &amp; AA1191,
       AA1191)
)</f>
        <v/>
      </c>
      <c r="F1191" s="206"/>
      <c r="G1191" s="206"/>
      <c r="H1191" s="206"/>
      <c r="I1191" s="206"/>
      <c r="J1191" s="206" t="str">
        <f t="shared" si="265"/>
        <v/>
      </c>
      <c r="K1191" s="206" t="str">
        <f t="shared" si="267"/>
        <v/>
      </c>
      <c r="L1191" s="206" t="str">
        <f t="shared" si="268"/>
        <v/>
      </c>
      <c r="M1191" s="206" t="str">
        <f t="shared" si="269"/>
        <v/>
      </c>
      <c r="N1191" s="206" t="str">
        <f t="shared" si="270"/>
        <v/>
      </c>
      <c r="O1191" s="206" t="str">
        <f t="shared" si="271"/>
        <v/>
      </c>
      <c r="P1191" s="84" t="str">
        <f t="shared" si="272"/>
        <v/>
      </c>
      <c r="Q1191" s="205"/>
      <c r="R1191" s="70" t="str">
        <f>IF(S1191="IN",'BOM_Phan II'!$Y$3,"")</f>
        <v/>
      </c>
      <c r="S1191" s="69" t="str">
        <f t="shared" si="264"/>
        <v/>
      </c>
      <c r="T1191">
        <f t="shared" si="273"/>
        <v>3</v>
      </c>
      <c r="U1191" t="str">
        <f t="shared" si="261"/>
        <v>KIỆN 14</v>
      </c>
      <c r="V1191" t="str">
        <f t="shared" si="274"/>
        <v/>
      </c>
      <c r="W1191" s="266"/>
      <c r="X1191" s="266"/>
      <c r="Y1191" s="266" t="str">
        <f t="shared" si="266"/>
        <v/>
      </c>
      <c r="Z1191" s="266"/>
    </row>
    <row r="1192" spans="1:26" ht="27" hidden="1" customHeight="1">
      <c r="A1192" s="70" t="str">
        <f t="shared" si="262"/>
        <v/>
      </c>
      <c r="B1192" s="70" t="str">
        <f t="shared" si="263"/>
        <v/>
      </c>
      <c r="C1192" s="204" t="str" cm="1">
        <f t="array" ref="C1192">IF(D1192="","",
    IF(AND(ISNUMBER(D1192), D1192=INT(D1192)),
        $V$6 &amp; " " &amp; (IFERROR(MAX($Y$12:$Y1191), 0) + 1),
        IF(ISNUMBER(SEARCH(".", D1192)), "", INDEX($C$12:$C1192, MATCH(2, 1/($C$12:$C1192 &lt;&gt; ""))))
    )
)</f>
        <v/>
      </c>
      <c r="D1192" s="206"/>
      <c r="E1192" s="206" t="str">
        <f>IF(AA1192 = "", "",
    IF(ISNUMBER(SEARCH("Kiện", C1192)),
       " GÓI " &amp; COUNTIF($C$13:C1192, "*Kiện*") &amp; "/" &amp; COUNTIF($C$13:$C$1000, "*Kiện*") &amp; " " &amp; AA1192,
       AA1192)
)</f>
        <v/>
      </c>
      <c r="F1192" s="206"/>
      <c r="G1192" s="206"/>
      <c r="H1192" s="206"/>
      <c r="I1192" s="206"/>
      <c r="J1192" s="206" t="str">
        <f t="shared" si="265"/>
        <v/>
      </c>
      <c r="K1192" s="206" t="str">
        <f t="shared" si="267"/>
        <v/>
      </c>
      <c r="L1192" s="206" t="str">
        <f t="shared" si="268"/>
        <v/>
      </c>
      <c r="M1192" s="206" t="str">
        <f t="shared" si="269"/>
        <v/>
      </c>
      <c r="N1192" s="206" t="str">
        <f t="shared" si="270"/>
        <v/>
      </c>
      <c r="O1192" s="206" t="str">
        <f t="shared" si="271"/>
        <v/>
      </c>
      <c r="P1192" s="84" t="str">
        <f t="shared" si="272"/>
        <v/>
      </c>
      <c r="Q1192" s="205"/>
      <c r="R1192" s="70" t="str">
        <f>IF(S1192="IN",'BOM_Phan II'!$Y$3,"")</f>
        <v/>
      </c>
      <c r="S1192" s="69" t="str">
        <f t="shared" si="264"/>
        <v/>
      </c>
      <c r="T1192">
        <f t="shared" si="273"/>
        <v>3</v>
      </c>
      <c r="U1192" t="str">
        <f t="shared" si="261"/>
        <v>KIỆN 14</v>
      </c>
      <c r="V1192" t="str">
        <f t="shared" si="274"/>
        <v/>
      </c>
      <c r="W1192" s="266"/>
      <c r="X1192" s="266"/>
      <c r="Y1192" s="266" t="str">
        <f t="shared" si="266"/>
        <v/>
      </c>
      <c r="Z1192" s="266"/>
    </row>
    <row r="1193" spans="1:26" ht="27" hidden="1" customHeight="1">
      <c r="A1193" s="70" t="str">
        <f t="shared" si="262"/>
        <v/>
      </c>
      <c r="B1193" s="70" t="str">
        <f t="shared" si="263"/>
        <v/>
      </c>
      <c r="C1193" s="204" t="str" cm="1">
        <f t="array" ref="C1193">IF(D1193="","",
    IF(AND(ISNUMBER(D1193), D1193=INT(D1193)),
        $V$6 &amp; " " &amp; (IFERROR(MAX($Y$12:$Y1192), 0) + 1),
        IF(ISNUMBER(SEARCH(".", D1193)), "", INDEX($C$12:$C1193, MATCH(2, 1/($C$12:$C1193 &lt;&gt; ""))))
    )
)</f>
        <v/>
      </c>
      <c r="D1193" s="206"/>
      <c r="E1193" s="206" t="str">
        <f>IF(AA1193 = "", "",
    IF(ISNUMBER(SEARCH("Kiện", C1193)),
       " GÓI " &amp; COUNTIF($C$13:C1193, "*Kiện*") &amp; "/" &amp; COUNTIF($C$13:$C$1000, "*Kiện*") &amp; " " &amp; AA1193,
       AA1193)
)</f>
        <v/>
      </c>
      <c r="F1193" s="206"/>
      <c r="G1193" s="206"/>
      <c r="H1193" s="206"/>
      <c r="I1193" s="206"/>
      <c r="J1193" s="206" t="str">
        <f t="shared" si="265"/>
        <v/>
      </c>
      <c r="K1193" s="206" t="str">
        <f t="shared" si="267"/>
        <v/>
      </c>
      <c r="L1193" s="206" t="str">
        <f t="shared" si="268"/>
        <v/>
      </c>
      <c r="M1193" s="206" t="str">
        <f t="shared" si="269"/>
        <v/>
      </c>
      <c r="N1193" s="206" t="str">
        <f t="shared" si="270"/>
        <v/>
      </c>
      <c r="O1193" s="206" t="str">
        <f t="shared" si="271"/>
        <v/>
      </c>
      <c r="P1193" s="84" t="str">
        <f t="shared" si="272"/>
        <v/>
      </c>
      <c r="Q1193" s="205"/>
      <c r="R1193" s="70" t="str">
        <f>IF(S1193="IN",'BOM_Phan II'!$Y$3,"")</f>
        <v/>
      </c>
      <c r="S1193" s="69" t="str">
        <f t="shared" si="264"/>
        <v/>
      </c>
      <c r="T1193">
        <f t="shared" si="273"/>
        <v>3</v>
      </c>
      <c r="U1193" t="str">
        <f t="shared" si="261"/>
        <v>KIỆN 14</v>
      </c>
      <c r="V1193" t="str">
        <f t="shared" si="274"/>
        <v/>
      </c>
      <c r="W1193" s="266"/>
      <c r="X1193" s="266"/>
      <c r="Y1193" s="266" t="str">
        <f t="shared" si="266"/>
        <v/>
      </c>
      <c r="Z1193" s="266"/>
    </row>
    <row r="1194" spans="1:26" ht="27" hidden="1" customHeight="1">
      <c r="A1194" s="70" t="str">
        <f t="shared" si="262"/>
        <v/>
      </c>
      <c r="B1194" s="70" t="str">
        <f t="shared" si="263"/>
        <v/>
      </c>
      <c r="C1194" s="204" t="str" cm="1">
        <f t="array" ref="C1194">IF(D1194="","",
    IF(AND(ISNUMBER(D1194), D1194=INT(D1194)),
        $V$6 &amp; " " &amp; (IFERROR(MAX($Y$12:$Y1193), 0) + 1),
        IF(ISNUMBER(SEARCH(".", D1194)), "", INDEX($C$12:$C1194, MATCH(2, 1/($C$12:$C1194 &lt;&gt; ""))))
    )
)</f>
        <v/>
      </c>
      <c r="D1194" s="206"/>
      <c r="E1194" s="206" t="str">
        <f>IF(AA1194 = "", "",
    IF(ISNUMBER(SEARCH("Kiện", C1194)),
       " GÓI " &amp; COUNTIF($C$13:C1194, "*Kiện*") &amp; "/" &amp; COUNTIF($C$13:$C$1000, "*Kiện*") &amp; " " &amp; AA1194,
       AA1194)
)</f>
        <v/>
      </c>
      <c r="F1194" s="206"/>
      <c r="G1194" s="206"/>
      <c r="H1194" s="206"/>
      <c r="I1194" s="206"/>
      <c r="J1194" s="206" t="str">
        <f t="shared" si="265"/>
        <v/>
      </c>
      <c r="K1194" s="206" t="str">
        <f t="shared" si="267"/>
        <v/>
      </c>
      <c r="L1194" s="206" t="str">
        <f t="shared" si="268"/>
        <v/>
      </c>
      <c r="M1194" s="206" t="str">
        <f t="shared" si="269"/>
        <v/>
      </c>
      <c r="N1194" s="206" t="str">
        <f t="shared" si="270"/>
        <v/>
      </c>
      <c r="O1194" s="206" t="str">
        <f t="shared" si="271"/>
        <v/>
      </c>
      <c r="P1194" s="84" t="str">
        <f t="shared" si="272"/>
        <v/>
      </c>
      <c r="Q1194" s="205"/>
      <c r="R1194" s="70" t="str">
        <f>IF(S1194="IN",'BOM_Phan II'!$Y$3,"")</f>
        <v/>
      </c>
      <c r="S1194" s="69" t="str">
        <f t="shared" si="264"/>
        <v/>
      </c>
      <c r="T1194">
        <f t="shared" si="273"/>
        <v>3</v>
      </c>
      <c r="U1194" t="str">
        <f t="shared" si="261"/>
        <v>KIỆN 14</v>
      </c>
      <c r="V1194" t="str">
        <f t="shared" si="274"/>
        <v/>
      </c>
      <c r="W1194" s="266"/>
      <c r="X1194" s="266"/>
      <c r="Y1194" s="266" t="str">
        <f t="shared" si="266"/>
        <v/>
      </c>
      <c r="Z1194" s="266"/>
    </row>
    <row r="1195" spans="1:26" ht="27" hidden="1" customHeight="1">
      <c r="A1195" s="70" t="str">
        <f t="shared" si="262"/>
        <v/>
      </c>
      <c r="B1195" s="70" t="str">
        <f t="shared" si="263"/>
        <v/>
      </c>
      <c r="C1195" s="204" t="str" cm="1">
        <f t="array" ref="C1195">IF(D1195="","",
    IF(AND(ISNUMBER(D1195), D1195=INT(D1195)),
        $V$6 &amp; " " &amp; (IFERROR(MAX($Y$12:$Y1194), 0) + 1),
        IF(ISNUMBER(SEARCH(".", D1195)), "", INDEX($C$12:$C1195, MATCH(2, 1/($C$12:$C1195 &lt;&gt; ""))))
    )
)</f>
        <v/>
      </c>
      <c r="D1195" s="206"/>
      <c r="E1195" s="206" t="str">
        <f>IF(AA1195 = "", "",
    IF(ISNUMBER(SEARCH("Kiện", C1195)),
       " GÓI " &amp; COUNTIF($C$13:C1195, "*Kiện*") &amp; "/" &amp; COUNTIF($C$13:$C$1000, "*Kiện*") &amp; " " &amp; AA1195,
       AA1195)
)</f>
        <v/>
      </c>
      <c r="F1195" s="206"/>
      <c r="G1195" s="206"/>
      <c r="H1195" s="206"/>
      <c r="I1195" s="206"/>
      <c r="J1195" s="206" t="str">
        <f t="shared" si="265"/>
        <v/>
      </c>
      <c r="K1195" s="206" t="str">
        <f t="shared" si="267"/>
        <v/>
      </c>
      <c r="L1195" s="206" t="str">
        <f t="shared" si="268"/>
        <v/>
      </c>
      <c r="M1195" s="206" t="str">
        <f t="shared" si="269"/>
        <v/>
      </c>
      <c r="N1195" s="206" t="str">
        <f t="shared" si="270"/>
        <v/>
      </c>
      <c r="O1195" s="206" t="str">
        <f t="shared" si="271"/>
        <v/>
      </c>
      <c r="P1195" s="84" t="str">
        <f t="shared" si="272"/>
        <v/>
      </c>
      <c r="Q1195" s="205"/>
      <c r="R1195" s="70" t="str">
        <f>IF(S1195="IN",'BOM_Phan II'!$Y$3,"")</f>
        <v/>
      </c>
      <c r="S1195" s="69" t="str">
        <f t="shared" si="264"/>
        <v/>
      </c>
      <c r="T1195">
        <f t="shared" si="273"/>
        <v>3</v>
      </c>
      <c r="U1195" t="str">
        <f t="shared" si="261"/>
        <v>KIỆN 14</v>
      </c>
      <c r="V1195" t="str">
        <f t="shared" si="274"/>
        <v/>
      </c>
      <c r="W1195" s="266"/>
      <c r="X1195" s="266"/>
      <c r="Y1195" s="266" t="str">
        <f t="shared" si="266"/>
        <v/>
      </c>
      <c r="Z1195" s="266"/>
    </row>
    <row r="1196" spans="1:26" ht="27" hidden="1" customHeight="1">
      <c r="A1196" s="70" t="str">
        <f t="shared" si="262"/>
        <v/>
      </c>
      <c r="B1196" s="70" t="str">
        <f t="shared" si="263"/>
        <v/>
      </c>
      <c r="C1196" s="204" t="str" cm="1">
        <f t="array" ref="C1196">IF(D1196="","",
    IF(AND(ISNUMBER(D1196), D1196=INT(D1196)),
        $V$6 &amp; " " &amp; (IFERROR(MAX($Y$12:$Y1195), 0) + 1),
        IF(ISNUMBER(SEARCH(".", D1196)), "", INDEX($C$12:$C1196, MATCH(2, 1/($C$12:$C1196 &lt;&gt; ""))))
    )
)</f>
        <v/>
      </c>
      <c r="D1196" s="206"/>
      <c r="E1196" s="206" t="str">
        <f>IF(AA1196 = "", "",
    IF(ISNUMBER(SEARCH("Kiện", C1196)),
       " GÓI " &amp; COUNTIF($C$13:C1196, "*Kiện*") &amp; "/" &amp; COUNTIF($C$13:$C$1000, "*Kiện*") &amp; " " &amp; AA1196,
       AA1196)
)</f>
        <v/>
      </c>
      <c r="F1196" s="206"/>
      <c r="G1196" s="206"/>
      <c r="H1196" s="206"/>
      <c r="I1196" s="206"/>
      <c r="J1196" s="206" t="str">
        <f t="shared" si="265"/>
        <v/>
      </c>
      <c r="K1196" s="206" t="str">
        <f t="shared" si="267"/>
        <v/>
      </c>
      <c r="L1196" s="206" t="str">
        <f t="shared" si="268"/>
        <v/>
      </c>
      <c r="M1196" s="206" t="str">
        <f t="shared" si="269"/>
        <v/>
      </c>
      <c r="N1196" s="206" t="str">
        <f t="shared" si="270"/>
        <v/>
      </c>
      <c r="O1196" s="206" t="str">
        <f t="shared" si="271"/>
        <v/>
      </c>
      <c r="P1196" s="84" t="str">
        <f t="shared" si="272"/>
        <v/>
      </c>
      <c r="Q1196" s="205"/>
      <c r="R1196" s="70" t="str">
        <f>IF(S1196="IN",'BOM_Phan II'!$Y$3,"")</f>
        <v/>
      </c>
      <c r="S1196" s="69" t="str">
        <f t="shared" si="264"/>
        <v/>
      </c>
      <c r="T1196">
        <f t="shared" si="273"/>
        <v>3</v>
      </c>
      <c r="U1196" t="str">
        <f t="shared" si="261"/>
        <v>KIỆN 14</v>
      </c>
      <c r="V1196" t="str">
        <f t="shared" si="274"/>
        <v/>
      </c>
      <c r="W1196" s="266"/>
      <c r="X1196" s="266"/>
      <c r="Y1196" s="266" t="str">
        <f t="shared" si="266"/>
        <v/>
      </c>
      <c r="Z1196" s="266"/>
    </row>
    <row r="1197" spans="1:26" ht="27" hidden="1" customHeight="1">
      <c r="A1197" s="70" t="str">
        <f t="shared" si="262"/>
        <v/>
      </c>
      <c r="B1197" s="70" t="str">
        <f t="shared" si="263"/>
        <v/>
      </c>
      <c r="C1197" s="204" t="str" cm="1">
        <f t="array" ref="C1197">IF(D1197="","",
    IF(AND(ISNUMBER(D1197), D1197=INT(D1197)),
        $V$6 &amp; " " &amp; (IFERROR(MAX($Y$12:$Y1196), 0) + 1),
        IF(ISNUMBER(SEARCH(".", D1197)), "", INDEX($C$12:$C1197, MATCH(2, 1/($C$12:$C1197 &lt;&gt; ""))))
    )
)</f>
        <v/>
      </c>
      <c r="D1197" s="206"/>
      <c r="E1197" s="206" t="str">
        <f>IF(AA1197 = "", "",
    IF(ISNUMBER(SEARCH("Kiện", C1197)),
       " GÓI " &amp; COUNTIF($C$13:C1197, "*Kiện*") &amp; "/" &amp; COUNTIF($C$13:$C$1000, "*Kiện*") &amp; " " &amp; AA1197,
       AA1197)
)</f>
        <v/>
      </c>
      <c r="F1197" s="206"/>
      <c r="G1197" s="206"/>
      <c r="H1197" s="206"/>
      <c r="I1197" s="206"/>
      <c r="J1197" s="206" t="str">
        <f t="shared" si="265"/>
        <v/>
      </c>
      <c r="K1197" s="206" t="str">
        <f t="shared" si="267"/>
        <v/>
      </c>
      <c r="L1197" s="206" t="str">
        <f t="shared" si="268"/>
        <v/>
      </c>
      <c r="M1197" s="206" t="str">
        <f t="shared" si="269"/>
        <v/>
      </c>
      <c r="N1197" s="206" t="str">
        <f t="shared" si="270"/>
        <v/>
      </c>
      <c r="O1197" s="206" t="str">
        <f t="shared" si="271"/>
        <v/>
      </c>
      <c r="P1197" s="84" t="str">
        <f t="shared" si="272"/>
        <v/>
      </c>
      <c r="Q1197" s="205"/>
      <c r="R1197" s="70" t="str">
        <f>IF(S1197="IN",'BOM_Phan II'!$Y$3,"")</f>
        <v/>
      </c>
      <c r="S1197" s="69" t="str">
        <f t="shared" si="264"/>
        <v/>
      </c>
      <c r="T1197">
        <f t="shared" si="273"/>
        <v>3</v>
      </c>
      <c r="U1197" t="str">
        <f t="shared" si="261"/>
        <v>KIỆN 14</v>
      </c>
      <c r="V1197" t="str">
        <f t="shared" si="274"/>
        <v/>
      </c>
      <c r="W1197" s="266"/>
      <c r="X1197" s="266"/>
      <c r="Y1197" s="266" t="str">
        <f t="shared" si="266"/>
        <v/>
      </c>
      <c r="Z1197" s="266"/>
    </row>
    <row r="1198" spans="1:26" ht="27" hidden="1" customHeight="1">
      <c r="A1198" s="70" t="str">
        <f t="shared" si="262"/>
        <v/>
      </c>
      <c r="B1198" s="70" t="str">
        <f t="shared" si="263"/>
        <v/>
      </c>
      <c r="C1198" s="204" t="str" cm="1">
        <f t="array" ref="C1198">IF(D1198="","",
    IF(AND(ISNUMBER(D1198), D1198=INT(D1198)),
        $V$6 &amp; " " &amp; (IFERROR(MAX($Y$12:$Y1197), 0) + 1),
        IF(ISNUMBER(SEARCH(".", D1198)), "", INDEX($C$12:$C1198, MATCH(2, 1/($C$12:$C1198 &lt;&gt; ""))))
    )
)</f>
        <v/>
      </c>
      <c r="D1198" s="206"/>
      <c r="E1198" s="206" t="str">
        <f>IF(AA1198 = "", "",
    IF(ISNUMBER(SEARCH("Kiện", C1198)),
       " GÓI " &amp; COUNTIF($C$13:C1198, "*Kiện*") &amp; "/" &amp; COUNTIF($C$13:$C$1000, "*Kiện*") &amp; " " &amp; AA1198,
       AA1198)
)</f>
        <v/>
      </c>
      <c r="F1198" s="206"/>
      <c r="G1198" s="206"/>
      <c r="H1198" s="206"/>
      <c r="I1198" s="206"/>
      <c r="J1198" s="206" t="str">
        <f t="shared" si="265"/>
        <v/>
      </c>
      <c r="K1198" s="206" t="str">
        <f t="shared" si="267"/>
        <v/>
      </c>
      <c r="L1198" s="206" t="str">
        <f t="shared" si="268"/>
        <v/>
      </c>
      <c r="M1198" s="206" t="str">
        <f t="shared" si="269"/>
        <v/>
      </c>
      <c r="N1198" s="206" t="str">
        <f t="shared" si="270"/>
        <v/>
      </c>
      <c r="O1198" s="206" t="str">
        <f t="shared" si="271"/>
        <v/>
      </c>
      <c r="P1198" s="84" t="str">
        <f t="shared" si="272"/>
        <v/>
      </c>
      <c r="Q1198" s="205"/>
      <c r="R1198" s="70" t="str">
        <f>IF(S1198="IN",'BOM_Phan II'!$Y$3,"")</f>
        <v/>
      </c>
      <c r="S1198" s="69" t="str">
        <f t="shared" si="264"/>
        <v/>
      </c>
      <c r="T1198">
        <f t="shared" si="273"/>
        <v>3</v>
      </c>
      <c r="U1198" t="str">
        <f t="shared" si="261"/>
        <v>KIỆN 14</v>
      </c>
      <c r="V1198" t="str">
        <f t="shared" si="274"/>
        <v/>
      </c>
      <c r="W1198" s="266"/>
      <c r="X1198" s="266"/>
      <c r="Y1198" s="266" t="str">
        <f t="shared" si="266"/>
        <v/>
      </c>
      <c r="Z1198" s="266"/>
    </row>
    <row r="1199" spans="1:26" ht="27" hidden="1" customHeight="1">
      <c r="A1199" s="70" t="str">
        <f t="shared" si="262"/>
        <v/>
      </c>
      <c r="B1199" s="70" t="str">
        <f t="shared" si="263"/>
        <v/>
      </c>
      <c r="C1199" s="204" t="str" cm="1">
        <f t="array" ref="C1199">IF(D1199="","",
    IF(AND(ISNUMBER(D1199), D1199=INT(D1199)),
        $V$6 &amp; " " &amp; (IFERROR(MAX($Y$12:$Y1198), 0) + 1),
        IF(ISNUMBER(SEARCH(".", D1199)), "", INDEX($C$12:$C1199, MATCH(2, 1/($C$12:$C1199 &lt;&gt; ""))))
    )
)</f>
        <v/>
      </c>
      <c r="D1199" s="206"/>
      <c r="E1199" s="206" t="str">
        <f>IF(AA1199 = "", "",
    IF(ISNUMBER(SEARCH("Kiện", C1199)),
       " GÓI " &amp; COUNTIF($C$13:C1199, "*Kiện*") &amp; "/" &amp; COUNTIF($C$13:$C$1000, "*Kiện*") &amp; " " &amp; AA1199,
       AA1199)
)</f>
        <v/>
      </c>
      <c r="F1199" s="206"/>
      <c r="G1199" s="206"/>
      <c r="H1199" s="206"/>
      <c r="I1199" s="206"/>
      <c r="J1199" s="206" t="str">
        <f t="shared" si="265"/>
        <v/>
      </c>
      <c r="K1199" s="206" t="str">
        <f t="shared" si="267"/>
        <v/>
      </c>
      <c r="L1199" s="206" t="str">
        <f t="shared" si="268"/>
        <v/>
      </c>
      <c r="M1199" s="206" t="str">
        <f t="shared" si="269"/>
        <v/>
      </c>
      <c r="N1199" s="206" t="str">
        <f t="shared" si="270"/>
        <v/>
      </c>
      <c r="O1199" s="206" t="str">
        <f t="shared" si="271"/>
        <v/>
      </c>
      <c r="P1199" s="84" t="str">
        <f t="shared" si="272"/>
        <v/>
      </c>
      <c r="Q1199" s="205"/>
      <c r="R1199" s="70" t="str">
        <f>IF(S1199="IN",'BOM_Phan II'!$Y$3,"")</f>
        <v/>
      </c>
      <c r="S1199" s="69" t="str">
        <f t="shared" si="264"/>
        <v/>
      </c>
      <c r="T1199">
        <f t="shared" si="273"/>
        <v>3</v>
      </c>
      <c r="U1199" t="str">
        <f t="shared" si="261"/>
        <v>KIỆN 14</v>
      </c>
      <c r="V1199" t="str">
        <f t="shared" si="274"/>
        <v/>
      </c>
      <c r="W1199" s="266"/>
      <c r="X1199" s="266"/>
      <c r="Y1199" s="266" t="str">
        <f t="shared" si="266"/>
        <v/>
      </c>
      <c r="Z1199" s="266"/>
    </row>
    <row r="1200" spans="1:26" ht="27" hidden="1" customHeight="1">
      <c r="A1200" s="70" t="str">
        <f t="shared" si="262"/>
        <v/>
      </c>
      <c r="B1200" s="70" t="str">
        <f t="shared" si="263"/>
        <v/>
      </c>
      <c r="C1200" s="204" t="str" cm="1">
        <f t="array" ref="C1200">IF(D1200="","",
    IF(AND(ISNUMBER(D1200), D1200=INT(D1200)),
        $V$6 &amp; " " &amp; (IFERROR(MAX($Y$12:$Y1199), 0) + 1),
        IF(ISNUMBER(SEARCH(".", D1200)), "", INDEX($C$12:$C1200, MATCH(2, 1/($C$12:$C1200 &lt;&gt; ""))))
    )
)</f>
        <v/>
      </c>
      <c r="D1200" s="206"/>
      <c r="E1200" s="206" t="str">
        <f>IF(AA1200 = "", "",
    IF(ISNUMBER(SEARCH("Kiện", C1200)),
       " GÓI " &amp; COUNTIF($C$13:C1200, "*Kiện*") &amp; "/" &amp; COUNTIF($C$13:$C$1000, "*Kiện*") &amp; " " &amp; AA1200,
       AA1200)
)</f>
        <v/>
      </c>
      <c r="F1200" s="206"/>
      <c r="G1200" s="206"/>
      <c r="H1200" s="206"/>
      <c r="I1200" s="206"/>
      <c r="J1200" s="206" t="str">
        <f t="shared" si="265"/>
        <v/>
      </c>
      <c r="K1200" s="206" t="str">
        <f t="shared" si="267"/>
        <v/>
      </c>
      <c r="L1200" s="206" t="str">
        <f t="shared" si="268"/>
        <v/>
      </c>
      <c r="M1200" s="206" t="str">
        <f t="shared" si="269"/>
        <v/>
      </c>
      <c r="N1200" s="206" t="str">
        <f t="shared" si="270"/>
        <v/>
      </c>
      <c r="O1200" s="206" t="str">
        <f t="shared" si="271"/>
        <v/>
      </c>
      <c r="P1200" s="84" t="str">
        <f t="shared" si="272"/>
        <v/>
      </c>
      <c r="Q1200" s="205"/>
      <c r="R1200" s="70" t="str">
        <f>IF(S1200="IN",'BOM_Phan II'!$Y$3,"")</f>
        <v/>
      </c>
      <c r="S1200" s="69" t="str">
        <f t="shared" si="264"/>
        <v/>
      </c>
      <c r="T1200">
        <f t="shared" si="273"/>
        <v>3</v>
      </c>
      <c r="U1200" t="str">
        <f t="shared" si="261"/>
        <v>KIỆN 14</v>
      </c>
      <c r="V1200" t="str">
        <f t="shared" si="274"/>
        <v/>
      </c>
      <c r="W1200" s="266"/>
      <c r="X1200" s="266"/>
      <c r="Y1200" s="266" t="str">
        <f t="shared" si="266"/>
        <v/>
      </c>
      <c r="Z1200" s="266"/>
    </row>
    <row r="1201" spans="1:26" ht="27" hidden="1" customHeight="1">
      <c r="A1201" s="70" t="str">
        <f t="shared" si="262"/>
        <v/>
      </c>
      <c r="B1201" s="70" t="str">
        <f t="shared" si="263"/>
        <v/>
      </c>
      <c r="C1201" s="204" t="str" cm="1">
        <f t="array" ref="C1201">IF(D1201="","",
    IF(AND(ISNUMBER(D1201), D1201=INT(D1201)),
        $V$6 &amp; " " &amp; (IFERROR(MAX($Y$12:$Y1200), 0) + 1),
        IF(ISNUMBER(SEARCH(".", D1201)), "", INDEX($C$12:$C1201, MATCH(2, 1/($C$12:$C1201 &lt;&gt; ""))))
    )
)</f>
        <v/>
      </c>
      <c r="D1201" s="206"/>
      <c r="E1201" s="206" t="str">
        <f>IF(AA1201 = "", "",
    IF(ISNUMBER(SEARCH("Kiện", C1201)),
       " GÓI " &amp; COUNTIF($C$13:C1201, "*Kiện*") &amp; "/" &amp; COUNTIF($C$13:$C$1000, "*Kiện*") &amp; " " &amp; AA1201,
       AA1201)
)</f>
        <v/>
      </c>
      <c r="F1201" s="206"/>
      <c r="G1201" s="206"/>
      <c r="H1201" s="206"/>
      <c r="I1201" s="206"/>
      <c r="J1201" s="206" t="str">
        <f t="shared" si="265"/>
        <v/>
      </c>
      <c r="K1201" s="206" t="str">
        <f t="shared" si="267"/>
        <v/>
      </c>
      <c r="L1201" s="206" t="str">
        <f t="shared" si="268"/>
        <v/>
      </c>
      <c r="M1201" s="206" t="str">
        <f t="shared" si="269"/>
        <v/>
      </c>
      <c r="N1201" s="206" t="str">
        <f t="shared" si="270"/>
        <v/>
      </c>
      <c r="O1201" s="206" t="str">
        <f t="shared" si="271"/>
        <v/>
      </c>
      <c r="P1201" s="84" t="str">
        <f t="shared" si="272"/>
        <v/>
      </c>
      <c r="Q1201" s="205"/>
      <c r="R1201" s="70" t="str">
        <f>IF(S1201="IN",'BOM_Phan II'!$Y$3,"")</f>
        <v/>
      </c>
      <c r="S1201" s="69" t="str">
        <f t="shared" si="264"/>
        <v/>
      </c>
      <c r="T1201">
        <f t="shared" si="273"/>
        <v>3</v>
      </c>
      <c r="U1201" t="str">
        <f t="shared" si="261"/>
        <v>KIỆN 14</v>
      </c>
      <c r="V1201" t="str">
        <f t="shared" si="274"/>
        <v/>
      </c>
      <c r="W1201" s="266"/>
      <c r="X1201" s="266"/>
      <c r="Y1201" s="266" t="str">
        <f t="shared" si="266"/>
        <v/>
      </c>
      <c r="Z1201" s="266"/>
    </row>
    <row r="1202" spans="1:26" ht="27" hidden="1" customHeight="1">
      <c r="A1202" s="70" t="str">
        <f t="shared" si="262"/>
        <v/>
      </c>
      <c r="B1202" s="70" t="str">
        <f t="shared" si="263"/>
        <v/>
      </c>
      <c r="C1202" s="204" t="str" cm="1">
        <f t="array" ref="C1202">IF(D1202="","",
    IF(AND(ISNUMBER(D1202), D1202=INT(D1202)),
        $V$6 &amp; " " &amp; (IFERROR(MAX($Y$12:$Y1201), 0) + 1),
        IF(ISNUMBER(SEARCH(".", D1202)), "", INDEX($C$12:$C1202, MATCH(2, 1/($C$12:$C1202 &lt;&gt; ""))))
    )
)</f>
        <v/>
      </c>
      <c r="D1202" s="206"/>
      <c r="E1202" s="206" t="str">
        <f>IF(AA1202 = "", "",
    IF(ISNUMBER(SEARCH("Kiện", C1202)),
       " GÓI " &amp; COUNTIF($C$13:C1202, "*Kiện*") &amp; "/" &amp; COUNTIF($C$13:$C$1000, "*Kiện*") &amp; " " &amp; AA1202,
       AA1202)
)</f>
        <v/>
      </c>
      <c r="F1202" s="206"/>
      <c r="G1202" s="206"/>
      <c r="H1202" s="206"/>
      <c r="I1202" s="206"/>
      <c r="J1202" s="206" t="str">
        <f t="shared" si="265"/>
        <v/>
      </c>
      <c r="K1202" s="206" t="str">
        <f t="shared" si="267"/>
        <v/>
      </c>
      <c r="L1202" s="206" t="str">
        <f t="shared" si="268"/>
        <v/>
      </c>
      <c r="M1202" s="206" t="str">
        <f t="shared" si="269"/>
        <v/>
      </c>
      <c r="N1202" s="206" t="str">
        <f t="shared" si="270"/>
        <v/>
      </c>
      <c r="O1202" s="206" t="str">
        <f t="shared" si="271"/>
        <v/>
      </c>
      <c r="P1202" s="84" t="str">
        <f t="shared" si="272"/>
        <v/>
      </c>
      <c r="Q1202" s="205"/>
      <c r="R1202" s="70" t="str">
        <f>IF(S1202="IN",'BOM_Phan II'!$Y$3,"")</f>
        <v/>
      </c>
      <c r="S1202" s="69" t="str">
        <f t="shared" si="264"/>
        <v/>
      </c>
      <c r="T1202">
        <f t="shared" si="273"/>
        <v>3</v>
      </c>
      <c r="U1202" t="str">
        <f t="shared" si="261"/>
        <v>KIỆN 14</v>
      </c>
      <c r="V1202" t="str">
        <f t="shared" si="274"/>
        <v/>
      </c>
      <c r="W1202" s="266"/>
      <c r="X1202" s="266"/>
      <c r="Y1202" s="266" t="str">
        <f t="shared" si="266"/>
        <v/>
      </c>
      <c r="Z1202" s="266"/>
    </row>
    <row r="1203" spans="1:26" ht="27" hidden="1" customHeight="1">
      <c r="A1203" s="70" t="str">
        <f t="shared" si="262"/>
        <v/>
      </c>
      <c r="B1203" s="70" t="str">
        <f t="shared" si="263"/>
        <v/>
      </c>
      <c r="C1203" s="204" t="str" cm="1">
        <f t="array" ref="C1203">IF(D1203="","",
    IF(AND(ISNUMBER(D1203), D1203=INT(D1203)),
        $V$6 &amp; " " &amp; (IFERROR(MAX($Y$12:$Y1202), 0) + 1),
        IF(ISNUMBER(SEARCH(".", D1203)), "", INDEX($C$12:$C1203, MATCH(2, 1/($C$12:$C1203 &lt;&gt; ""))))
    )
)</f>
        <v/>
      </c>
      <c r="D1203" s="206"/>
      <c r="E1203" s="206" t="str">
        <f>IF(AA1203 = "", "",
    IF(ISNUMBER(SEARCH("Kiện", C1203)),
       " GÓI " &amp; COUNTIF($C$13:C1203, "*Kiện*") &amp; "/" &amp; COUNTIF($C$13:$C$1000, "*Kiện*") &amp; " " &amp; AA1203,
       AA1203)
)</f>
        <v/>
      </c>
      <c r="F1203" s="206"/>
      <c r="G1203" s="206"/>
      <c r="H1203" s="206"/>
      <c r="I1203" s="206"/>
      <c r="J1203" s="206" t="str">
        <f t="shared" si="265"/>
        <v/>
      </c>
      <c r="K1203" s="206" t="str">
        <f t="shared" si="267"/>
        <v/>
      </c>
      <c r="L1203" s="206" t="str">
        <f t="shared" si="268"/>
        <v/>
      </c>
      <c r="M1203" s="206" t="str">
        <f t="shared" si="269"/>
        <v/>
      </c>
      <c r="N1203" s="206" t="str">
        <f t="shared" si="270"/>
        <v/>
      </c>
      <c r="O1203" s="206" t="str">
        <f t="shared" si="271"/>
        <v/>
      </c>
      <c r="P1203" s="84" t="str">
        <f t="shared" si="272"/>
        <v/>
      </c>
      <c r="Q1203" s="205"/>
      <c r="R1203" s="70" t="str">
        <f>IF(S1203="IN",'BOM_Phan II'!$Y$3,"")</f>
        <v/>
      </c>
      <c r="S1203" s="69" t="str">
        <f t="shared" si="264"/>
        <v/>
      </c>
      <c r="T1203">
        <f t="shared" si="273"/>
        <v>3</v>
      </c>
      <c r="U1203" t="str">
        <f t="shared" si="261"/>
        <v>KIỆN 14</v>
      </c>
      <c r="V1203" t="str">
        <f t="shared" si="274"/>
        <v/>
      </c>
      <c r="W1203" s="266"/>
      <c r="X1203" s="266"/>
      <c r="Y1203" s="266" t="str">
        <f t="shared" si="266"/>
        <v/>
      </c>
      <c r="Z1203" s="266"/>
    </row>
    <row r="1204" spans="1:26" ht="27" hidden="1" customHeight="1">
      <c r="A1204" s="70" t="str">
        <f t="shared" si="262"/>
        <v/>
      </c>
      <c r="B1204" s="70" t="str">
        <f t="shared" si="263"/>
        <v/>
      </c>
      <c r="C1204" s="204" t="str" cm="1">
        <f t="array" ref="C1204">IF(D1204="","",
    IF(AND(ISNUMBER(D1204), D1204=INT(D1204)),
        $V$6 &amp; " " &amp; (IFERROR(MAX($Y$12:$Y1203), 0) + 1),
        IF(ISNUMBER(SEARCH(".", D1204)), "", INDEX($C$12:$C1204, MATCH(2, 1/($C$12:$C1204 &lt;&gt; ""))))
    )
)</f>
        <v/>
      </c>
      <c r="D1204" s="206"/>
      <c r="E1204" s="206" t="str">
        <f>IF(AA1204 = "", "",
    IF(ISNUMBER(SEARCH("Kiện", C1204)),
       " GÓI " &amp; COUNTIF($C$13:C1204, "*Kiện*") &amp; "/" &amp; COUNTIF($C$13:$C$1000, "*Kiện*") &amp; " " &amp; AA1204,
       AA1204)
)</f>
        <v/>
      </c>
      <c r="F1204" s="206"/>
      <c r="G1204" s="206"/>
      <c r="H1204" s="206"/>
      <c r="I1204" s="206"/>
      <c r="J1204" s="206" t="str">
        <f t="shared" si="265"/>
        <v/>
      </c>
      <c r="K1204" s="206" t="str">
        <f t="shared" si="267"/>
        <v/>
      </c>
      <c r="L1204" s="206" t="str">
        <f t="shared" si="268"/>
        <v/>
      </c>
      <c r="M1204" s="206" t="str">
        <f t="shared" si="269"/>
        <v/>
      </c>
      <c r="N1204" s="206" t="str">
        <f t="shared" si="270"/>
        <v/>
      </c>
      <c r="O1204" s="206" t="str">
        <f t="shared" si="271"/>
        <v/>
      </c>
      <c r="P1204" s="84" t="str">
        <f t="shared" si="272"/>
        <v/>
      </c>
      <c r="Q1204" s="205"/>
      <c r="R1204" s="70" t="str">
        <f>IF(S1204="IN",'BOM_Phan II'!$Y$3,"")</f>
        <v/>
      </c>
      <c r="S1204" s="69" t="str">
        <f t="shared" si="264"/>
        <v/>
      </c>
      <c r="T1204">
        <f t="shared" si="273"/>
        <v>3</v>
      </c>
      <c r="U1204" t="str">
        <f t="shared" si="261"/>
        <v>KIỆN 14</v>
      </c>
      <c r="V1204" t="str">
        <f t="shared" si="274"/>
        <v/>
      </c>
      <c r="W1204" s="266"/>
      <c r="X1204" s="266"/>
      <c r="Y1204" s="266" t="str">
        <f t="shared" si="266"/>
        <v/>
      </c>
      <c r="Z1204" s="266"/>
    </row>
    <row r="1205" spans="1:26" ht="27" hidden="1" customHeight="1">
      <c r="A1205" s="70" t="str">
        <f t="shared" si="262"/>
        <v/>
      </c>
      <c r="B1205" s="70" t="str">
        <f t="shared" si="263"/>
        <v/>
      </c>
      <c r="C1205" s="204" t="str" cm="1">
        <f t="array" ref="C1205">IF(D1205="","",
    IF(AND(ISNUMBER(D1205), D1205=INT(D1205)),
        $V$6 &amp; " " &amp; (IFERROR(MAX($Y$12:$Y1204), 0) + 1),
        IF(ISNUMBER(SEARCH(".", D1205)), "", INDEX($C$12:$C1205, MATCH(2, 1/($C$12:$C1205 &lt;&gt; ""))))
    )
)</f>
        <v/>
      </c>
      <c r="D1205" s="206"/>
      <c r="E1205" s="206" t="str">
        <f>IF(AA1205 = "", "",
    IF(ISNUMBER(SEARCH("Kiện", C1205)),
       " GÓI " &amp; COUNTIF($C$13:C1205, "*Kiện*") &amp; "/" &amp; COUNTIF($C$13:$C$1000, "*Kiện*") &amp; " " &amp; AA1205,
       AA1205)
)</f>
        <v/>
      </c>
      <c r="F1205" s="206"/>
      <c r="G1205" s="206"/>
      <c r="H1205" s="206"/>
      <c r="I1205" s="206"/>
      <c r="J1205" s="206" t="str">
        <f t="shared" si="265"/>
        <v/>
      </c>
      <c r="K1205" s="206" t="str">
        <f t="shared" si="267"/>
        <v/>
      </c>
      <c r="L1205" s="206" t="str">
        <f t="shared" si="268"/>
        <v/>
      </c>
      <c r="M1205" s="206" t="str">
        <f t="shared" si="269"/>
        <v/>
      </c>
      <c r="N1205" s="206" t="str">
        <f t="shared" si="270"/>
        <v/>
      </c>
      <c r="O1205" s="206" t="str">
        <f t="shared" si="271"/>
        <v/>
      </c>
      <c r="P1205" s="84" t="str">
        <f t="shared" si="272"/>
        <v/>
      </c>
      <c r="Q1205" s="205"/>
      <c r="R1205" s="70" t="str">
        <f>IF(S1205="IN",'BOM_Phan II'!$Y$3,"")</f>
        <v/>
      </c>
      <c r="S1205" s="69" t="str">
        <f t="shared" si="264"/>
        <v/>
      </c>
      <c r="T1205">
        <f t="shared" si="273"/>
        <v>3</v>
      </c>
      <c r="U1205" t="str">
        <f t="shared" si="261"/>
        <v>KIỆN 14</v>
      </c>
      <c r="V1205" t="str">
        <f t="shared" si="274"/>
        <v/>
      </c>
      <c r="W1205" s="266"/>
      <c r="X1205" s="266"/>
      <c r="Y1205" s="266" t="str">
        <f t="shared" si="266"/>
        <v/>
      </c>
      <c r="Z1205" s="266"/>
    </row>
    <row r="1206" spans="1:26" ht="27" hidden="1" customHeight="1">
      <c r="A1206" s="70" t="str">
        <f t="shared" si="262"/>
        <v/>
      </c>
      <c r="B1206" s="70" t="str">
        <f t="shared" si="263"/>
        <v/>
      </c>
      <c r="C1206" s="204" t="str" cm="1">
        <f t="array" ref="C1206">IF(D1206="","",
    IF(AND(ISNUMBER(D1206), D1206=INT(D1206)),
        $V$6 &amp; " " &amp; (IFERROR(MAX($Y$12:$Y1205), 0) + 1),
        IF(ISNUMBER(SEARCH(".", D1206)), "", INDEX($C$12:$C1206, MATCH(2, 1/($C$12:$C1206 &lt;&gt; ""))))
    )
)</f>
        <v/>
      </c>
      <c r="D1206" s="206"/>
      <c r="E1206" s="206" t="str">
        <f>IF(AA1206 = "", "",
    IF(ISNUMBER(SEARCH("Kiện", C1206)),
       " GÓI " &amp; COUNTIF($C$13:C1206, "*Kiện*") &amp; "/" &amp; COUNTIF($C$13:$C$1000, "*Kiện*") &amp; " " &amp; AA1206,
       AA1206)
)</f>
        <v/>
      </c>
      <c r="F1206" s="206"/>
      <c r="G1206" s="206"/>
      <c r="H1206" s="206"/>
      <c r="I1206" s="206"/>
      <c r="J1206" s="206" t="str">
        <f t="shared" si="265"/>
        <v/>
      </c>
      <c r="K1206" s="206" t="str">
        <f t="shared" si="267"/>
        <v/>
      </c>
      <c r="L1206" s="206" t="str">
        <f t="shared" si="268"/>
        <v/>
      </c>
      <c r="M1206" s="206" t="str">
        <f t="shared" si="269"/>
        <v/>
      </c>
      <c r="N1206" s="206" t="str">
        <f t="shared" si="270"/>
        <v/>
      </c>
      <c r="O1206" s="206" t="str">
        <f t="shared" si="271"/>
        <v/>
      </c>
      <c r="P1206" s="84" t="str">
        <f t="shared" si="272"/>
        <v/>
      </c>
      <c r="Q1206" s="205"/>
      <c r="R1206" s="70" t="str">
        <f>IF(S1206="IN",'BOM_Phan II'!$Y$3,"")</f>
        <v/>
      </c>
      <c r="S1206" s="69" t="str">
        <f t="shared" si="264"/>
        <v/>
      </c>
      <c r="T1206">
        <f t="shared" si="273"/>
        <v>3</v>
      </c>
      <c r="U1206" t="str">
        <f t="shared" si="261"/>
        <v>KIỆN 14</v>
      </c>
      <c r="V1206" t="str">
        <f t="shared" si="274"/>
        <v/>
      </c>
      <c r="W1206" s="266"/>
      <c r="X1206" s="266"/>
      <c r="Y1206" s="266" t="str">
        <f t="shared" si="266"/>
        <v/>
      </c>
      <c r="Z1206" s="266"/>
    </row>
    <row r="1207" spans="1:26" ht="27" hidden="1" customHeight="1">
      <c r="A1207" s="70" t="str">
        <f t="shared" si="262"/>
        <v/>
      </c>
      <c r="B1207" s="70" t="str">
        <f t="shared" si="263"/>
        <v/>
      </c>
      <c r="C1207" s="204" t="str" cm="1">
        <f t="array" ref="C1207">IF(D1207="","",
    IF(AND(ISNUMBER(D1207), D1207=INT(D1207)),
        $V$6 &amp; " " &amp; (IFERROR(MAX($Y$12:$Y1206), 0) + 1),
        IF(ISNUMBER(SEARCH(".", D1207)), "", INDEX($C$12:$C1207, MATCH(2, 1/($C$12:$C1207 &lt;&gt; ""))))
    )
)</f>
        <v/>
      </c>
      <c r="D1207" s="206"/>
      <c r="E1207" s="206" t="str">
        <f>IF(AA1207 = "", "",
    IF(ISNUMBER(SEARCH("Kiện", C1207)),
       " GÓI " &amp; COUNTIF($C$13:C1207, "*Kiện*") &amp; "/" &amp; COUNTIF($C$13:$C$1000, "*Kiện*") &amp; " " &amp; AA1207,
       AA1207)
)</f>
        <v/>
      </c>
      <c r="F1207" s="206"/>
      <c r="G1207" s="206"/>
      <c r="H1207" s="206"/>
      <c r="I1207" s="206"/>
      <c r="J1207" s="206" t="str">
        <f t="shared" si="265"/>
        <v/>
      </c>
      <c r="K1207" s="206" t="str">
        <f t="shared" si="267"/>
        <v/>
      </c>
      <c r="L1207" s="206" t="str">
        <f t="shared" si="268"/>
        <v/>
      </c>
      <c r="M1207" s="206" t="str">
        <f t="shared" si="269"/>
        <v/>
      </c>
      <c r="N1207" s="206" t="str">
        <f t="shared" si="270"/>
        <v/>
      </c>
      <c r="O1207" s="206" t="str">
        <f t="shared" si="271"/>
        <v/>
      </c>
      <c r="P1207" s="84" t="str">
        <f t="shared" si="272"/>
        <v/>
      </c>
      <c r="Q1207" s="205"/>
      <c r="R1207" s="70" t="str">
        <f>IF(S1207="IN",'BOM_Phan II'!$Y$3,"")</f>
        <v/>
      </c>
      <c r="S1207" s="69" t="str">
        <f t="shared" si="264"/>
        <v/>
      </c>
      <c r="T1207">
        <f t="shared" si="273"/>
        <v>3</v>
      </c>
      <c r="U1207" t="str">
        <f t="shared" si="261"/>
        <v>KIỆN 14</v>
      </c>
      <c r="V1207" t="str">
        <f t="shared" si="274"/>
        <v/>
      </c>
      <c r="W1207" s="266"/>
      <c r="X1207" s="266"/>
      <c r="Y1207" s="266" t="str">
        <f t="shared" si="266"/>
        <v/>
      </c>
      <c r="Z1207" s="266"/>
    </row>
    <row r="1208" spans="1:26" ht="27" hidden="1" customHeight="1">
      <c r="A1208" s="70" t="str">
        <f t="shared" si="262"/>
        <v/>
      </c>
      <c r="B1208" s="70" t="str">
        <f t="shared" si="263"/>
        <v/>
      </c>
      <c r="C1208" s="204" t="str" cm="1">
        <f t="array" ref="C1208">IF(D1208="","",
    IF(AND(ISNUMBER(D1208), D1208=INT(D1208)),
        $V$6 &amp; " " &amp; (IFERROR(MAX($Y$12:$Y1207), 0) + 1),
        IF(ISNUMBER(SEARCH(".", D1208)), "", INDEX($C$12:$C1208, MATCH(2, 1/($C$12:$C1208 &lt;&gt; ""))))
    )
)</f>
        <v/>
      </c>
      <c r="D1208" s="206"/>
      <c r="E1208" s="206" t="str">
        <f>IF(AA1208 = "", "",
    IF(ISNUMBER(SEARCH("Kiện", C1208)),
       " GÓI " &amp; COUNTIF($C$13:C1208, "*Kiện*") &amp; "/" &amp; COUNTIF($C$13:$C$1000, "*Kiện*") &amp; " " &amp; AA1208,
       AA1208)
)</f>
        <v/>
      </c>
      <c r="F1208" s="206"/>
      <c r="G1208" s="206"/>
      <c r="H1208" s="206"/>
      <c r="I1208" s="206"/>
      <c r="J1208" s="206" t="str">
        <f t="shared" si="265"/>
        <v/>
      </c>
      <c r="K1208" s="206" t="str">
        <f t="shared" si="267"/>
        <v/>
      </c>
      <c r="L1208" s="206" t="str">
        <f t="shared" si="268"/>
        <v/>
      </c>
      <c r="M1208" s="206" t="str">
        <f t="shared" si="269"/>
        <v/>
      </c>
      <c r="N1208" s="206" t="str">
        <f t="shared" si="270"/>
        <v/>
      </c>
      <c r="O1208" s="206" t="str">
        <f t="shared" si="271"/>
        <v/>
      </c>
      <c r="P1208" s="84" t="str">
        <f t="shared" si="272"/>
        <v/>
      </c>
      <c r="Q1208" s="205"/>
      <c r="R1208" s="70" t="str">
        <f>IF(S1208="IN",'BOM_Phan II'!$Y$3,"")</f>
        <v/>
      </c>
      <c r="S1208" s="69" t="str">
        <f t="shared" si="264"/>
        <v/>
      </c>
      <c r="T1208">
        <f t="shared" si="273"/>
        <v>3</v>
      </c>
      <c r="U1208" t="str">
        <f t="shared" si="261"/>
        <v>KIỆN 14</v>
      </c>
      <c r="V1208" t="str">
        <f t="shared" si="274"/>
        <v/>
      </c>
      <c r="W1208" s="266"/>
      <c r="X1208" s="266"/>
      <c r="Y1208" s="266" t="str">
        <f t="shared" si="266"/>
        <v/>
      </c>
      <c r="Z1208" s="266"/>
    </row>
    <row r="1209" spans="1:26" ht="27" hidden="1" customHeight="1">
      <c r="A1209" s="70" t="str">
        <f t="shared" si="262"/>
        <v/>
      </c>
      <c r="B1209" s="70" t="str">
        <f t="shared" si="263"/>
        <v/>
      </c>
      <c r="C1209" s="204" t="str" cm="1">
        <f t="array" ref="C1209">IF(D1209="","",
    IF(AND(ISNUMBER(D1209), D1209=INT(D1209)),
        $V$6 &amp; " " &amp; (IFERROR(MAX($Y$12:$Y1208), 0) + 1),
        IF(ISNUMBER(SEARCH(".", D1209)), "", INDEX($C$12:$C1209, MATCH(2, 1/($C$12:$C1209 &lt;&gt; ""))))
    )
)</f>
        <v/>
      </c>
      <c r="D1209" s="206"/>
      <c r="E1209" s="206" t="str">
        <f>IF(AA1209 = "", "",
    IF(ISNUMBER(SEARCH("Kiện", C1209)),
       " GÓI " &amp; COUNTIF($C$13:C1209, "*Kiện*") &amp; "/" &amp; COUNTIF($C$13:$C$1000, "*Kiện*") &amp; " " &amp; AA1209,
       AA1209)
)</f>
        <v/>
      </c>
      <c r="F1209" s="206"/>
      <c r="G1209" s="206"/>
      <c r="H1209" s="206"/>
      <c r="I1209" s="206"/>
      <c r="J1209" s="206" t="str">
        <f t="shared" si="265"/>
        <v/>
      </c>
      <c r="K1209" s="206" t="str">
        <f t="shared" si="267"/>
        <v/>
      </c>
      <c r="L1209" s="206" t="str">
        <f t="shared" si="268"/>
        <v/>
      </c>
      <c r="M1209" s="206" t="str">
        <f t="shared" si="269"/>
        <v/>
      </c>
      <c r="N1209" s="206" t="str">
        <f t="shared" si="270"/>
        <v/>
      </c>
      <c r="O1209" s="206" t="str">
        <f t="shared" si="271"/>
        <v/>
      </c>
      <c r="P1209" s="84" t="str">
        <f t="shared" si="272"/>
        <v/>
      </c>
      <c r="Q1209" s="205"/>
      <c r="R1209" s="70" t="str">
        <f>IF(S1209="IN",'BOM_Phan II'!$Y$3,"")</f>
        <v/>
      </c>
      <c r="S1209" s="69" t="str">
        <f t="shared" si="264"/>
        <v/>
      </c>
      <c r="T1209">
        <f t="shared" si="273"/>
        <v>3</v>
      </c>
      <c r="U1209" t="str">
        <f t="shared" si="261"/>
        <v>KIỆN 14</v>
      </c>
      <c r="V1209" t="str">
        <f t="shared" si="274"/>
        <v/>
      </c>
      <c r="W1209" s="266"/>
      <c r="X1209" s="266"/>
      <c r="Y1209" s="266" t="str">
        <f t="shared" si="266"/>
        <v/>
      </c>
      <c r="Z1209" s="266"/>
    </row>
    <row r="1210" spans="1:26" ht="27" hidden="1" customHeight="1">
      <c r="A1210" s="70" t="str">
        <f t="shared" si="262"/>
        <v/>
      </c>
      <c r="B1210" s="70" t="str">
        <f t="shared" si="263"/>
        <v/>
      </c>
      <c r="C1210" s="204" t="str" cm="1">
        <f t="array" ref="C1210">IF(D1210="","",
    IF(AND(ISNUMBER(D1210), D1210=INT(D1210)),
        $V$6 &amp; " " &amp; (IFERROR(MAX($Y$12:$Y1209), 0) + 1),
        IF(ISNUMBER(SEARCH(".", D1210)), "", INDEX($C$12:$C1210, MATCH(2, 1/($C$12:$C1210 &lt;&gt; ""))))
    )
)</f>
        <v/>
      </c>
      <c r="D1210" s="206"/>
      <c r="E1210" s="206" t="str">
        <f>IF(AA1210 = "", "",
    IF(ISNUMBER(SEARCH("Kiện", C1210)),
       " GÓI " &amp; COUNTIF($C$13:C1210, "*Kiện*") &amp; "/" &amp; COUNTIF($C$13:$C$1000, "*Kiện*") &amp; " " &amp; AA1210,
       AA1210)
)</f>
        <v/>
      </c>
      <c r="F1210" s="206"/>
      <c r="G1210" s="206"/>
      <c r="H1210" s="206"/>
      <c r="I1210" s="206"/>
      <c r="J1210" s="206" t="str">
        <f t="shared" si="265"/>
        <v/>
      </c>
      <c r="K1210" s="206" t="str">
        <f t="shared" si="267"/>
        <v/>
      </c>
      <c r="L1210" s="206" t="str">
        <f t="shared" si="268"/>
        <v/>
      </c>
      <c r="M1210" s="206" t="str">
        <f t="shared" si="269"/>
        <v/>
      </c>
      <c r="N1210" s="206" t="str">
        <f t="shared" si="270"/>
        <v/>
      </c>
      <c r="O1210" s="206" t="str">
        <f t="shared" si="271"/>
        <v/>
      </c>
      <c r="P1210" s="84" t="str">
        <f t="shared" si="272"/>
        <v/>
      </c>
      <c r="Q1210" s="205"/>
      <c r="R1210" s="70" t="str">
        <f>IF(S1210="IN",'BOM_Phan II'!$Y$3,"")</f>
        <v/>
      </c>
      <c r="S1210" s="69" t="str">
        <f t="shared" si="264"/>
        <v/>
      </c>
      <c r="T1210">
        <f t="shared" si="273"/>
        <v>3</v>
      </c>
      <c r="U1210" t="str">
        <f t="shared" si="261"/>
        <v>KIỆN 14</v>
      </c>
      <c r="V1210" t="str">
        <f t="shared" si="274"/>
        <v/>
      </c>
      <c r="W1210" s="266"/>
      <c r="X1210" s="266"/>
      <c r="Y1210" s="266" t="str">
        <f t="shared" si="266"/>
        <v/>
      </c>
      <c r="Z1210" s="266"/>
    </row>
    <row r="1211" spans="1:26" ht="27" hidden="1" customHeight="1">
      <c r="A1211" s="70" t="str">
        <f t="shared" si="262"/>
        <v/>
      </c>
      <c r="B1211" s="70" t="str">
        <f t="shared" si="263"/>
        <v/>
      </c>
      <c r="C1211" s="204" t="str" cm="1">
        <f t="array" ref="C1211">IF(D1211="","",
    IF(AND(ISNUMBER(D1211), D1211=INT(D1211)),
        $V$6 &amp; " " &amp; (IFERROR(MAX($Y$12:$Y1210), 0) + 1),
        IF(ISNUMBER(SEARCH(".", D1211)), "", INDEX($C$12:$C1211, MATCH(2, 1/($C$12:$C1211 &lt;&gt; ""))))
    )
)</f>
        <v/>
      </c>
      <c r="D1211" s="206"/>
      <c r="E1211" s="206" t="str">
        <f>IF(AA1211 = "", "",
    IF(ISNUMBER(SEARCH("Kiện", C1211)),
       " GÓI " &amp; COUNTIF($C$13:C1211, "*Kiện*") &amp; "/" &amp; COUNTIF($C$13:$C$1000, "*Kiện*") &amp; " " &amp; AA1211,
       AA1211)
)</f>
        <v/>
      </c>
      <c r="F1211" s="206"/>
      <c r="G1211" s="206"/>
      <c r="H1211" s="206"/>
      <c r="I1211" s="206"/>
      <c r="J1211" s="206" t="str">
        <f t="shared" si="265"/>
        <v/>
      </c>
      <c r="K1211" s="206" t="str">
        <f t="shared" si="267"/>
        <v/>
      </c>
      <c r="L1211" s="206" t="str">
        <f t="shared" si="268"/>
        <v/>
      </c>
      <c r="M1211" s="206" t="str">
        <f t="shared" si="269"/>
        <v/>
      </c>
      <c r="N1211" s="206" t="str">
        <f t="shared" si="270"/>
        <v/>
      </c>
      <c r="O1211" s="206" t="str">
        <f t="shared" si="271"/>
        <v/>
      </c>
      <c r="P1211" s="84" t="str">
        <f t="shared" si="272"/>
        <v/>
      </c>
      <c r="Q1211" s="205"/>
      <c r="R1211" s="70" t="str">
        <f>IF(S1211="IN",'BOM_Phan II'!$Y$3,"")</f>
        <v/>
      </c>
      <c r="S1211" s="69" t="str">
        <f t="shared" si="264"/>
        <v/>
      </c>
      <c r="T1211">
        <f t="shared" si="273"/>
        <v>3</v>
      </c>
      <c r="U1211" t="str">
        <f t="shared" si="261"/>
        <v>KIỆN 14</v>
      </c>
      <c r="V1211" t="str">
        <f t="shared" si="274"/>
        <v/>
      </c>
      <c r="W1211" s="266"/>
      <c r="X1211" s="266"/>
      <c r="Y1211" s="266" t="str">
        <f t="shared" si="266"/>
        <v/>
      </c>
      <c r="Z1211" s="266"/>
    </row>
    <row r="1212" spans="1:26" ht="27" hidden="1" customHeight="1">
      <c r="A1212" s="70" t="str">
        <f t="shared" si="262"/>
        <v/>
      </c>
      <c r="B1212" s="70" t="str">
        <f t="shared" si="263"/>
        <v/>
      </c>
      <c r="C1212" s="204" t="str" cm="1">
        <f t="array" ref="C1212">IF(D1212="","",
    IF(AND(ISNUMBER(D1212), D1212=INT(D1212)),
        $V$6 &amp; " " &amp; (IFERROR(MAX($Y$12:$Y1211), 0) + 1),
        IF(ISNUMBER(SEARCH(".", D1212)), "", INDEX($C$12:$C1212, MATCH(2, 1/($C$12:$C1212 &lt;&gt; ""))))
    )
)</f>
        <v/>
      </c>
      <c r="D1212" s="206"/>
      <c r="E1212" s="206" t="str">
        <f>IF(AA1212 = "", "",
    IF(ISNUMBER(SEARCH("Kiện", C1212)),
       " GÓI " &amp; COUNTIF($C$13:C1212, "*Kiện*") &amp; "/" &amp; COUNTIF($C$13:$C$1000, "*Kiện*") &amp; " " &amp; AA1212,
       AA1212)
)</f>
        <v/>
      </c>
      <c r="F1212" s="206"/>
      <c r="G1212" s="206"/>
      <c r="H1212" s="206"/>
      <c r="I1212" s="206"/>
      <c r="J1212" s="206" t="str">
        <f t="shared" si="265"/>
        <v/>
      </c>
      <c r="K1212" s="206" t="str">
        <f t="shared" si="267"/>
        <v/>
      </c>
      <c r="L1212" s="206" t="str">
        <f t="shared" si="268"/>
        <v/>
      </c>
      <c r="M1212" s="206" t="str">
        <f t="shared" si="269"/>
        <v/>
      </c>
      <c r="N1212" s="206" t="str">
        <f t="shared" si="270"/>
        <v/>
      </c>
      <c r="O1212" s="206" t="str">
        <f t="shared" si="271"/>
        <v/>
      </c>
      <c r="P1212" s="84" t="str">
        <f t="shared" si="272"/>
        <v/>
      </c>
      <c r="Q1212" s="205"/>
      <c r="R1212" s="70" t="str">
        <f>IF(S1212="IN",'BOM_Phan II'!$Y$3,"")</f>
        <v/>
      </c>
      <c r="S1212" s="69" t="str">
        <f t="shared" si="264"/>
        <v/>
      </c>
      <c r="T1212">
        <f t="shared" si="273"/>
        <v>3</v>
      </c>
      <c r="U1212" t="str">
        <f t="shared" si="261"/>
        <v>KIỆN 14</v>
      </c>
      <c r="V1212" t="str">
        <f t="shared" si="274"/>
        <v/>
      </c>
      <c r="W1212" s="266"/>
      <c r="X1212" s="266"/>
      <c r="Y1212" s="266" t="str">
        <f t="shared" si="266"/>
        <v/>
      </c>
      <c r="Z1212" s="266"/>
    </row>
    <row r="1213" spans="1:26" ht="27" hidden="1" customHeight="1">
      <c r="A1213" s="70" t="str">
        <f t="shared" si="262"/>
        <v/>
      </c>
      <c r="B1213" s="70" t="str">
        <f t="shared" si="263"/>
        <v/>
      </c>
      <c r="C1213" s="204" t="str" cm="1">
        <f t="array" ref="C1213">IF(D1213="","",
    IF(AND(ISNUMBER(D1213), D1213=INT(D1213)),
        $V$6 &amp; " " &amp; (IFERROR(MAX($Y$12:$Y1212), 0) + 1),
        IF(ISNUMBER(SEARCH(".", D1213)), "", INDEX($C$12:$C1213, MATCH(2, 1/($C$12:$C1213 &lt;&gt; ""))))
    )
)</f>
        <v/>
      </c>
      <c r="D1213" s="206"/>
      <c r="E1213" s="206" t="str">
        <f>IF(AA1213 = "", "",
    IF(ISNUMBER(SEARCH("Kiện", C1213)),
       " GÓI " &amp; COUNTIF($C$13:C1213, "*Kiện*") &amp; "/" &amp; COUNTIF($C$13:$C$1000, "*Kiện*") &amp; " " &amp; AA1213,
       AA1213)
)</f>
        <v/>
      </c>
      <c r="F1213" s="206"/>
      <c r="G1213" s="206"/>
      <c r="H1213" s="206"/>
      <c r="I1213" s="206"/>
      <c r="J1213" s="206" t="str">
        <f t="shared" si="265"/>
        <v/>
      </c>
      <c r="K1213" s="206" t="str">
        <f t="shared" si="267"/>
        <v/>
      </c>
      <c r="L1213" s="206" t="str">
        <f t="shared" si="268"/>
        <v/>
      </c>
      <c r="M1213" s="206" t="str">
        <f t="shared" si="269"/>
        <v/>
      </c>
      <c r="N1213" s="206" t="str">
        <f t="shared" si="270"/>
        <v/>
      </c>
      <c r="O1213" s="206" t="str">
        <f t="shared" si="271"/>
        <v/>
      </c>
      <c r="P1213" s="84" t="str">
        <f t="shared" si="272"/>
        <v/>
      </c>
      <c r="Q1213" s="205"/>
      <c r="R1213" s="70" t="str">
        <f>IF(S1213="IN",'BOM_Phan II'!$Y$3,"")</f>
        <v/>
      </c>
      <c r="S1213" s="69" t="str">
        <f t="shared" si="264"/>
        <v/>
      </c>
      <c r="T1213">
        <f t="shared" si="273"/>
        <v>3</v>
      </c>
      <c r="U1213" t="str">
        <f t="shared" si="261"/>
        <v>KIỆN 14</v>
      </c>
      <c r="V1213" t="str">
        <f t="shared" si="274"/>
        <v/>
      </c>
      <c r="W1213" s="266"/>
      <c r="X1213" s="266"/>
      <c r="Y1213" s="266" t="str">
        <f t="shared" si="266"/>
        <v/>
      </c>
      <c r="Z1213" s="266"/>
    </row>
    <row r="1214" spans="1:26" ht="27" hidden="1" customHeight="1">
      <c r="A1214" s="70" t="str">
        <f t="shared" si="262"/>
        <v/>
      </c>
      <c r="B1214" s="70" t="str">
        <f t="shared" si="263"/>
        <v/>
      </c>
      <c r="C1214" s="204" t="str" cm="1">
        <f t="array" ref="C1214">IF(D1214="","",
    IF(AND(ISNUMBER(D1214), D1214=INT(D1214)),
        $V$6 &amp; " " &amp; (IFERROR(MAX($Y$12:$Y1213), 0) + 1),
        IF(ISNUMBER(SEARCH(".", D1214)), "", INDEX($C$12:$C1214, MATCH(2, 1/($C$12:$C1214 &lt;&gt; ""))))
    )
)</f>
        <v/>
      </c>
      <c r="D1214" s="206"/>
      <c r="E1214" s="206" t="str">
        <f>IF(AA1214 = "", "",
    IF(ISNUMBER(SEARCH("Kiện", C1214)),
       " GÓI " &amp; COUNTIF($C$13:C1214, "*Kiện*") &amp; "/" &amp; COUNTIF($C$13:$C$1000, "*Kiện*") &amp; " " &amp; AA1214,
       AA1214)
)</f>
        <v/>
      </c>
      <c r="F1214" s="206"/>
      <c r="G1214" s="206"/>
      <c r="H1214" s="206"/>
      <c r="I1214" s="206"/>
      <c r="J1214" s="206" t="str">
        <f t="shared" si="265"/>
        <v/>
      </c>
      <c r="K1214" s="206" t="str">
        <f t="shared" si="267"/>
        <v/>
      </c>
      <c r="L1214" s="206" t="str">
        <f t="shared" si="268"/>
        <v/>
      </c>
      <c r="M1214" s="206" t="str">
        <f t="shared" si="269"/>
        <v/>
      </c>
      <c r="N1214" s="206" t="str">
        <f t="shared" si="270"/>
        <v/>
      </c>
      <c r="O1214" s="206" t="str">
        <f t="shared" si="271"/>
        <v/>
      </c>
      <c r="P1214" s="84" t="str">
        <f t="shared" si="272"/>
        <v/>
      </c>
      <c r="Q1214" s="205"/>
      <c r="R1214" s="70" t="str">
        <f>IF(S1214="IN",'BOM_Phan II'!$Y$3,"")</f>
        <v/>
      </c>
      <c r="S1214" s="69" t="str">
        <f t="shared" si="264"/>
        <v/>
      </c>
      <c r="T1214">
        <f t="shared" si="273"/>
        <v>3</v>
      </c>
      <c r="U1214" t="str">
        <f t="shared" si="261"/>
        <v>KIỆN 14</v>
      </c>
      <c r="V1214" t="str">
        <f t="shared" si="274"/>
        <v/>
      </c>
      <c r="W1214" s="266"/>
      <c r="X1214" s="266"/>
      <c r="Y1214" s="266" t="str">
        <f t="shared" si="266"/>
        <v/>
      </c>
      <c r="Z1214" s="266"/>
    </row>
    <row r="1215" spans="1:26" ht="27" hidden="1" customHeight="1">
      <c r="A1215" s="70" t="str">
        <f t="shared" si="262"/>
        <v/>
      </c>
      <c r="B1215" s="70" t="str">
        <f t="shared" si="263"/>
        <v/>
      </c>
      <c r="C1215" s="204" t="str" cm="1">
        <f t="array" ref="C1215">IF(D1215="","",
    IF(AND(ISNUMBER(D1215), D1215=INT(D1215)),
        $V$6 &amp; " " &amp; (IFERROR(MAX($Y$12:$Y1214), 0) + 1),
        IF(ISNUMBER(SEARCH(".", D1215)), "", INDEX($C$12:$C1215, MATCH(2, 1/($C$12:$C1215 &lt;&gt; ""))))
    )
)</f>
        <v/>
      </c>
      <c r="D1215" s="206"/>
      <c r="E1215" s="206" t="str">
        <f>IF(AA1215 = "", "",
    IF(ISNUMBER(SEARCH("Kiện", C1215)),
       " GÓI " &amp; COUNTIF($C$13:C1215, "*Kiện*") &amp; "/" &amp; COUNTIF($C$13:$C$1000, "*Kiện*") &amp; " " &amp; AA1215,
       AA1215)
)</f>
        <v/>
      </c>
      <c r="F1215" s="206"/>
      <c r="G1215" s="206"/>
      <c r="H1215" s="206"/>
      <c r="I1215" s="206"/>
      <c r="J1215" s="206" t="str">
        <f t="shared" si="265"/>
        <v/>
      </c>
      <c r="K1215" s="206" t="str">
        <f t="shared" si="267"/>
        <v/>
      </c>
      <c r="L1215" s="206" t="str">
        <f t="shared" si="268"/>
        <v/>
      </c>
      <c r="M1215" s="206" t="str">
        <f t="shared" si="269"/>
        <v/>
      </c>
      <c r="N1215" s="206" t="str">
        <f t="shared" si="270"/>
        <v/>
      </c>
      <c r="O1215" s="206" t="str">
        <f t="shared" si="271"/>
        <v/>
      </c>
      <c r="P1215" s="84" t="str">
        <f t="shared" si="272"/>
        <v/>
      </c>
      <c r="Q1215" s="205"/>
      <c r="R1215" s="70" t="str">
        <f>IF(S1215="IN",'BOM_Phan II'!$Y$3,"")</f>
        <v/>
      </c>
      <c r="S1215" s="69" t="str">
        <f t="shared" si="264"/>
        <v/>
      </c>
      <c r="T1215">
        <f t="shared" si="273"/>
        <v>3</v>
      </c>
      <c r="U1215" t="str">
        <f t="shared" si="261"/>
        <v>KIỆN 14</v>
      </c>
      <c r="V1215" t="str">
        <f t="shared" si="274"/>
        <v/>
      </c>
      <c r="W1215" s="266"/>
      <c r="X1215" s="266"/>
      <c r="Y1215" s="266" t="str">
        <f t="shared" si="266"/>
        <v/>
      </c>
      <c r="Z1215" s="266"/>
    </row>
    <row r="1216" spans="1:26" ht="27" hidden="1" customHeight="1">
      <c r="A1216" s="70" t="str">
        <f t="shared" si="262"/>
        <v/>
      </c>
      <c r="B1216" s="70" t="str">
        <f t="shared" si="263"/>
        <v/>
      </c>
      <c r="C1216" s="204" t="str" cm="1">
        <f t="array" ref="C1216">IF(D1216="","",
    IF(AND(ISNUMBER(D1216), D1216=INT(D1216)),
        $V$6 &amp; " " &amp; (IFERROR(MAX($Y$12:$Y1215), 0) + 1),
        IF(ISNUMBER(SEARCH(".", D1216)), "", INDEX($C$12:$C1216, MATCH(2, 1/($C$12:$C1216 &lt;&gt; ""))))
    )
)</f>
        <v/>
      </c>
      <c r="D1216" s="206"/>
      <c r="E1216" s="206" t="str">
        <f>IF(AA1216 = "", "",
    IF(ISNUMBER(SEARCH("Kiện", C1216)),
       " GÓI " &amp; COUNTIF($C$13:C1216, "*Kiện*") &amp; "/" &amp; COUNTIF($C$13:$C$1000, "*Kiện*") &amp; " " &amp; AA1216,
       AA1216)
)</f>
        <v/>
      </c>
      <c r="F1216" s="206"/>
      <c r="G1216" s="206"/>
      <c r="H1216" s="206"/>
      <c r="I1216" s="206"/>
      <c r="J1216" s="206" t="str">
        <f t="shared" si="265"/>
        <v/>
      </c>
      <c r="K1216" s="206" t="str">
        <f t="shared" si="267"/>
        <v/>
      </c>
      <c r="L1216" s="206" t="str">
        <f t="shared" si="268"/>
        <v/>
      </c>
      <c r="M1216" s="206" t="str">
        <f t="shared" si="269"/>
        <v/>
      </c>
      <c r="N1216" s="206" t="str">
        <f t="shared" si="270"/>
        <v/>
      </c>
      <c r="O1216" s="206" t="str">
        <f t="shared" si="271"/>
        <v/>
      </c>
      <c r="P1216" s="84" t="str">
        <f t="shared" si="272"/>
        <v/>
      </c>
      <c r="Q1216" s="205"/>
      <c r="R1216" s="70" t="str">
        <f>IF(S1216="IN",'BOM_Phan II'!$Y$3,"")</f>
        <v/>
      </c>
      <c r="S1216" s="69" t="str">
        <f t="shared" si="264"/>
        <v/>
      </c>
      <c r="T1216">
        <f t="shared" si="273"/>
        <v>3</v>
      </c>
      <c r="U1216" t="str">
        <f t="shared" si="261"/>
        <v>KIỆN 14</v>
      </c>
      <c r="V1216" t="str">
        <f t="shared" si="274"/>
        <v/>
      </c>
      <c r="W1216" s="266"/>
      <c r="X1216" s="266"/>
      <c r="Y1216" s="266" t="str">
        <f t="shared" si="266"/>
        <v/>
      </c>
      <c r="Z1216" s="266"/>
    </row>
    <row r="1217" spans="1:26" ht="27" hidden="1" customHeight="1">
      <c r="A1217" s="70" t="str">
        <f t="shared" si="262"/>
        <v/>
      </c>
      <c r="B1217" s="70" t="str">
        <f t="shared" si="263"/>
        <v/>
      </c>
      <c r="C1217" s="204" t="str" cm="1">
        <f t="array" ref="C1217">IF(D1217="","",
    IF(AND(ISNUMBER(D1217), D1217=INT(D1217)),
        $V$6 &amp; " " &amp; (IFERROR(MAX($Y$12:$Y1216), 0) + 1),
        IF(ISNUMBER(SEARCH(".", D1217)), "", INDEX($C$12:$C1217, MATCH(2, 1/($C$12:$C1217 &lt;&gt; ""))))
    )
)</f>
        <v/>
      </c>
      <c r="D1217" s="206"/>
      <c r="E1217" s="206" t="str">
        <f>IF(AA1217 = "", "",
    IF(ISNUMBER(SEARCH("Kiện", C1217)),
       " GÓI " &amp; COUNTIF($C$13:C1217, "*Kiện*") &amp; "/" &amp; COUNTIF($C$13:$C$1000, "*Kiện*") &amp; " " &amp; AA1217,
       AA1217)
)</f>
        <v/>
      </c>
      <c r="F1217" s="206"/>
      <c r="G1217" s="206"/>
      <c r="H1217" s="206"/>
      <c r="I1217" s="206"/>
      <c r="J1217" s="206" t="str">
        <f t="shared" si="265"/>
        <v/>
      </c>
      <c r="K1217" s="206" t="str">
        <f t="shared" si="267"/>
        <v/>
      </c>
      <c r="L1217" s="206" t="str">
        <f t="shared" si="268"/>
        <v/>
      </c>
      <c r="M1217" s="206" t="str">
        <f t="shared" si="269"/>
        <v/>
      </c>
      <c r="N1217" s="206" t="str">
        <f t="shared" si="270"/>
        <v/>
      </c>
      <c r="O1217" s="206" t="str">
        <f t="shared" si="271"/>
        <v/>
      </c>
      <c r="P1217" s="84" t="str">
        <f t="shared" si="272"/>
        <v/>
      </c>
      <c r="Q1217" s="205"/>
      <c r="R1217" s="70" t="str">
        <f>IF(S1217="IN",'BOM_Phan II'!$Y$3,"")</f>
        <v/>
      </c>
      <c r="S1217" s="69" t="str">
        <f t="shared" si="264"/>
        <v/>
      </c>
      <c r="T1217">
        <f t="shared" si="273"/>
        <v>3</v>
      </c>
      <c r="U1217" t="str">
        <f t="shared" si="261"/>
        <v>KIỆN 14</v>
      </c>
      <c r="V1217" t="str">
        <f t="shared" si="274"/>
        <v/>
      </c>
      <c r="W1217" s="266"/>
      <c r="X1217" s="266"/>
      <c r="Y1217" s="266" t="str">
        <f t="shared" si="266"/>
        <v/>
      </c>
      <c r="Z1217" s="266"/>
    </row>
    <row r="1218" spans="1:26" ht="27" hidden="1" customHeight="1">
      <c r="A1218" s="70" t="str">
        <f t="shared" si="262"/>
        <v/>
      </c>
      <c r="B1218" s="70" t="str">
        <f t="shared" si="263"/>
        <v/>
      </c>
      <c r="C1218" s="204" t="str" cm="1">
        <f t="array" ref="C1218">IF(D1218="","",
    IF(AND(ISNUMBER(D1218), D1218=INT(D1218)),
        $V$6 &amp; " " &amp; (IFERROR(MAX($Y$12:$Y1217), 0) + 1),
        IF(ISNUMBER(SEARCH(".", D1218)), "", INDEX($C$12:$C1218, MATCH(2, 1/($C$12:$C1218 &lt;&gt; ""))))
    )
)</f>
        <v/>
      </c>
      <c r="D1218" s="206"/>
      <c r="E1218" s="206" t="str">
        <f>IF(AA1218 = "", "",
    IF(ISNUMBER(SEARCH("Kiện", C1218)),
       " GÓI " &amp; COUNTIF($C$13:C1218, "*Kiện*") &amp; "/" &amp; COUNTIF($C$13:$C$1000, "*Kiện*") &amp; " " &amp; AA1218,
       AA1218)
)</f>
        <v/>
      </c>
      <c r="F1218" s="206"/>
      <c r="G1218" s="206"/>
      <c r="H1218" s="206"/>
      <c r="I1218" s="206"/>
      <c r="J1218" s="206" t="str">
        <f t="shared" si="265"/>
        <v/>
      </c>
      <c r="K1218" s="206" t="str">
        <f t="shared" si="267"/>
        <v/>
      </c>
      <c r="L1218" s="206" t="str">
        <f t="shared" si="268"/>
        <v/>
      </c>
      <c r="M1218" s="206" t="str">
        <f t="shared" si="269"/>
        <v/>
      </c>
      <c r="N1218" s="206" t="str">
        <f t="shared" si="270"/>
        <v/>
      </c>
      <c r="O1218" s="206" t="str">
        <f t="shared" si="271"/>
        <v/>
      </c>
      <c r="P1218" s="84" t="str">
        <f t="shared" si="272"/>
        <v/>
      </c>
      <c r="Q1218" s="205"/>
      <c r="R1218" s="70" t="str">
        <f>IF(S1218="IN",'BOM_Phan II'!$Y$3,"")</f>
        <v/>
      </c>
      <c r="S1218" s="69" t="str">
        <f t="shared" si="264"/>
        <v/>
      </c>
      <c r="T1218">
        <f t="shared" si="273"/>
        <v>3</v>
      </c>
      <c r="U1218" t="str">
        <f t="shared" si="261"/>
        <v>KIỆN 14</v>
      </c>
      <c r="V1218" t="str">
        <f t="shared" si="274"/>
        <v/>
      </c>
      <c r="W1218" s="266"/>
      <c r="X1218" s="266"/>
      <c r="Y1218" s="266" t="str">
        <f t="shared" si="266"/>
        <v/>
      </c>
      <c r="Z1218" s="266"/>
    </row>
    <row r="1219" spans="1:26" ht="27" hidden="1" customHeight="1">
      <c r="A1219" s="70" t="str">
        <f t="shared" si="262"/>
        <v/>
      </c>
      <c r="B1219" s="70" t="str">
        <f t="shared" si="263"/>
        <v/>
      </c>
      <c r="C1219" s="204" t="str" cm="1">
        <f t="array" ref="C1219">IF(D1219="","",
    IF(AND(ISNUMBER(D1219), D1219=INT(D1219)),
        $V$6 &amp; " " &amp; (IFERROR(MAX($Y$12:$Y1218), 0) + 1),
        IF(ISNUMBER(SEARCH(".", D1219)), "", INDEX($C$12:$C1219, MATCH(2, 1/($C$12:$C1219 &lt;&gt; ""))))
    )
)</f>
        <v/>
      </c>
      <c r="D1219" s="206"/>
      <c r="E1219" s="206" t="str">
        <f>IF(AA1219 = "", "",
    IF(ISNUMBER(SEARCH("Kiện", C1219)),
       " GÓI " &amp; COUNTIF($C$13:C1219, "*Kiện*") &amp; "/" &amp; COUNTIF($C$13:$C$1000, "*Kiện*") &amp; " " &amp; AA1219,
       AA1219)
)</f>
        <v/>
      </c>
      <c r="F1219" s="206"/>
      <c r="G1219" s="206"/>
      <c r="H1219" s="206"/>
      <c r="I1219" s="206"/>
      <c r="J1219" s="206" t="str">
        <f t="shared" si="265"/>
        <v/>
      </c>
      <c r="K1219" s="206" t="str">
        <f t="shared" si="267"/>
        <v/>
      </c>
      <c r="L1219" s="206" t="str">
        <f t="shared" si="268"/>
        <v/>
      </c>
      <c r="M1219" s="206" t="str">
        <f t="shared" si="269"/>
        <v/>
      </c>
      <c r="N1219" s="206" t="str">
        <f t="shared" si="270"/>
        <v/>
      </c>
      <c r="O1219" s="206" t="str">
        <f t="shared" si="271"/>
        <v/>
      </c>
      <c r="P1219" s="84" t="str">
        <f t="shared" si="272"/>
        <v/>
      </c>
      <c r="Q1219" s="205"/>
      <c r="R1219" s="70" t="str">
        <f>IF(S1219="IN",'BOM_Phan II'!$Y$3,"")</f>
        <v/>
      </c>
      <c r="S1219" s="69" t="str">
        <f t="shared" si="264"/>
        <v/>
      </c>
      <c r="T1219">
        <f t="shared" si="273"/>
        <v>3</v>
      </c>
      <c r="U1219" t="str">
        <f t="shared" ref="U1219:U1282" si="275">IF(C1219="",U1218,C1219)</f>
        <v>KIỆN 14</v>
      </c>
      <c r="V1219" t="str">
        <f t="shared" si="274"/>
        <v/>
      </c>
      <c r="W1219" s="266"/>
      <c r="X1219" s="266"/>
      <c r="Y1219" s="266" t="str">
        <f t="shared" si="266"/>
        <v/>
      </c>
      <c r="Z1219" s="266"/>
    </row>
    <row r="1220" spans="1:26" ht="27" hidden="1" customHeight="1">
      <c r="A1220" s="70" t="str">
        <f t="shared" si="262"/>
        <v/>
      </c>
      <c r="B1220" s="70" t="str">
        <f t="shared" si="263"/>
        <v/>
      </c>
      <c r="C1220" s="204" t="str" cm="1">
        <f t="array" ref="C1220">IF(D1220="","",
    IF(AND(ISNUMBER(D1220), D1220=INT(D1220)),
        $V$6 &amp; " " &amp; (IFERROR(MAX($Y$12:$Y1219), 0) + 1),
        IF(ISNUMBER(SEARCH(".", D1220)), "", INDEX($C$12:$C1220, MATCH(2, 1/($C$12:$C1220 &lt;&gt; ""))))
    )
)</f>
        <v/>
      </c>
      <c r="D1220" s="206"/>
      <c r="E1220" s="206" t="str">
        <f>IF(AA1220 = "", "",
    IF(ISNUMBER(SEARCH("Kiện", C1220)),
       " GÓI " &amp; COUNTIF($C$13:C1220, "*Kiện*") &amp; "/" &amp; COUNTIF($C$13:$C$1000, "*Kiện*") &amp; " " &amp; AA1220,
       AA1220)
)</f>
        <v/>
      </c>
      <c r="F1220" s="206"/>
      <c r="G1220" s="206"/>
      <c r="H1220" s="206"/>
      <c r="I1220" s="206"/>
      <c r="J1220" s="206" t="str">
        <f t="shared" si="265"/>
        <v/>
      </c>
      <c r="K1220" s="206" t="str">
        <f t="shared" si="267"/>
        <v/>
      </c>
      <c r="L1220" s="206" t="str">
        <f t="shared" si="268"/>
        <v/>
      </c>
      <c r="M1220" s="206" t="str">
        <f t="shared" si="269"/>
        <v/>
      </c>
      <c r="N1220" s="206" t="str">
        <f t="shared" si="270"/>
        <v/>
      </c>
      <c r="O1220" s="206" t="str">
        <f t="shared" si="271"/>
        <v/>
      </c>
      <c r="P1220" s="84" t="str">
        <f t="shared" si="272"/>
        <v/>
      </c>
      <c r="Q1220" s="205"/>
      <c r="R1220" s="70" t="str">
        <f>IF(S1220="IN",'BOM_Phan II'!$Y$3,"")</f>
        <v/>
      </c>
      <c r="S1220" s="69" t="str">
        <f t="shared" si="264"/>
        <v/>
      </c>
      <c r="T1220">
        <f t="shared" si="273"/>
        <v>3</v>
      </c>
      <c r="U1220" t="str">
        <f t="shared" si="275"/>
        <v>KIỆN 14</v>
      </c>
      <c r="V1220" t="str">
        <f t="shared" si="274"/>
        <v/>
      </c>
      <c r="W1220" s="266"/>
      <c r="X1220" s="266"/>
      <c r="Y1220" s="266" t="str">
        <f t="shared" si="266"/>
        <v/>
      </c>
      <c r="Z1220" s="266"/>
    </row>
    <row r="1221" spans="1:26" ht="27" hidden="1" customHeight="1">
      <c r="A1221" s="70" t="str">
        <f t="shared" si="262"/>
        <v/>
      </c>
      <c r="B1221" s="70" t="str">
        <f t="shared" si="263"/>
        <v/>
      </c>
      <c r="C1221" s="204" t="str" cm="1">
        <f t="array" ref="C1221">IF(D1221="","",
    IF(AND(ISNUMBER(D1221), D1221=INT(D1221)),
        $V$6 &amp; " " &amp; (IFERROR(MAX($Y$12:$Y1220), 0) + 1),
        IF(ISNUMBER(SEARCH(".", D1221)), "", INDEX($C$12:$C1221, MATCH(2, 1/($C$12:$C1221 &lt;&gt; ""))))
    )
)</f>
        <v/>
      </c>
      <c r="D1221" s="206"/>
      <c r="E1221" s="206" t="str">
        <f>IF(AA1221 = "", "",
    IF(ISNUMBER(SEARCH("Kiện", C1221)),
       " GÓI " &amp; COUNTIF($C$13:C1221, "*Kiện*") &amp; "/" &amp; COUNTIF($C$13:$C$1000, "*Kiện*") &amp; " " &amp; AA1221,
       AA1221)
)</f>
        <v/>
      </c>
      <c r="F1221" s="206"/>
      <c r="G1221" s="206"/>
      <c r="H1221" s="206"/>
      <c r="I1221" s="206"/>
      <c r="J1221" s="206" t="str">
        <f t="shared" si="265"/>
        <v/>
      </c>
      <c r="K1221" s="206" t="str">
        <f t="shared" si="267"/>
        <v/>
      </c>
      <c r="L1221" s="206" t="str">
        <f t="shared" si="268"/>
        <v/>
      </c>
      <c r="M1221" s="206" t="str">
        <f t="shared" si="269"/>
        <v/>
      </c>
      <c r="N1221" s="206" t="str">
        <f t="shared" si="270"/>
        <v/>
      </c>
      <c r="O1221" s="206" t="str">
        <f t="shared" si="271"/>
        <v/>
      </c>
      <c r="P1221" s="84" t="str">
        <f t="shared" si="272"/>
        <v/>
      </c>
      <c r="Q1221" s="205"/>
      <c r="R1221" s="70" t="str">
        <f>IF(S1221="IN",'BOM_Phan II'!$Y$3,"")</f>
        <v/>
      </c>
      <c r="S1221" s="69" t="str">
        <f t="shared" si="264"/>
        <v/>
      </c>
      <c r="T1221">
        <f t="shared" si="273"/>
        <v>3</v>
      </c>
      <c r="U1221" t="str">
        <f t="shared" si="275"/>
        <v>KIỆN 14</v>
      </c>
      <c r="V1221" t="str">
        <f t="shared" si="274"/>
        <v/>
      </c>
      <c r="W1221" s="266"/>
      <c r="X1221" s="266"/>
      <c r="Y1221" s="266" t="str">
        <f t="shared" si="266"/>
        <v/>
      </c>
      <c r="Z1221" s="266"/>
    </row>
    <row r="1222" spans="1:26" ht="27" hidden="1" customHeight="1">
      <c r="A1222" s="70" t="str">
        <f t="shared" si="262"/>
        <v/>
      </c>
      <c r="B1222" s="70" t="str">
        <f t="shared" si="263"/>
        <v/>
      </c>
      <c r="C1222" s="204" t="str" cm="1">
        <f t="array" ref="C1222">IF(D1222="","",
    IF(AND(ISNUMBER(D1222), D1222=INT(D1222)),
        $V$6 &amp; " " &amp; (IFERROR(MAX($Y$12:$Y1221), 0) + 1),
        IF(ISNUMBER(SEARCH(".", D1222)), "", INDEX($C$12:$C1222, MATCH(2, 1/($C$12:$C1222 &lt;&gt; ""))))
    )
)</f>
        <v/>
      </c>
      <c r="D1222" s="206"/>
      <c r="E1222" s="206" t="str">
        <f>IF(AA1222 = "", "",
    IF(ISNUMBER(SEARCH("Kiện", C1222)),
       " GÓI " &amp; COUNTIF($C$13:C1222, "*Kiện*") &amp; "/" &amp; COUNTIF($C$13:$C$1000, "*Kiện*") &amp; " " &amp; AA1222,
       AA1222)
)</f>
        <v/>
      </c>
      <c r="F1222" s="206"/>
      <c r="G1222" s="206"/>
      <c r="H1222" s="206"/>
      <c r="I1222" s="206"/>
      <c r="J1222" s="206" t="str">
        <f t="shared" si="265"/>
        <v/>
      </c>
      <c r="K1222" s="206" t="str">
        <f t="shared" si="267"/>
        <v/>
      </c>
      <c r="L1222" s="206" t="str">
        <f t="shared" si="268"/>
        <v/>
      </c>
      <c r="M1222" s="206" t="str">
        <f t="shared" si="269"/>
        <v/>
      </c>
      <c r="N1222" s="206" t="str">
        <f t="shared" si="270"/>
        <v/>
      </c>
      <c r="O1222" s="206" t="str">
        <f t="shared" si="271"/>
        <v/>
      </c>
      <c r="P1222" s="84" t="str">
        <f t="shared" si="272"/>
        <v/>
      </c>
      <c r="Q1222" s="205"/>
      <c r="R1222" s="70" t="str">
        <f>IF(S1222="IN",'BOM_Phan II'!$Y$3,"")</f>
        <v/>
      </c>
      <c r="S1222" s="69" t="str">
        <f t="shared" si="264"/>
        <v/>
      </c>
      <c r="T1222">
        <f t="shared" si="273"/>
        <v>3</v>
      </c>
      <c r="U1222" t="str">
        <f t="shared" si="275"/>
        <v>KIỆN 14</v>
      </c>
      <c r="V1222" t="str">
        <f t="shared" si="274"/>
        <v/>
      </c>
      <c r="W1222" s="266"/>
      <c r="X1222" s="266"/>
      <c r="Y1222" s="266" t="str">
        <f t="shared" si="266"/>
        <v/>
      </c>
      <c r="Z1222" s="266"/>
    </row>
    <row r="1223" spans="1:26" ht="27" hidden="1" customHeight="1">
      <c r="A1223" s="70" t="str">
        <f t="shared" si="262"/>
        <v/>
      </c>
      <c r="B1223" s="70" t="str">
        <f t="shared" si="263"/>
        <v/>
      </c>
      <c r="C1223" s="204" t="str" cm="1">
        <f t="array" ref="C1223">IF(D1223="","",
    IF(AND(ISNUMBER(D1223), D1223=INT(D1223)),
        $V$6 &amp; " " &amp; (IFERROR(MAX($Y$12:$Y1222), 0) + 1),
        IF(ISNUMBER(SEARCH(".", D1223)), "", INDEX($C$12:$C1223, MATCH(2, 1/($C$12:$C1223 &lt;&gt; ""))))
    )
)</f>
        <v/>
      </c>
      <c r="D1223" s="206"/>
      <c r="E1223" s="206" t="str">
        <f>IF(AA1223 = "", "",
    IF(ISNUMBER(SEARCH("Kiện", C1223)),
       " GÓI " &amp; COUNTIF($C$13:C1223, "*Kiện*") &amp; "/" &amp; COUNTIF($C$13:$C$1000, "*Kiện*") &amp; " " &amp; AA1223,
       AA1223)
)</f>
        <v/>
      </c>
      <c r="F1223" s="206"/>
      <c r="G1223" s="206"/>
      <c r="H1223" s="206"/>
      <c r="I1223" s="206"/>
      <c r="J1223" s="206" t="str">
        <f t="shared" si="265"/>
        <v/>
      </c>
      <c r="K1223" s="206" t="str">
        <f t="shared" si="267"/>
        <v/>
      </c>
      <c r="L1223" s="206" t="str">
        <f t="shared" si="268"/>
        <v/>
      </c>
      <c r="M1223" s="206" t="str">
        <f t="shared" si="269"/>
        <v/>
      </c>
      <c r="N1223" s="206" t="str">
        <f t="shared" si="270"/>
        <v/>
      </c>
      <c r="O1223" s="206" t="str">
        <f t="shared" si="271"/>
        <v/>
      </c>
      <c r="P1223" s="84" t="str">
        <f t="shared" si="272"/>
        <v/>
      </c>
      <c r="Q1223" s="205"/>
      <c r="R1223" s="70" t="str">
        <f>IF(S1223="IN",'BOM_Phan II'!$Y$3,"")</f>
        <v/>
      </c>
      <c r="S1223" s="69" t="str">
        <f t="shared" si="264"/>
        <v/>
      </c>
      <c r="T1223">
        <f t="shared" si="273"/>
        <v>3</v>
      </c>
      <c r="U1223" t="str">
        <f t="shared" si="275"/>
        <v>KIỆN 14</v>
      </c>
      <c r="V1223" t="str">
        <f t="shared" si="274"/>
        <v/>
      </c>
      <c r="W1223" s="266"/>
      <c r="X1223" s="266"/>
      <c r="Y1223" s="266" t="str">
        <f t="shared" si="266"/>
        <v/>
      </c>
      <c r="Z1223" s="266"/>
    </row>
    <row r="1224" spans="1:26" ht="27" hidden="1" customHeight="1">
      <c r="A1224" s="70" t="str">
        <f t="shared" si="262"/>
        <v/>
      </c>
      <c r="B1224" s="70" t="str">
        <f t="shared" si="263"/>
        <v/>
      </c>
      <c r="C1224" s="204" t="str" cm="1">
        <f t="array" ref="C1224">IF(D1224="","",
    IF(AND(ISNUMBER(D1224), D1224=INT(D1224)),
        $V$6 &amp; " " &amp; (IFERROR(MAX($Y$12:$Y1223), 0) + 1),
        IF(ISNUMBER(SEARCH(".", D1224)), "", INDEX($C$12:$C1224, MATCH(2, 1/($C$12:$C1224 &lt;&gt; ""))))
    )
)</f>
        <v/>
      </c>
      <c r="D1224" s="206"/>
      <c r="E1224" s="206" t="str">
        <f>IF(AA1224 = "", "",
    IF(ISNUMBER(SEARCH("Kiện", C1224)),
       " GÓI " &amp; COUNTIF($C$13:C1224, "*Kiện*") &amp; "/" &amp; COUNTIF($C$13:$C$1000, "*Kiện*") &amp; " " &amp; AA1224,
       AA1224)
)</f>
        <v/>
      </c>
      <c r="F1224" s="206"/>
      <c r="G1224" s="206"/>
      <c r="H1224" s="206"/>
      <c r="I1224" s="206"/>
      <c r="J1224" s="206" t="str">
        <f t="shared" si="265"/>
        <v/>
      </c>
      <c r="K1224" s="206" t="str">
        <f t="shared" si="267"/>
        <v/>
      </c>
      <c r="L1224" s="206" t="str">
        <f t="shared" si="268"/>
        <v/>
      </c>
      <c r="M1224" s="206" t="str">
        <f t="shared" si="269"/>
        <v/>
      </c>
      <c r="N1224" s="206" t="str">
        <f t="shared" si="270"/>
        <v/>
      </c>
      <c r="O1224" s="206" t="str">
        <f t="shared" si="271"/>
        <v/>
      </c>
      <c r="P1224" s="84" t="str">
        <f t="shared" si="272"/>
        <v/>
      </c>
      <c r="Q1224" s="205"/>
      <c r="R1224" s="70" t="str">
        <f>IF(S1224="IN",'BOM_Phan II'!$Y$3,"")</f>
        <v/>
      </c>
      <c r="S1224" s="69" t="str">
        <f t="shared" si="264"/>
        <v/>
      </c>
      <c r="T1224">
        <f t="shared" si="273"/>
        <v>3</v>
      </c>
      <c r="U1224" t="str">
        <f t="shared" si="275"/>
        <v>KIỆN 14</v>
      </c>
      <c r="V1224" t="str">
        <f t="shared" si="274"/>
        <v/>
      </c>
      <c r="W1224" s="266"/>
      <c r="X1224" s="266"/>
      <c r="Y1224" s="266" t="str">
        <f t="shared" si="266"/>
        <v/>
      </c>
      <c r="Z1224" s="266"/>
    </row>
    <row r="1225" spans="1:26" ht="27" hidden="1" customHeight="1">
      <c r="A1225" s="70" t="str">
        <f t="shared" si="262"/>
        <v/>
      </c>
      <c r="B1225" s="70" t="str">
        <f t="shared" si="263"/>
        <v/>
      </c>
      <c r="C1225" s="204" t="str" cm="1">
        <f t="array" ref="C1225">IF(D1225="","",
    IF(AND(ISNUMBER(D1225), D1225=INT(D1225)),
        $V$6 &amp; " " &amp; (IFERROR(MAX($Y$12:$Y1224), 0) + 1),
        IF(ISNUMBER(SEARCH(".", D1225)), "", INDEX($C$12:$C1225, MATCH(2, 1/($C$12:$C1225 &lt;&gt; ""))))
    )
)</f>
        <v/>
      </c>
      <c r="D1225" s="206"/>
      <c r="E1225" s="206" t="str">
        <f>IF(AA1225 = "", "",
    IF(ISNUMBER(SEARCH("Kiện", C1225)),
       " GÓI " &amp; COUNTIF($C$13:C1225, "*Kiện*") &amp; "/" &amp; COUNTIF($C$13:$C$1000, "*Kiện*") &amp; " " &amp; AA1225,
       AA1225)
)</f>
        <v/>
      </c>
      <c r="F1225" s="206"/>
      <c r="G1225" s="206"/>
      <c r="H1225" s="206"/>
      <c r="I1225" s="206"/>
      <c r="J1225" s="206" t="str">
        <f t="shared" si="265"/>
        <v/>
      </c>
      <c r="K1225" s="206" t="str">
        <f t="shared" si="267"/>
        <v/>
      </c>
      <c r="L1225" s="206" t="str">
        <f t="shared" si="268"/>
        <v/>
      </c>
      <c r="M1225" s="206" t="str">
        <f t="shared" si="269"/>
        <v/>
      </c>
      <c r="N1225" s="206" t="str">
        <f t="shared" si="270"/>
        <v/>
      </c>
      <c r="O1225" s="206" t="str">
        <f t="shared" si="271"/>
        <v/>
      </c>
      <c r="P1225" s="84" t="str">
        <f t="shared" si="272"/>
        <v/>
      </c>
      <c r="Q1225" s="205"/>
      <c r="R1225" s="70" t="str">
        <f>IF(S1225="IN",'BOM_Phan II'!$Y$3,"")</f>
        <v/>
      </c>
      <c r="S1225" s="69" t="str">
        <f t="shared" si="264"/>
        <v/>
      </c>
      <c r="T1225">
        <f t="shared" si="273"/>
        <v>3</v>
      </c>
      <c r="U1225" t="str">
        <f t="shared" si="275"/>
        <v>KIỆN 14</v>
      </c>
      <c r="V1225" t="str">
        <f t="shared" si="274"/>
        <v/>
      </c>
      <c r="W1225" s="266"/>
      <c r="X1225" s="266"/>
      <c r="Y1225" s="266" t="str">
        <f t="shared" si="266"/>
        <v/>
      </c>
      <c r="Z1225" s="266"/>
    </row>
    <row r="1226" spans="1:26" ht="27" hidden="1" customHeight="1">
      <c r="A1226" s="70" t="str">
        <f t="shared" si="262"/>
        <v/>
      </c>
      <c r="B1226" s="70" t="str">
        <f t="shared" si="263"/>
        <v/>
      </c>
      <c r="C1226" s="204" t="str" cm="1">
        <f t="array" ref="C1226">IF(D1226="","",
    IF(AND(ISNUMBER(D1226), D1226=INT(D1226)),
        $V$6 &amp; " " &amp; (IFERROR(MAX($Y$12:$Y1225), 0) + 1),
        IF(ISNUMBER(SEARCH(".", D1226)), "", INDEX($C$12:$C1226, MATCH(2, 1/($C$12:$C1226 &lt;&gt; ""))))
    )
)</f>
        <v/>
      </c>
      <c r="D1226" s="206"/>
      <c r="E1226" s="206" t="str">
        <f>IF(AA1226 = "", "",
    IF(ISNUMBER(SEARCH("Kiện", C1226)),
       " GÓI " &amp; COUNTIF($C$13:C1226, "*Kiện*") &amp; "/" &amp; COUNTIF($C$13:$C$1000, "*Kiện*") &amp; " " &amp; AA1226,
       AA1226)
)</f>
        <v/>
      </c>
      <c r="F1226" s="206"/>
      <c r="G1226" s="206"/>
      <c r="H1226" s="206"/>
      <c r="I1226" s="206"/>
      <c r="J1226" s="206" t="str">
        <f t="shared" si="265"/>
        <v/>
      </c>
      <c r="K1226" s="206" t="str">
        <f t="shared" si="267"/>
        <v/>
      </c>
      <c r="L1226" s="206" t="str">
        <f t="shared" si="268"/>
        <v/>
      </c>
      <c r="M1226" s="206" t="str">
        <f t="shared" si="269"/>
        <v/>
      </c>
      <c r="N1226" s="206" t="str">
        <f t="shared" si="270"/>
        <v/>
      </c>
      <c r="O1226" s="206" t="str">
        <f t="shared" si="271"/>
        <v/>
      </c>
      <c r="P1226" s="84" t="str">
        <f t="shared" si="272"/>
        <v/>
      </c>
      <c r="Q1226" s="205"/>
      <c r="R1226" s="70" t="str">
        <f>IF(S1226="IN",'BOM_Phan II'!$Y$3,"")</f>
        <v/>
      </c>
      <c r="S1226" s="69" t="str">
        <f t="shared" si="264"/>
        <v/>
      </c>
      <c r="T1226">
        <f t="shared" si="273"/>
        <v>3</v>
      </c>
      <c r="U1226" t="str">
        <f t="shared" si="275"/>
        <v>KIỆN 14</v>
      </c>
      <c r="V1226" t="str">
        <f t="shared" si="274"/>
        <v/>
      </c>
      <c r="W1226" s="266"/>
      <c r="X1226" s="266"/>
      <c r="Y1226" s="266" t="str">
        <f t="shared" si="266"/>
        <v/>
      </c>
      <c r="Z1226" s="266"/>
    </row>
    <row r="1227" spans="1:26" ht="27" hidden="1" customHeight="1">
      <c r="A1227" s="70" t="str">
        <f t="shared" si="262"/>
        <v/>
      </c>
      <c r="B1227" s="70" t="str">
        <f t="shared" si="263"/>
        <v/>
      </c>
      <c r="C1227" s="204" t="str" cm="1">
        <f t="array" ref="C1227">IF(D1227="","",
    IF(AND(ISNUMBER(D1227), D1227=INT(D1227)),
        $V$6 &amp; " " &amp; (IFERROR(MAX($Y$12:$Y1226), 0) + 1),
        IF(ISNUMBER(SEARCH(".", D1227)), "", INDEX($C$12:$C1227, MATCH(2, 1/($C$12:$C1227 &lt;&gt; ""))))
    )
)</f>
        <v/>
      </c>
      <c r="D1227" s="206"/>
      <c r="E1227" s="206" t="str">
        <f>IF(AA1227 = "", "",
    IF(ISNUMBER(SEARCH("Kiện", C1227)),
       " GÓI " &amp; COUNTIF($C$13:C1227, "*Kiện*") &amp; "/" &amp; COUNTIF($C$13:$C$1000, "*Kiện*") &amp; " " &amp; AA1227,
       AA1227)
)</f>
        <v/>
      </c>
      <c r="F1227" s="206"/>
      <c r="G1227" s="206"/>
      <c r="H1227" s="206"/>
      <c r="I1227" s="206"/>
      <c r="J1227" s="206" t="str">
        <f t="shared" si="265"/>
        <v/>
      </c>
      <c r="K1227" s="206" t="str">
        <f t="shared" si="267"/>
        <v/>
      </c>
      <c r="L1227" s="206" t="str">
        <f t="shared" si="268"/>
        <v/>
      </c>
      <c r="M1227" s="206" t="str">
        <f t="shared" si="269"/>
        <v/>
      </c>
      <c r="N1227" s="206" t="str">
        <f t="shared" si="270"/>
        <v/>
      </c>
      <c r="O1227" s="206" t="str">
        <f t="shared" si="271"/>
        <v/>
      </c>
      <c r="P1227" s="84" t="str">
        <f t="shared" si="272"/>
        <v/>
      </c>
      <c r="Q1227" s="205"/>
      <c r="R1227" s="70" t="str">
        <f>IF(S1227="IN",'BOM_Phan II'!$Y$3,"")</f>
        <v/>
      </c>
      <c r="S1227" s="69" t="str">
        <f t="shared" si="264"/>
        <v/>
      </c>
      <c r="T1227">
        <f t="shared" si="273"/>
        <v>3</v>
      </c>
      <c r="U1227" t="str">
        <f t="shared" si="275"/>
        <v>KIỆN 14</v>
      </c>
      <c r="V1227" t="str">
        <f t="shared" si="274"/>
        <v/>
      </c>
      <c r="W1227" s="266"/>
      <c r="X1227" s="266"/>
      <c r="Y1227" s="266" t="str">
        <f t="shared" si="266"/>
        <v/>
      </c>
      <c r="Z1227" s="266"/>
    </row>
    <row r="1228" spans="1:26" ht="27" hidden="1" customHeight="1">
      <c r="A1228" s="70" t="str">
        <f t="shared" ref="A1228:A1291" si="276">IF(S1228="IN",$E$6,"")</f>
        <v/>
      </c>
      <c r="B1228" s="70" t="str">
        <f t="shared" ref="B1228:B1291" si="277">IF(S1228="IN","Muc "&amp;$E$7,"")</f>
        <v/>
      </c>
      <c r="C1228" s="204" t="str" cm="1">
        <f t="array" ref="C1228">IF(D1228="","",
    IF(AND(ISNUMBER(D1228), D1228=INT(D1228)),
        $V$6 &amp; " " &amp; (IFERROR(MAX($Y$12:$Y1227), 0) + 1),
        IF(ISNUMBER(SEARCH(".", D1228)), "", INDEX($C$12:$C1228, MATCH(2, 1/($C$12:$C1228 &lt;&gt; ""))))
    )
)</f>
        <v/>
      </c>
      <c r="D1228" s="206"/>
      <c r="E1228" s="206" t="str">
        <f>IF(AA1228 = "", "",
    IF(ISNUMBER(SEARCH("Kiện", C1228)),
       " GÓI " &amp; COUNTIF($C$13:C1228, "*Kiện*") &amp; "/" &amp; COUNTIF($C$13:$C$1000, "*Kiện*") &amp; " " &amp; AA1228,
       AA1228)
)</f>
        <v/>
      </c>
      <c r="F1228" s="206"/>
      <c r="G1228" s="206"/>
      <c r="H1228" s="206"/>
      <c r="I1228" s="206"/>
      <c r="J1228" s="206" t="str">
        <f t="shared" si="265"/>
        <v/>
      </c>
      <c r="K1228" s="206" t="str">
        <f t="shared" si="267"/>
        <v/>
      </c>
      <c r="L1228" s="206" t="str">
        <f t="shared" si="268"/>
        <v/>
      </c>
      <c r="M1228" s="206" t="str">
        <f t="shared" si="269"/>
        <v/>
      </c>
      <c r="N1228" s="206" t="str">
        <f t="shared" si="270"/>
        <v/>
      </c>
      <c r="O1228" s="206" t="str">
        <f t="shared" si="271"/>
        <v/>
      </c>
      <c r="P1228" s="84" t="str">
        <f t="shared" si="272"/>
        <v/>
      </c>
      <c r="Q1228" s="205"/>
      <c r="R1228" s="70" t="str">
        <f>IF(S1228="IN",'BOM_Phan II'!$Y$3,"")</f>
        <v/>
      </c>
      <c r="S1228" s="69" t="str">
        <f t="shared" ref="S1228:S1291" si="278">IF(OR(E1228&lt;&gt;"",D1228&lt;&gt;""),"IN","")</f>
        <v/>
      </c>
      <c r="T1228">
        <f t="shared" si="273"/>
        <v>3</v>
      </c>
      <c r="U1228" t="str">
        <f t="shared" si="275"/>
        <v>KIỆN 14</v>
      </c>
      <c r="V1228" t="str">
        <f t="shared" si="274"/>
        <v/>
      </c>
      <c r="W1228" s="266"/>
      <c r="X1228" s="266"/>
      <c r="Y1228" s="266" t="str">
        <f t="shared" si="266"/>
        <v/>
      </c>
      <c r="Z1228" s="266"/>
    </row>
    <row r="1229" spans="1:26" ht="27" hidden="1" customHeight="1">
      <c r="A1229" s="70" t="str">
        <f t="shared" si="276"/>
        <v/>
      </c>
      <c r="B1229" s="70" t="str">
        <f t="shared" si="277"/>
        <v/>
      </c>
      <c r="C1229" s="204" t="str" cm="1">
        <f t="array" ref="C1229">IF(D1229="","",
    IF(AND(ISNUMBER(D1229), D1229=INT(D1229)),
        $V$6 &amp; " " &amp; (IFERROR(MAX($Y$12:$Y1228), 0) + 1),
        IF(ISNUMBER(SEARCH(".", D1229)), "", INDEX($C$12:$C1229, MATCH(2, 1/($C$12:$C1229 &lt;&gt; ""))))
    )
)</f>
        <v/>
      </c>
      <c r="D1229" s="206"/>
      <c r="E1229" s="206" t="str">
        <f>IF(AA1229 = "", "",
    IF(ISNUMBER(SEARCH("Kiện", C1229)),
       " GÓI " &amp; COUNTIF($C$13:C1229, "*Kiện*") &amp; "/" &amp; COUNTIF($C$13:$C$1000, "*Kiện*") &amp; " " &amp; AA1229,
       AA1229)
)</f>
        <v/>
      </c>
      <c r="F1229" s="206"/>
      <c r="G1229" s="206"/>
      <c r="H1229" s="206"/>
      <c r="I1229" s="206"/>
      <c r="J1229" s="206" t="str">
        <f t="shared" ref="J1229:J1292" si="279">IF(C1229&lt;&gt;"",C1229&amp;"_"&amp;$E$6,"")</f>
        <v/>
      </c>
      <c r="K1229" s="206" t="str">
        <f t="shared" si="267"/>
        <v/>
      </c>
      <c r="L1229" s="206" t="str">
        <f t="shared" si="268"/>
        <v/>
      </c>
      <c r="M1229" s="206" t="str">
        <f t="shared" si="269"/>
        <v/>
      </c>
      <c r="N1229" s="206" t="str">
        <f t="shared" si="270"/>
        <v/>
      </c>
      <c r="O1229" s="206" t="str">
        <f t="shared" si="271"/>
        <v/>
      </c>
      <c r="P1229" s="84" t="str">
        <f t="shared" si="272"/>
        <v/>
      </c>
      <c r="Q1229" s="205"/>
      <c r="R1229" s="70" t="str">
        <f>IF(S1229="IN",'BOM_Phan II'!$Y$3,"")</f>
        <v/>
      </c>
      <c r="S1229" s="69" t="str">
        <f t="shared" si="278"/>
        <v/>
      </c>
      <c r="T1229">
        <f t="shared" si="273"/>
        <v>3</v>
      </c>
      <c r="U1229" t="str">
        <f t="shared" si="275"/>
        <v>KIỆN 14</v>
      </c>
      <c r="V1229" t="str">
        <f t="shared" si="274"/>
        <v/>
      </c>
      <c r="W1229" s="266"/>
      <c r="X1229" s="266"/>
      <c r="Y1229" s="266" t="str">
        <f t="shared" ref="Y1229:Y1292" si="280">IFERROR(VALUE(RIGHT(C1229,LEN(C1229)-5)),"")</f>
        <v/>
      </c>
      <c r="Z1229" s="266"/>
    </row>
    <row r="1230" spans="1:26" ht="27" hidden="1" customHeight="1">
      <c r="A1230" s="70" t="str">
        <f t="shared" si="276"/>
        <v/>
      </c>
      <c r="B1230" s="70" t="str">
        <f t="shared" si="277"/>
        <v/>
      </c>
      <c r="C1230" s="204" t="str" cm="1">
        <f t="array" ref="C1230">IF(D1230="","",
    IF(AND(ISNUMBER(D1230), D1230=INT(D1230)),
        $V$6 &amp; " " &amp; (IFERROR(MAX($Y$12:$Y1229), 0) + 1),
        IF(ISNUMBER(SEARCH(".", D1230)), "", INDEX($C$12:$C1230, MATCH(2, 1/($C$12:$C1230 &lt;&gt; ""))))
    )
)</f>
        <v/>
      </c>
      <c r="D1230" s="206"/>
      <c r="E1230" s="206" t="str">
        <f>IF(AA1230 = "", "",
    IF(ISNUMBER(SEARCH("Kiện", C1230)),
       " GÓI " &amp; COUNTIF($C$13:C1230, "*Kiện*") &amp; "/" &amp; COUNTIF($C$13:$C$1000, "*Kiện*") &amp; " " &amp; AA1230,
       AA1230)
)</f>
        <v/>
      </c>
      <c r="F1230" s="206"/>
      <c r="G1230" s="206"/>
      <c r="H1230" s="206"/>
      <c r="I1230" s="206"/>
      <c r="J1230" s="206" t="str">
        <f t="shared" si="279"/>
        <v/>
      </c>
      <c r="K1230" s="206" t="str">
        <f t="shared" ref="K1230:K1293" si="281">IFERROR(IF($C1230&lt;&gt;"",IF($T$13=1,F1230+20,IF($T$13=2,F1230+20,IF($T$13=3,F1230+50,IF($T$13=4,F1230+40,IF($T$13=5,F1230+50,IF($T$13=51,F1230+50,IF($T$13=6,F1230+50,IF($T$13=7,F1230+50,"")))))))),""),"")</f>
        <v/>
      </c>
      <c r="L1230" s="206" t="str">
        <f t="shared" ref="L1230:L1293" si="282">IFERROR(IF($C1230&lt;&gt;"",IF($T$13=1,G1230+20,IF($T$13=2,G1230+20,IF($T$13=3,G1230+50,IF($T$13=4,G1230+40,IF($T$13=5,G1230+50,IF($T$13=51,G1230+50,IF($T$13=6,G1230+50,IF($T$13=7,G1230+50,"")))))))),""),"")</f>
        <v/>
      </c>
      <c r="M1230" s="206" t="str">
        <f t="shared" ref="M1230:M1293" si="283">IFERROR(IF($C1230&lt;&gt;"",IF($T$13=1,H1230+20,IF($T$13=2,H1230+20,IF($T$13=3,H1230+70,IF($T$13=4,H1230+40,IF($T$13=5,H1230+50,IF($T$13=51,H1230+150,IF($T$13=6,H1230+50,IF($T$13=7,H1230+50,"")))))))),""),"")</f>
        <v/>
      </c>
      <c r="N1230" s="206" t="str">
        <f t="shared" ref="N1230:N1293" si="284">IF(C1230&lt;&gt;"",I1230,"")</f>
        <v/>
      </c>
      <c r="O1230" s="206" t="str">
        <f t="shared" ref="O1230:O1293" si="285">IF(C1230&lt;&gt;"",$O$13,"")</f>
        <v/>
      </c>
      <c r="P1230" s="84" t="str">
        <f t="shared" ref="P1230:P1293" si="286">IFERROR(IF(C1230&lt;&gt;"",SUMIFS($V$13:$V$969,$U$13:$U$969,C1230)*$S$6,V1230*$S$6),"")</f>
        <v/>
      </c>
      <c r="Q1230" s="205"/>
      <c r="R1230" s="70" t="str">
        <f>IF(S1230="IN",'BOM_Phan II'!$Y$3,"")</f>
        <v/>
      </c>
      <c r="S1230" s="69" t="str">
        <f t="shared" si="278"/>
        <v/>
      </c>
      <c r="T1230">
        <f t="shared" ref="T1230:T1293" si="287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3</v>
      </c>
      <c r="U1230" t="str">
        <f t="shared" si="275"/>
        <v>KIỆN 14</v>
      </c>
      <c r="V1230" t="str">
        <f t="shared" ref="V1230:V1293" si="288">IFERROR(IF(AND(C1230="", OR($W1230="1", $W1230="2")), IF(I1230="", "", F1230*G1230*H1230*I1230/10^9), ""), "")</f>
        <v/>
      </c>
      <c r="W1230" s="266"/>
      <c r="X1230" s="266"/>
      <c r="Y1230" s="266" t="str">
        <f t="shared" si="280"/>
        <v/>
      </c>
      <c r="Z1230" s="266"/>
    </row>
    <row r="1231" spans="1:26" ht="27" hidden="1" customHeight="1">
      <c r="A1231" s="70" t="str">
        <f t="shared" si="276"/>
        <v/>
      </c>
      <c r="B1231" s="70" t="str">
        <f t="shared" si="277"/>
        <v/>
      </c>
      <c r="C1231" s="204" t="str" cm="1">
        <f t="array" ref="C1231">IF(D1231="","",
    IF(AND(ISNUMBER(D1231), D1231=INT(D1231)),
        $V$6 &amp; " " &amp; (IFERROR(MAX($Y$12:$Y1230), 0) + 1),
        IF(ISNUMBER(SEARCH(".", D1231)), "", INDEX($C$12:$C1231, MATCH(2, 1/($C$12:$C1231 &lt;&gt; ""))))
    )
)</f>
        <v/>
      </c>
      <c r="D1231" s="206"/>
      <c r="E1231" s="206" t="str">
        <f>IF(AA1231 = "", "",
    IF(ISNUMBER(SEARCH("Kiện", C1231)),
       " GÓI " &amp; COUNTIF($C$13:C1231, "*Kiện*") &amp; "/" &amp; COUNTIF($C$13:$C$1000, "*Kiện*") &amp; " " &amp; AA1231,
       AA1231)
)</f>
        <v/>
      </c>
      <c r="F1231" s="206"/>
      <c r="G1231" s="206"/>
      <c r="H1231" s="206"/>
      <c r="I1231" s="206"/>
      <c r="J1231" s="206" t="str">
        <f t="shared" si="279"/>
        <v/>
      </c>
      <c r="K1231" s="206" t="str">
        <f t="shared" si="281"/>
        <v/>
      </c>
      <c r="L1231" s="206" t="str">
        <f t="shared" si="282"/>
        <v/>
      </c>
      <c r="M1231" s="206" t="str">
        <f t="shared" si="283"/>
        <v/>
      </c>
      <c r="N1231" s="206" t="str">
        <f t="shared" si="284"/>
        <v/>
      </c>
      <c r="O1231" s="206" t="str">
        <f t="shared" si="285"/>
        <v/>
      </c>
      <c r="P1231" s="84" t="str">
        <f t="shared" si="286"/>
        <v/>
      </c>
      <c r="Q1231" s="205"/>
      <c r="R1231" s="70" t="str">
        <f>IF(S1231="IN",'BOM_Phan II'!$Y$3,"")</f>
        <v/>
      </c>
      <c r="S1231" s="69" t="str">
        <f t="shared" si="278"/>
        <v/>
      </c>
      <c r="T1231">
        <f t="shared" si="287"/>
        <v>3</v>
      </c>
      <c r="U1231" t="str">
        <f t="shared" si="275"/>
        <v>KIỆN 14</v>
      </c>
      <c r="V1231" t="str">
        <f t="shared" si="288"/>
        <v/>
      </c>
      <c r="W1231" s="266"/>
      <c r="X1231" s="266"/>
      <c r="Y1231" s="266" t="str">
        <f t="shared" si="280"/>
        <v/>
      </c>
      <c r="Z1231" s="266"/>
    </row>
    <row r="1232" spans="1:26" ht="27" hidden="1" customHeight="1">
      <c r="A1232" s="70" t="str">
        <f t="shared" si="276"/>
        <v/>
      </c>
      <c r="B1232" s="70" t="str">
        <f t="shared" si="277"/>
        <v/>
      </c>
      <c r="C1232" s="204" t="str" cm="1">
        <f t="array" ref="C1232">IF(D1232="","",
    IF(AND(ISNUMBER(D1232), D1232=INT(D1232)),
        $V$6 &amp; " " &amp; (IFERROR(MAX($Y$12:$Y1231), 0) + 1),
        IF(ISNUMBER(SEARCH(".", D1232)), "", INDEX($C$12:$C1232, MATCH(2, 1/($C$12:$C1232 &lt;&gt; ""))))
    )
)</f>
        <v/>
      </c>
      <c r="D1232" s="206"/>
      <c r="E1232" s="206" t="str">
        <f>IF(AA1232 = "", "",
    IF(ISNUMBER(SEARCH("Kiện", C1232)),
       " GÓI " &amp; COUNTIF($C$13:C1232, "*Kiện*") &amp; "/" &amp; COUNTIF($C$13:$C$1000, "*Kiện*") &amp; " " &amp; AA1232,
       AA1232)
)</f>
        <v/>
      </c>
      <c r="F1232" s="206"/>
      <c r="G1232" s="206"/>
      <c r="H1232" s="206"/>
      <c r="I1232" s="206"/>
      <c r="J1232" s="206" t="str">
        <f t="shared" si="279"/>
        <v/>
      </c>
      <c r="K1232" s="206" t="str">
        <f t="shared" si="281"/>
        <v/>
      </c>
      <c r="L1232" s="206" t="str">
        <f t="shared" si="282"/>
        <v/>
      </c>
      <c r="M1232" s="206" t="str">
        <f t="shared" si="283"/>
        <v/>
      </c>
      <c r="N1232" s="206" t="str">
        <f t="shared" si="284"/>
        <v/>
      </c>
      <c r="O1232" s="206" t="str">
        <f t="shared" si="285"/>
        <v/>
      </c>
      <c r="P1232" s="84" t="str">
        <f t="shared" si="286"/>
        <v/>
      </c>
      <c r="Q1232" s="205"/>
      <c r="R1232" s="70" t="str">
        <f>IF(S1232="IN",'BOM_Phan II'!$Y$3,"")</f>
        <v/>
      </c>
      <c r="S1232" s="69" t="str">
        <f t="shared" si="278"/>
        <v/>
      </c>
      <c r="T1232">
        <f t="shared" si="287"/>
        <v>3</v>
      </c>
      <c r="U1232" t="str">
        <f t="shared" si="275"/>
        <v>KIỆN 14</v>
      </c>
      <c r="V1232" t="str">
        <f t="shared" si="288"/>
        <v/>
      </c>
      <c r="W1232" s="266"/>
      <c r="X1232" s="266"/>
      <c r="Y1232" s="266" t="str">
        <f t="shared" si="280"/>
        <v/>
      </c>
      <c r="Z1232" s="266"/>
    </row>
    <row r="1233" spans="1:26" ht="27" hidden="1" customHeight="1">
      <c r="A1233" s="70" t="str">
        <f t="shared" si="276"/>
        <v/>
      </c>
      <c r="B1233" s="70" t="str">
        <f t="shared" si="277"/>
        <v/>
      </c>
      <c r="C1233" s="204" t="str" cm="1">
        <f t="array" ref="C1233">IF(D1233="","",
    IF(AND(ISNUMBER(D1233), D1233=INT(D1233)),
        $V$6 &amp; " " &amp; (IFERROR(MAX($Y$12:$Y1232), 0) + 1),
        IF(ISNUMBER(SEARCH(".", D1233)), "", INDEX($C$12:$C1233, MATCH(2, 1/($C$12:$C1233 &lt;&gt; ""))))
    )
)</f>
        <v/>
      </c>
      <c r="D1233" s="206"/>
      <c r="E1233" s="206" t="str">
        <f>IF(AA1233 = "", "",
    IF(ISNUMBER(SEARCH("Kiện", C1233)),
       " GÓI " &amp; COUNTIF($C$13:C1233, "*Kiện*") &amp; "/" &amp; COUNTIF($C$13:$C$1000, "*Kiện*") &amp; " " &amp; AA1233,
       AA1233)
)</f>
        <v/>
      </c>
      <c r="F1233" s="206"/>
      <c r="G1233" s="206"/>
      <c r="H1233" s="206"/>
      <c r="I1233" s="206"/>
      <c r="J1233" s="206" t="str">
        <f t="shared" si="279"/>
        <v/>
      </c>
      <c r="K1233" s="206" t="str">
        <f t="shared" si="281"/>
        <v/>
      </c>
      <c r="L1233" s="206" t="str">
        <f t="shared" si="282"/>
        <v/>
      </c>
      <c r="M1233" s="206" t="str">
        <f t="shared" si="283"/>
        <v/>
      </c>
      <c r="N1233" s="206" t="str">
        <f t="shared" si="284"/>
        <v/>
      </c>
      <c r="O1233" s="206" t="str">
        <f t="shared" si="285"/>
        <v/>
      </c>
      <c r="P1233" s="84" t="str">
        <f t="shared" si="286"/>
        <v/>
      </c>
      <c r="Q1233" s="205"/>
      <c r="R1233" s="70" t="str">
        <f>IF(S1233="IN",'BOM_Phan II'!$Y$3,"")</f>
        <v/>
      </c>
      <c r="S1233" s="69" t="str">
        <f t="shared" si="278"/>
        <v/>
      </c>
      <c r="T1233">
        <f t="shared" si="287"/>
        <v>3</v>
      </c>
      <c r="U1233" t="str">
        <f t="shared" si="275"/>
        <v>KIỆN 14</v>
      </c>
      <c r="V1233" t="str">
        <f t="shared" si="288"/>
        <v/>
      </c>
      <c r="W1233" s="266"/>
      <c r="X1233" s="266"/>
      <c r="Y1233" s="266" t="str">
        <f t="shared" si="280"/>
        <v/>
      </c>
      <c r="Z1233" s="266"/>
    </row>
    <row r="1234" spans="1:26" ht="27" hidden="1" customHeight="1">
      <c r="A1234" s="70" t="str">
        <f t="shared" si="276"/>
        <v/>
      </c>
      <c r="B1234" s="70" t="str">
        <f t="shared" si="277"/>
        <v/>
      </c>
      <c r="C1234" s="204" t="str" cm="1">
        <f t="array" ref="C1234">IF(D1234="","",
    IF(AND(ISNUMBER(D1234), D1234=INT(D1234)),
        $V$6 &amp; " " &amp; (IFERROR(MAX($Y$12:$Y1233), 0) + 1),
        IF(ISNUMBER(SEARCH(".", D1234)), "", INDEX($C$12:$C1234, MATCH(2, 1/($C$12:$C1234 &lt;&gt; ""))))
    )
)</f>
        <v/>
      </c>
      <c r="D1234" s="206"/>
      <c r="E1234" s="206" t="str">
        <f>IF(AA1234 = "", "",
    IF(ISNUMBER(SEARCH("Kiện", C1234)),
       " GÓI " &amp; COUNTIF($C$13:C1234, "*Kiện*") &amp; "/" &amp; COUNTIF($C$13:$C$1000, "*Kiện*") &amp; " " &amp; AA1234,
       AA1234)
)</f>
        <v/>
      </c>
      <c r="F1234" s="206"/>
      <c r="G1234" s="206"/>
      <c r="H1234" s="206"/>
      <c r="I1234" s="206"/>
      <c r="J1234" s="206" t="str">
        <f t="shared" si="279"/>
        <v/>
      </c>
      <c r="K1234" s="206" t="str">
        <f t="shared" si="281"/>
        <v/>
      </c>
      <c r="L1234" s="206" t="str">
        <f t="shared" si="282"/>
        <v/>
      </c>
      <c r="M1234" s="206" t="str">
        <f t="shared" si="283"/>
        <v/>
      </c>
      <c r="N1234" s="206" t="str">
        <f t="shared" si="284"/>
        <v/>
      </c>
      <c r="O1234" s="206" t="str">
        <f t="shared" si="285"/>
        <v/>
      </c>
      <c r="P1234" s="84" t="str">
        <f t="shared" si="286"/>
        <v/>
      </c>
      <c r="Q1234" s="205"/>
      <c r="R1234" s="70" t="str">
        <f>IF(S1234="IN",'BOM_Phan II'!$Y$3,"")</f>
        <v/>
      </c>
      <c r="S1234" s="69" t="str">
        <f t="shared" si="278"/>
        <v/>
      </c>
      <c r="T1234">
        <f t="shared" si="287"/>
        <v>3</v>
      </c>
      <c r="U1234" t="str">
        <f t="shared" si="275"/>
        <v>KIỆN 14</v>
      </c>
      <c r="V1234" t="str">
        <f t="shared" si="288"/>
        <v/>
      </c>
      <c r="W1234" s="266"/>
      <c r="X1234" s="266"/>
      <c r="Y1234" s="266" t="str">
        <f t="shared" si="280"/>
        <v/>
      </c>
      <c r="Z1234" s="266"/>
    </row>
    <row r="1235" spans="1:26" ht="27" hidden="1" customHeight="1">
      <c r="A1235" s="70" t="str">
        <f t="shared" si="276"/>
        <v/>
      </c>
      <c r="B1235" s="70" t="str">
        <f t="shared" si="277"/>
        <v/>
      </c>
      <c r="C1235" s="204" t="str" cm="1">
        <f t="array" ref="C1235">IF(D1235="","",
    IF(AND(ISNUMBER(D1235), D1235=INT(D1235)),
        $V$6 &amp; " " &amp; (IFERROR(MAX($Y$12:$Y1234), 0) + 1),
        IF(ISNUMBER(SEARCH(".", D1235)), "", INDEX($C$12:$C1235, MATCH(2, 1/($C$12:$C1235 &lt;&gt; ""))))
    )
)</f>
        <v/>
      </c>
      <c r="D1235" s="206"/>
      <c r="E1235" s="206" t="str">
        <f>IF(AA1235 = "", "",
    IF(ISNUMBER(SEARCH("Kiện", C1235)),
       " GÓI " &amp; COUNTIF($C$13:C1235, "*Kiện*") &amp; "/" &amp; COUNTIF($C$13:$C$1000, "*Kiện*") &amp; " " &amp; AA1235,
       AA1235)
)</f>
        <v/>
      </c>
      <c r="F1235" s="206"/>
      <c r="G1235" s="206"/>
      <c r="H1235" s="206"/>
      <c r="I1235" s="206"/>
      <c r="J1235" s="206" t="str">
        <f t="shared" si="279"/>
        <v/>
      </c>
      <c r="K1235" s="206" t="str">
        <f t="shared" si="281"/>
        <v/>
      </c>
      <c r="L1235" s="206" t="str">
        <f t="shared" si="282"/>
        <v/>
      </c>
      <c r="M1235" s="206" t="str">
        <f t="shared" si="283"/>
        <v/>
      </c>
      <c r="N1235" s="206" t="str">
        <f t="shared" si="284"/>
        <v/>
      </c>
      <c r="O1235" s="206" t="str">
        <f t="shared" si="285"/>
        <v/>
      </c>
      <c r="P1235" s="84" t="str">
        <f t="shared" si="286"/>
        <v/>
      </c>
      <c r="Q1235" s="205"/>
      <c r="R1235" s="70" t="str">
        <f>IF(S1235="IN",'BOM_Phan II'!$Y$3,"")</f>
        <v/>
      </c>
      <c r="S1235" s="69" t="str">
        <f t="shared" si="278"/>
        <v/>
      </c>
      <c r="T1235">
        <f t="shared" si="287"/>
        <v>3</v>
      </c>
      <c r="U1235" t="str">
        <f t="shared" si="275"/>
        <v>KIỆN 14</v>
      </c>
      <c r="V1235" t="str">
        <f t="shared" si="288"/>
        <v/>
      </c>
      <c r="W1235" s="266"/>
      <c r="X1235" s="266"/>
      <c r="Y1235" s="266" t="str">
        <f t="shared" si="280"/>
        <v/>
      </c>
      <c r="Z1235" s="266"/>
    </row>
    <row r="1236" spans="1:26" ht="27" hidden="1" customHeight="1">
      <c r="A1236" s="70" t="str">
        <f t="shared" si="276"/>
        <v/>
      </c>
      <c r="B1236" s="70" t="str">
        <f t="shared" si="277"/>
        <v/>
      </c>
      <c r="C1236" s="204" t="str" cm="1">
        <f t="array" ref="C1236">IF(D1236="","",
    IF(AND(ISNUMBER(D1236), D1236=INT(D1236)),
        $V$6 &amp; " " &amp; (IFERROR(MAX($Y$12:$Y1235), 0) + 1),
        IF(ISNUMBER(SEARCH(".", D1236)), "", INDEX($C$12:$C1236, MATCH(2, 1/($C$12:$C1236 &lt;&gt; ""))))
    )
)</f>
        <v/>
      </c>
      <c r="D1236" s="206"/>
      <c r="E1236" s="206" t="str">
        <f>IF(AA1236 = "", "",
    IF(ISNUMBER(SEARCH("Kiện", C1236)),
       " GÓI " &amp; COUNTIF($C$13:C1236, "*Kiện*") &amp; "/" &amp; COUNTIF($C$13:$C$1000, "*Kiện*") &amp; " " &amp; AA1236,
       AA1236)
)</f>
        <v/>
      </c>
      <c r="F1236" s="206"/>
      <c r="G1236" s="206"/>
      <c r="H1236" s="206"/>
      <c r="I1236" s="206"/>
      <c r="J1236" s="206" t="str">
        <f t="shared" si="279"/>
        <v/>
      </c>
      <c r="K1236" s="206" t="str">
        <f t="shared" si="281"/>
        <v/>
      </c>
      <c r="L1236" s="206" t="str">
        <f t="shared" si="282"/>
        <v/>
      </c>
      <c r="M1236" s="206" t="str">
        <f t="shared" si="283"/>
        <v/>
      </c>
      <c r="N1236" s="206" t="str">
        <f t="shared" si="284"/>
        <v/>
      </c>
      <c r="O1236" s="206" t="str">
        <f t="shared" si="285"/>
        <v/>
      </c>
      <c r="P1236" s="84" t="str">
        <f t="shared" si="286"/>
        <v/>
      </c>
      <c r="Q1236" s="205"/>
      <c r="R1236" s="70" t="str">
        <f>IF(S1236="IN",'BOM_Phan II'!$Y$3,"")</f>
        <v/>
      </c>
      <c r="S1236" s="69" t="str">
        <f t="shared" si="278"/>
        <v/>
      </c>
      <c r="T1236">
        <f t="shared" si="287"/>
        <v>3</v>
      </c>
      <c r="U1236" t="str">
        <f t="shared" si="275"/>
        <v>KIỆN 14</v>
      </c>
      <c r="V1236" t="str">
        <f t="shared" si="288"/>
        <v/>
      </c>
      <c r="W1236" s="266"/>
      <c r="X1236" s="266"/>
      <c r="Y1236" s="266" t="str">
        <f t="shared" si="280"/>
        <v/>
      </c>
      <c r="Z1236" s="266"/>
    </row>
    <row r="1237" spans="1:26" ht="27" hidden="1" customHeight="1">
      <c r="A1237" s="70" t="str">
        <f t="shared" si="276"/>
        <v/>
      </c>
      <c r="B1237" s="70" t="str">
        <f t="shared" si="277"/>
        <v/>
      </c>
      <c r="C1237" s="204" t="str" cm="1">
        <f t="array" ref="C1237">IF(D1237="","",
    IF(AND(ISNUMBER(D1237), D1237=INT(D1237)),
        $V$6 &amp; " " &amp; (IFERROR(MAX($Y$12:$Y1236), 0) + 1),
        IF(ISNUMBER(SEARCH(".", D1237)), "", INDEX($C$12:$C1237, MATCH(2, 1/($C$12:$C1237 &lt;&gt; ""))))
    )
)</f>
        <v/>
      </c>
      <c r="D1237" s="206"/>
      <c r="E1237" s="206" t="str">
        <f>IF(AA1237 = "", "",
    IF(ISNUMBER(SEARCH("Kiện", C1237)),
       " GÓI " &amp; COUNTIF($C$13:C1237, "*Kiện*") &amp; "/" &amp; COUNTIF($C$13:$C$1000, "*Kiện*") &amp; " " &amp; AA1237,
       AA1237)
)</f>
        <v/>
      </c>
      <c r="F1237" s="206"/>
      <c r="G1237" s="206"/>
      <c r="H1237" s="206"/>
      <c r="I1237" s="206"/>
      <c r="J1237" s="206" t="str">
        <f t="shared" si="279"/>
        <v/>
      </c>
      <c r="K1237" s="206" t="str">
        <f t="shared" si="281"/>
        <v/>
      </c>
      <c r="L1237" s="206" t="str">
        <f t="shared" si="282"/>
        <v/>
      </c>
      <c r="M1237" s="206" t="str">
        <f t="shared" si="283"/>
        <v/>
      </c>
      <c r="N1237" s="206" t="str">
        <f t="shared" si="284"/>
        <v/>
      </c>
      <c r="O1237" s="206" t="str">
        <f t="shared" si="285"/>
        <v/>
      </c>
      <c r="P1237" s="84" t="str">
        <f t="shared" si="286"/>
        <v/>
      </c>
      <c r="Q1237" s="205"/>
      <c r="R1237" s="70" t="str">
        <f>IF(S1237="IN",'BOM_Phan II'!$Y$3,"")</f>
        <v/>
      </c>
      <c r="S1237" s="69" t="str">
        <f t="shared" si="278"/>
        <v/>
      </c>
      <c r="T1237">
        <f t="shared" si="287"/>
        <v>3</v>
      </c>
      <c r="U1237" t="str">
        <f t="shared" si="275"/>
        <v>KIỆN 14</v>
      </c>
      <c r="V1237" t="str">
        <f t="shared" si="288"/>
        <v/>
      </c>
      <c r="W1237" s="266"/>
      <c r="X1237" s="266"/>
      <c r="Y1237" s="266" t="str">
        <f t="shared" si="280"/>
        <v/>
      </c>
      <c r="Z1237" s="266"/>
    </row>
    <row r="1238" spans="1:26" ht="27" hidden="1" customHeight="1">
      <c r="A1238" s="70" t="str">
        <f t="shared" si="276"/>
        <v/>
      </c>
      <c r="B1238" s="70" t="str">
        <f t="shared" si="277"/>
        <v/>
      </c>
      <c r="C1238" s="204" t="str" cm="1">
        <f t="array" ref="C1238">IF(D1238="","",
    IF(AND(ISNUMBER(D1238), D1238=INT(D1238)),
        $V$6 &amp; " " &amp; (IFERROR(MAX($Y$12:$Y1237), 0) + 1),
        IF(ISNUMBER(SEARCH(".", D1238)), "", INDEX($C$12:$C1238, MATCH(2, 1/($C$12:$C1238 &lt;&gt; ""))))
    )
)</f>
        <v/>
      </c>
      <c r="D1238" s="206"/>
      <c r="E1238" s="206" t="str">
        <f>IF(AA1238 = "", "",
    IF(ISNUMBER(SEARCH("Kiện", C1238)),
       " GÓI " &amp; COUNTIF($C$13:C1238, "*Kiện*") &amp; "/" &amp; COUNTIF($C$13:$C$1000, "*Kiện*") &amp; " " &amp; AA1238,
       AA1238)
)</f>
        <v/>
      </c>
      <c r="F1238" s="206"/>
      <c r="G1238" s="206"/>
      <c r="H1238" s="206"/>
      <c r="I1238" s="206"/>
      <c r="J1238" s="206" t="str">
        <f t="shared" si="279"/>
        <v/>
      </c>
      <c r="K1238" s="206" t="str">
        <f t="shared" si="281"/>
        <v/>
      </c>
      <c r="L1238" s="206" t="str">
        <f t="shared" si="282"/>
        <v/>
      </c>
      <c r="M1238" s="206" t="str">
        <f t="shared" si="283"/>
        <v/>
      </c>
      <c r="N1238" s="206" t="str">
        <f t="shared" si="284"/>
        <v/>
      </c>
      <c r="O1238" s="206" t="str">
        <f t="shared" si="285"/>
        <v/>
      </c>
      <c r="P1238" s="84" t="str">
        <f t="shared" si="286"/>
        <v/>
      </c>
      <c r="Q1238" s="205"/>
      <c r="R1238" s="70" t="str">
        <f>IF(S1238="IN",'BOM_Phan II'!$Y$3,"")</f>
        <v/>
      </c>
      <c r="S1238" s="69" t="str">
        <f t="shared" si="278"/>
        <v/>
      </c>
      <c r="T1238">
        <f t="shared" si="287"/>
        <v>3</v>
      </c>
      <c r="U1238" t="str">
        <f t="shared" si="275"/>
        <v>KIỆN 14</v>
      </c>
      <c r="V1238" t="str">
        <f t="shared" si="288"/>
        <v/>
      </c>
      <c r="W1238" s="266"/>
      <c r="X1238" s="266"/>
      <c r="Y1238" s="266" t="str">
        <f t="shared" si="280"/>
        <v/>
      </c>
      <c r="Z1238" s="266"/>
    </row>
    <row r="1239" spans="1:26" ht="27" hidden="1" customHeight="1">
      <c r="A1239" s="70" t="str">
        <f t="shared" si="276"/>
        <v/>
      </c>
      <c r="B1239" s="70" t="str">
        <f t="shared" si="277"/>
        <v/>
      </c>
      <c r="C1239" s="204" t="str" cm="1">
        <f t="array" ref="C1239">IF(D1239="","",
    IF(AND(ISNUMBER(D1239), D1239=INT(D1239)),
        $V$6 &amp; " " &amp; (IFERROR(MAX($Y$12:$Y1238), 0) + 1),
        IF(ISNUMBER(SEARCH(".", D1239)), "", INDEX($C$12:$C1239, MATCH(2, 1/($C$12:$C1239 &lt;&gt; ""))))
    )
)</f>
        <v/>
      </c>
      <c r="D1239" s="206"/>
      <c r="E1239" s="206" t="str">
        <f>IF(AA1239 = "", "",
    IF(ISNUMBER(SEARCH("Kiện", C1239)),
       " GÓI " &amp; COUNTIF($C$13:C1239, "*Kiện*") &amp; "/" &amp; COUNTIF($C$13:$C$1000, "*Kiện*") &amp; " " &amp; AA1239,
       AA1239)
)</f>
        <v/>
      </c>
      <c r="F1239" s="206"/>
      <c r="G1239" s="206"/>
      <c r="H1239" s="206"/>
      <c r="I1239" s="206"/>
      <c r="J1239" s="206" t="str">
        <f t="shared" si="279"/>
        <v/>
      </c>
      <c r="K1239" s="206" t="str">
        <f t="shared" si="281"/>
        <v/>
      </c>
      <c r="L1239" s="206" t="str">
        <f t="shared" si="282"/>
        <v/>
      </c>
      <c r="M1239" s="206" t="str">
        <f t="shared" si="283"/>
        <v/>
      </c>
      <c r="N1239" s="206" t="str">
        <f t="shared" si="284"/>
        <v/>
      </c>
      <c r="O1239" s="206" t="str">
        <f t="shared" si="285"/>
        <v/>
      </c>
      <c r="P1239" s="84" t="str">
        <f t="shared" si="286"/>
        <v/>
      </c>
      <c r="Q1239" s="205"/>
      <c r="R1239" s="70" t="str">
        <f>IF(S1239="IN",'BOM_Phan II'!$Y$3,"")</f>
        <v/>
      </c>
      <c r="S1239" s="69" t="str">
        <f t="shared" si="278"/>
        <v/>
      </c>
      <c r="T1239">
        <f t="shared" si="287"/>
        <v>3</v>
      </c>
      <c r="U1239" t="str">
        <f t="shared" si="275"/>
        <v>KIỆN 14</v>
      </c>
      <c r="V1239" t="str">
        <f t="shared" si="288"/>
        <v/>
      </c>
      <c r="W1239" s="266"/>
      <c r="X1239" s="266"/>
      <c r="Y1239" s="266" t="str">
        <f t="shared" si="280"/>
        <v/>
      </c>
      <c r="Z1239" s="266"/>
    </row>
    <row r="1240" spans="1:26" ht="27" hidden="1" customHeight="1">
      <c r="A1240" s="70" t="str">
        <f t="shared" si="276"/>
        <v/>
      </c>
      <c r="B1240" s="70" t="str">
        <f t="shared" si="277"/>
        <v/>
      </c>
      <c r="C1240" s="204" t="str" cm="1">
        <f t="array" ref="C1240">IF(D1240="","",
    IF(AND(ISNUMBER(D1240), D1240=INT(D1240)),
        $V$6 &amp; " " &amp; (IFERROR(MAX($Y$12:$Y1239), 0) + 1),
        IF(ISNUMBER(SEARCH(".", D1240)), "", INDEX($C$12:$C1240, MATCH(2, 1/($C$12:$C1240 &lt;&gt; ""))))
    )
)</f>
        <v/>
      </c>
      <c r="D1240" s="206"/>
      <c r="E1240" s="206" t="str">
        <f>IF(AA1240 = "", "",
    IF(ISNUMBER(SEARCH("Kiện", C1240)),
       " GÓI " &amp; COUNTIF($C$13:C1240, "*Kiện*") &amp; "/" &amp; COUNTIF($C$13:$C$1000, "*Kiện*") &amp; " " &amp; AA1240,
       AA1240)
)</f>
        <v/>
      </c>
      <c r="F1240" s="206"/>
      <c r="G1240" s="206"/>
      <c r="H1240" s="206"/>
      <c r="I1240" s="206"/>
      <c r="J1240" s="206" t="str">
        <f t="shared" si="279"/>
        <v/>
      </c>
      <c r="K1240" s="206" t="str">
        <f t="shared" si="281"/>
        <v/>
      </c>
      <c r="L1240" s="206" t="str">
        <f t="shared" si="282"/>
        <v/>
      </c>
      <c r="M1240" s="206" t="str">
        <f t="shared" si="283"/>
        <v/>
      </c>
      <c r="N1240" s="206" t="str">
        <f t="shared" si="284"/>
        <v/>
      </c>
      <c r="O1240" s="206" t="str">
        <f t="shared" si="285"/>
        <v/>
      </c>
      <c r="P1240" s="84" t="str">
        <f t="shared" si="286"/>
        <v/>
      </c>
      <c r="Q1240" s="205"/>
      <c r="R1240" s="70" t="str">
        <f>IF(S1240="IN",'BOM_Phan II'!$Y$3,"")</f>
        <v/>
      </c>
      <c r="S1240" s="69" t="str">
        <f t="shared" si="278"/>
        <v/>
      </c>
      <c r="T1240">
        <f t="shared" si="287"/>
        <v>3</v>
      </c>
      <c r="U1240" t="str">
        <f t="shared" si="275"/>
        <v>KIỆN 14</v>
      </c>
      <c r="V1240" t="str">
        <f t="shared" si="288"/>
        <v/>
      </c>
      <c r="W1240" s="266"/>
      <c r="X1240" s="266"/>
      <c r="Y1240" s="266" t="str">
        <f t="shared" si="280"/>
        <v/>
      </c>
      <c r="Z1240" s="266"/>
    </row>
    <row r="1241" spans="1:26" ht="27" hidden="1" customHeight="1">
      <c r="A1241" s="70" t="str">
        <f t="shared" si="276"/>
        <v/>
      </c>
      <c r="B1241" s="70" t="str">
        <f t="shared" si="277"/>
        <v/>
      </c>
      <c r="C1241" s="204" t="str" cm="1">
        <f t="array" ref="C1241">IF(D1241="","",
    IF(AND(ISNUMBER(D1241), D1241=INT(D1241)),
        $V$6 &amp; " " &amp; (IFERROR(MAX($Y$12:$Y1240), 0) + 1),
        IF(ISNUMBER(SEARCH(".", D1241)), "", INDEX($C$12:$C1241, MATCH(2, 1/($C$12:$C1241 &lt;&gt; ""))))
    )
)</f>
        <v/>
      </c>
      <c r="D1241" s="206"/>
      <c r="E1241" s="206" t="str">
        <f>IF(AA1241 = "", "",
    IF(ISNUMBER(SEARCH("Kiện", C1241)),
       " GÓI " &amp; COUNTIF($C$13:C1241, "*Kiện*") &amp; "/" &amp; COUNTIF($C$13:$C$1000, "*Kiện*") &amp; " " &amp; AA1241,
       AA1241)
)</f>
        <v/>
      </c>
      <c r="F1241" s="206"/>
      <c r="G1241" s="206"/>
      <c r="H1241" s="206"/>
      <c r="I1241" s="206"/>
      <c r="J1241" s="206" t="str">
        <f t="shared" si="279"/>
        <v/>
      </c>
      <c r="K1241" s="206" t="str">
        <f t="shared" si="281"/>
        <v/>
      </c>
      <c r="L1241" s="206" t="str">
        <f t="shared" si="282"/>
        <v/>
      </c>
      <c r="M1241" s="206" t="str">
        <f t="shared" si="283"/>
        <v/>
      </c>
      <c r="N1241" s="206" t="str">
        <f t="shared" si="284"/>
        <v/>
      </c>
      <c r="O1241" s="206" t="str">
        <f t="shared" si="285"/>
        <v/>
      </c>
      <c r="P1241" s="84" t="str">
        <f t="shared" si="286"/>
        <v/>
      </c>
      <c r="Q1241" s="205"/>
      <c r="R1241" s="70" t="str">
        <f>IF(S1241="IN",'BOM_Phan II'!$Y$3,"")</f>
        <v/>
      </c>
      <c r="S1241" s="69" t="str">
        <f t="shared" si="278"/>
        <v/>
      </c>
      <c r="T1241">
        <f t="shared" si="287"/>
        <v>3</v>
      </c>
      <c r="U1241" t="str">
        <f t="shared" si="275"/>
        <v>KIỆN 14</v>
      </c>
      <c r="V1241" t="str">
        <f t="shared" si="288"/>
        <v/>
      </c>
      <c r="W1241" s="266"/>
      <c r="X1241" s="266"/>
      <c r="Y1241" s="266" t="str">
        <f t="shared" si="280"/>
        <v/>
      </c>
      <c r="Z1241" s="266"/>
    </row>
    <row r="1242" spans="1:26" ht="27" hidden="1" customHeight="1">
      <c r="A1242" s="70" t="str">
        <f t="shared" si="276"/>
        <v/>
      </c>
      <c r="B1242" s="70" t="str">
        <f t="shared" si="277"/>
        <v/>
      </c>
      <c r="C1242" s="204" t="str" cm="1">
        <f t="array" ref="C1242">IF(D1242="","",
    IF(AND(ISNUMBER(D1242), D1242=INT(D1242)),
        $V$6 &amp; " " &amp; (IFERROR(MAX($Y$12:$Y1241), 0) + 1),
        IF(ISNUMBER(SEARCH(".", D1242)), "", INDEX($C$12:$C1242, MATCH(2, 1/($C$12:$C1242 &lt;&gt; ""))))
    )
)</f>
        <v/>
      </c>
      <c r="D1242" s="206"/>
      <c r="E1242" s="206" t="str">
        <f>IF(AA1242 = "", "",
    IF(ISNUMBER(SEARCH("Kiện", C1242)),
       " GÓI " &amp; COUNTIF($C$13:C1242, "*Kiện*") &amp; "/" &amp; COUNTIF($C$13:$C$1000, "*Kiện*") &amp; " " &amp; AA1242,
       AA1242)
)</f>
        <v/>
      </c>
      <c r="F1242" s="206"/>
      <c r="G1242" s="206"/>
      <c r="H1242" s="206"/>
      <c r="I1242" s="206"/>
      <c r="J1242" s="206" t="str">
        <f t="shared" si="279"/>
        <v/>
      </c>
      <c r="K1242" s="206" t="str">
        <f t="shared" si="281"/>
        <v/>
      </c>
      <c r="L1242" s="206" t="str">
        <f t="shared" si="282"/>
        <v/>
      </c>
      <c r="M1242" s="206" t="str">
        <f t="shared" si="283"/>
        <v/>
      </c>
      <c r="N1242" s="206" t="str">
        <f t="shared" si="284"/>
        <v/>
      </c>
      <c r="O1242" s="206" t="str">
        <f t="shared" si="285"/>
        <v/>
      </c>
      <c r="P1242" s="84" t="str">
        <f t="shared" si="286"/>
        <v/>
      </c>
      <c r="Q1242" s="205"/>
      <c r="R1242" s="70" t="str">
        <f>IF(S1242="IN",'BOM_Phan II'!$Y$3,"")</f>
        <v/>
      </c>
      <c r="S1242" s="69" t="str">
        <f t="shared" si="278"/>
        <v/>
      </c>
      <c r="T1242">
        <f t="shared" si="287"/>
        <v>3</v>
      </c>
      <c r="U1242" t="str">
        <f t="shared" si="275"/>
        <v>KIỆN 14</v>
      </c>
      <c r="V1242" t="str">
        <f t="shared" si="288"/>
        <v/>
      </c>
      <c r="W1242" s="266"/>
      <c r="X1242" s="266"/>
      <c r="Y1242" s="266" t="str">
        <f t="shared" si="280"/>
        <v/>
      </c>
      <c r="Z1242" s="266"/>
    </row>
    <row r="1243" spans="1:26" ht="27" hidden="1" customHeight="1">
      <c r="A1243" s="70" t="str">
        <f t="shared" si="276"/>
        <v/>
      </c>
      <c r="B1243" s="70" t="str">
        <f t="shared" si="277"/>
        <v/>
      </c>
      <c r="C1243" s="204" t="str" cm="1">
        <f t="array" ref="C1243">IF(D1243="","",
    IF(AND(ISNUMBER(D1243), D1243=INT(D1243)),
        $V$6 &amp; " " &amp; (IFERROR(MAX($Y$12:$Y1242), 0) + 1),
        IF(ISNUMBER(SEARCH(".", D1243)), "", INDEX($C$12:$C1243, MATCH(2, 1/($C$12:$C1243 &lt;&gt; ""))))
    )
)</f>
        <v/>
      </c>
      <c r="D1243" s="206"/>
      <c r="E1243" s="206" t="str">
        <f>IF(AA1243 = "", "",
    IF(ISNUMBER(SEARCH("Kiện", C1243)),
       " GÓI " &amp; COUNTIF($C$13:C1243, "*Kiện*") &amp; "/" &amp; COUNTIF($C$13:$C$1000, "*Kiện*") &amp; " " &amp; AA1243,
       AA1243)
)</f>
        <v/>
      </c>
      <c r="F1243" s="206"/>
      <c r="G1243" s="206"/>
      <c r="H1243" s="206"/>
      <c r="I1243" s="206"/>
      <c r="J1243" s="206" t="str">
        <f t="shared" si="279"/>
        <v/>
      </c>
      <c r="K1243" s="206" t="str">
        <f t="shared" si="281"/>
        <v/>
      </c>
      <c r="L1243" s="206" t="str">
        <f t="shared" si="282"/>
        <v/>
      </c>
      <c r="M1243" s="206" t="str">
        <f t="shared" si="283"/>
        <v/>
      </c>
      <c r="N1243" s="206" t="str">
        <f t="shared" si="284"/>
        <v/>
      </c>
      <c r="O1243" s="206" t="str">
        <f t="shared" si="285"/>
        <v/>
      </c>
      <c r="P1243" s="84" t="str">
        <f t="shared" si="286"/>
        <v/>
      </c>
      <c r="Q1243" s="205"/>
      <c r="R1243" s="70" t="str">
        <f>IF(S1243="IN",'BOM_Phan II'!$Y$3,"")</f>
        <v/>
      </c>
      <c r="S1243" s="69" t="str">
        <f t="shared" si="278"/>
        <v/>
      </c>
      <c r="T1243">
        <f t="shared" si="287"/>
        <v>3</v>
      </c>
      <c r="U1243" t="str">
        <f t="shared" si="275"/>
        <v>KIỆN 14</v>
      </c>
      <c r="V1243" t="str">
        <f t="shared" si="288"/>
        <v/>
      </c>
      <c r="W1243" s="266"/>
      <c r="X1243" s="266"/>
      <c r="Y1243" s="266" t="str">
        <f t="shared" si="280"/>
        <v/>
      </c>
      <c r="Z1243" s="266"/>
    </row>
    <row r="1244" spans="1:26" ht="27" hidden="1" customHeight="1">
      <c r="A1244" s="70" t="str">
        <f t="shared" si="276"/>
        <v/>
      </c>
      <c r="B1244" s="70" t="str">
        <f t="shared" si="277"/>
        <v/>
      </c>
      <c r="C1244" s="204" t="str" cm="1">
        <f t="array" ref="C1244">IF(D1244="","",
    IF(AND(ISNUMBER(D1244), D1244=INT(D1244)),
        $V$6 &amp; " " &amp; (IFERROR(MAX($Y$12:$Y1243), 0) + 1),
        IF(ISNUMBER(SEARCH(".", D1244)), "", INDEX($C$12:$C1244, MATCH(2, 1/($C$12:$C1244 &lt;&gt; ""))))
    )
)</f>
        <v/>
      </c>
      <c r="D1244" s="206"/>
      <c r="E1244" s="206" t="str">
        <f>IF(AA1244 = "", "",
    IF(ISNUMBER(SEARCH("Kiện", C1244)),
       " GÓI " &amp; COUNTIF($C$13:C1244, "*Kiện*") &amp; "/" &amp; COUNTIF($C$13:$C$1000, "*Kiện*") &amp; " " &amp; AA1244,
       AA1244)
)</f>
        <v/>
      </c>
      <c r="F1244" s="206"/>
      <c r="G1244" s="206"/>
      <c r="H1244" s="206"/>
      <c r="I1244" s="206"/>
      <c r="J1244" s="206" t="str">
        <f t="shared" si="279"/>
        <v/>
      </c>
      <c r="K1244" s="206" t="str">
        <f t="shared" si="281"/>
        <v/>
      </c>
      <c r="L1244" s="206" t="str">
        <f t="shared" si="282"/>
        <v/>
      </c>
      <c r="M1244" s="206" t="str">
        <f t="shared" si="283"/>
        <v/>
      </c>
      <c r="N1244" s="206" t="str">
        <f t="shared" si="284"/>
        <v/>
      </c>
      <c r="O1244" s="206" t="str">
        <f t="shared" si="285"/>
        <v/>
      </c>
      <c r="P1244" s="84" t="str">
        <f t="shared" si="286"/>
        <v/>
      </c>
      <c r="Q1244" s="205"/>
      <c r="R1244" s="70" t="str">
        <f>IF(S1244="IN",'BOM_Phan II'!$Y$3,"")</f>
        <v/>
      </c>
      <c r="S1244" s="69" t="str">
        <f t="shared" si="278"/>
        <v/>
      </c>
      <c r="T1244">
        <f t="shared" si="287"/>
        <v>3</v>
      </c>
      <c r="U1244" t="str">
        <f t="shared" si="275"/>
        <v>KIỆN 14</v>
      </c>
      <c r="V1244" t="str">
        <f t="shared" si="288"/>
        <v/>
      </c>
      <c r="W1244" s="266"/>
      <c r="X1244" s="266"/>
      <c r="Y1244" s="266" t="str">
        <f t="shared" si="280"/>
        <v/>
      </c>
      <c r="Z1244" s="266"/>
    </row>
    <row r="1245" spans="1:26" ht="27" hidden="1" customHeight="1">
      <c r="A1245" s="70" t="str">
        <f t="shared" si="276"/>
        <v/>
      </c>
      <c r="B1245" s="70" t="str">
        <f t="shared" si="277"/>
        <v/>
      </c>
      <c r="C1245" s="204" t="str" cm="1">
        <f t="array" ref="C1245">IF(D1245="","",
    IF(AND(ISNUMBER(D1245), D1245=INT(D1245)),
        $V$6 &amp; " " &amp; (IFERROR(MAX($Y$12:$Y1244), 0) + 1),
        IF(ISNUMBER(SEARCH(".", D1245)), "", INDEX($C$12:$C1245, MATCH(2, 1/($C$12:$C1245 &lt;&gt; ""))))
    )
)</f>
        <v/>
      </c>
      <c r="D1245" s="206"/>
      <c r="E1245" s="206" t="str">
        <f>IF(AA1245 = "", "",
    IF(ISNUMBER(SEARCH("Kiện", C1245)),
       " GÓI " &amp; COUNTIF($C$13:C1245, "*Kiện*") &amp; "/" &amp; COUNTIF($C$13:$C$1000, "*Kiện*") &amp; " " &amp; AA1245,
       AA1245)
)</f>
        <v/>
      </c>
      <c r="F1245" s="206"/>
      <c r="G1245" s="206"/>
      <c r="H1245" s="206"/>
      <c r="I1245" s="206"/>
      <c r="J1245" s="206" t="str">
        <f t="shared" si="279"/>
        <v/>
      </c>
      <c r="K1245" s="206" t="str">
        <f t="shared" si="281"/>
        <v/>
      </c>
      <c r="L1245" s="206" t="str">
        <f t="shared" si="282"/>
        <v/>
      </c>
      <c r="M1245" s="206" t="str">
        <f t="shared" si="283"/>
        <v/>
      </c>
      <c r="N1245" s="206" t="str">
        <f t="shared" si="284"/>
        <v/>
      </c>
      <c r="O1245" s="206" t="str">
        <f t="shared" si="285"/>
        <v/>
      </c>
      <c r="P1245" s="84" t="str">
        <f t="shared" si="286"/>
        <v/>
      </c>
      <c r="Q1245" s="205"/>
      <c r="R1245" s="70" t="str">
        <f>IF(S1245="IN",'BOM_Phan II'!$Y$3,"")</f>
        <v/>
      </c>
      <c r="S1245" s="69" t="str">
        <f t="shared" si="278"/>
        <v/>
      </c>
      <c r="T1245">
        <f t="shared" si="287"/>
        <v>3</v>
      </c>
      <c r="U1245" t="str">
        <f t="shared" si="275"/>
        <v>KIỆN 14</v>
      </c>
      <c r="V1245" t="str">
        <f t="shared" si="288"/>
        <v/>
      </c>
      <c r="W1245" s="266"/>
      <c r="X1245" s="266"/>
      <c r="Y1245" s="266" t="str">
        <f t="shared" si="280"/>
        <v/>
      </c>
      <c r="Z1245" s="266"/>
    </row>
    <row r="1246" spans="1:26" ht="27" hidden="1" customHeight="1">
      <c r="A1246" s="70" t="str">
        <f t="shared" si="276"/>
        <v/>
      </c>
      <c r="B1246" s="70" t="str">
        <f t="shared" si="277"/>
        <v/>
      </c>
      <c r="C1246" s="204" t="str" cm="1">
        <f t="array" ref="C1246">IF(D1246="","",
    IF(AND(ISNUMBER(D1246), D1246=INT(D1246)),
        $V$6 &amp; " " &amp; (IFERROR(MAX($Y$12:$Y1245), 0) + 1),
        IF(ISNUMBER(SEARCH(".", D1246)), "", INDEX($C$12:$C1246, MATCH(2, 1/($C$12:$C1246 &lt;&gt; ""))))
    )
)</f>
        <v/>
      </c>
      <c r="D1246" s="206"/>
      <c r="E1246" s="206" t="str">
        <f>IF(AA1246 = "", "",
    IF(ISNUMBER(SEARCH("Kiện", C1246)),
       " GÓI " &amp; COUNTIF($C$13:C1246, "*Kiện*") &amp; "/" &amp; COUNTIF($C$13:$C$1000, "*Kiện*") &amp; " " &amp; AA1246,
       AA1246)
)</f>
        <v/>
      </c>
      <c r="F1246" s="206"/>
      <c r="G1246" s="206"/>
      <c r="H1246" s="206"/>
      <c r="I1246" s="206"/>
      <c r="J1246" s="206" t="str">
        <f t="shared" si="279"/>
        <v/>
      </c>
      <c r="K1246" s="206" t="str">
        <f t="shared" si="281"/>
        <v/>
      </c>
      <c r="L1246" s="206" t="str">
        <f t="shared" si="282"/>
        <v/>
      </c>
      <c r="M1246" s="206" t="str">
        <f t="shared" si="283"/>
        <v/>
      </c>
      <c r="N1246" s="206" t="str">
        <f t="shared" si="284"/>
        <v/>
      </c>
      <c r="O1246" s="206" t="str">
        <f t="shared" si="285"/>
        <v/>
      </c>
      <c r="P1246" s="84" t="str">
        <f t="shared" si="286"/>
        <v/>
      </c>
      <c r="Q1246" s="205"/>
      <c r="R1246" s="70" t="str">
        <f>IF(S1246="IN",'BOM_Phan II'!$Y$3,"")</f>
        <v/>
      </c>
      <c r="S1246" s="69" t="str">
        <f t="shared" si="278"/>
        <v/>
      </c>
      <c r="T1246">
        <f t="shared" si="287"/>
        <v>3</v>
      </c>
      <c r="U1246" t="str">
        <f t="shared" si="275"/>
        <v>KIỆN 14</v>
      </c>
      <c r="V1246" t="str">
        <f t="shared" si="288"/>
        <v/>
      </c>
      <c r="W1246" s="266"/>
      <c r="X1246" s="266"/>
      <c r="Y1246" s="266" t="str">
        <f t="shared" si="280"/>
        <v/>
      </c>
      <c r="Z1246" s="266"/>
    </row>
    <row r="1247" spans="1:26" ht="27" hidden="1" customHeight="1">
      <c r="A1247" s="70" t="str">
        <f t="shared" si="276"/>
        <v/>
      </c>
      <c r="B1247" s="70" t="str">
        <f t="shared" si="277"/>
        <v/>
      </c>
      <c r="C1247" s="204" t="str" cm="1">
        <f t="array" ref="C1247">IF(D1247="","",
    IF(AND(ISNUMBER(D1247), D1247=INT(D1247)),
        $V$6 &amp; " " &amp; (IFERROR(MAX($Y$12:$Y1246), 0) + 1),
        IF(ISNUMBER(SEARCH(".", D1247)), "", INDEX($C$12:$C1247, MATCH(2, 1/($C$12:$C1247 &lt;&gt; ""))))
    )
)</f>
        <v/>
      </c>
      <c r="D1247" s="206"/>
      <c r="E1247" s="206" t="str">
        <f>IF(AA1247 = "", "",
    IF(ISNUMBER(SEARCH("Kiện", C1247)),
       " GÓI " &amp; COUNTIF($C$13:C1247, "*Kiện*") &amp; "/" &amp; COUNTIF($C$13:$C$1000, "*Kiện*") &amp; " " &amp; AA1247,
       AA1247)
)</f>
        <v/>
      </c>
      <c r="F1247" s="206"/>
      <c r="G1247" s="206"/>
      <c r="H1247" s="206"/>
      <c r="I1247" s="206"/>
      <c r="J1247" s="206" t="str">
        <f t="shared" si="279"/>
        <v/>
      </c>
      <c r="K1247" s="206" t="str">
        <f t="shared" si="281"/>
        <v/>
      </c>
      <c r="L1247" s="206" t="str">
        <f t="shared" si="282"/>
        <v/>
      </c>
      <c r="M1247" s="206" t="str">
        <f t="shared" si="283"/>
        <v/>
      </c>
      <c r="N1247" s="206" t="str">
        <f t="shared" si="284"/>
        <v/>
      </c>
      <c r="O1247" s="206" t="str">
        <f t="shared" si="285"/>
        <v/>
      </c>
      <c r="P1247" s="84" t="str">
        <f t="shared" si="286"/>
        <v/>
      </c>
      <c r="Q1247" s="205"/>
      <c r="R1247" s="70" t="str">
        <f>IF(S1247="IN",'BOM_Phan II'!$Y$3,"")</f>
        <v/>
      </c>
      <c r="S1247" s="69" t="str">
        <f t="shared" si="278"/>
        <v/>
      </c>
      <c r="T1247">
        <f t="shared" si="287"/>
        <v>3</v>
      </c>
      <c r="U1247" t="str">
        <f t="shared" si="275"/>
        <v>KIỆN 14</v>
      </c>
      <c r="V1247" t="str">
        <f t="shared" si="288"/>
        <v/>
      </c>
      <c r="W1247" s="266"/>
      <c r="X1247" s="266"/>
      <c r="Y1247" s="266" t="str">
        <f t="shared" si="280"/>
        <v/>
      </c>
      <c r="Z1247" s="266"/>
    </row>
    <row r="1248" spans="1:26" ht="27" hidden="1" customHeight="1">
      <c r="A1248" s="70" t="str">
        <f t="shared" si="276"/>
        <v/>
      </c>
      <c r="B1248" s="70" t="str">
        <f t="shared" si="277"/>
        <v/>
      </c>
      <c r="C1248" s="204" t="str" cm="1">
        <f t="array" ref="C1248">IF(D1248="","",
    IF(AND(ISNUMBER(D1248), D1248=INT(D1248)),
        $V$6 &amp; " " &amp; (IFERROR(MAX($Y$12:$Y1247), 0) + 1),
        IF(ISNUMBER(SEARCH(".", D1248)), "", INDEX($C$12:$C1248, MATCH(2, 1/($C$12:$C1248 &lt;&gt; ""))))
    )
)</f>
        <v/>
      </c>
      <c r="D1248" s="206"/>
      <c r="E1248" s="206" t="str">
        <f>IF(AA1248 = "", "",
    IF(ISNUMBER(SEARCH("Kiện", C1248)),
       " GÓI " &amp; COUNTIF($C$13:C1248, "*Kiện*") &amp; "/" &amp; COUNTIF($C$13:$C$1000, "*Kiện*") &amp; " " &amp; AA1248,
       AA1248)
)</f>
        <v/>
      </c>
      <c r="F1248" s="206"/>
      <c r="G1248" s="206"/>
      <c r="H1248" s="206"/>
      <c r="I1248" s="206"/>
      <c r="J1248" s="206" t="str">
        <f t="shared" si="279"/>
        <v/>
      </c>
      <c r="K1248" s="206" t="str">
        <f t="shared" si="281"/>
        <v/>
      </c>
      <c r="L1248" s="206" t="str">
        <f t="shared" si="282"/>
        <v/>
      </c>
      <c r="M1248" s="206" t="str">
        <f t="shared" si="283"/>
        <v/>
      </c>
      <c r="N1248" s="206" t="str">
        <f t="shared" si="284"/>
        <v/>
      </c>
      <c r="O1248" s="206" t="str">
        <f t="shared" si="285"/>
        <v/>
      </c>
      <c r="P1248" s="84" t="str">
        <f t="shared" si="286"/>
        <v/>
      </c>
      <c r="Q1248" s="205"/>
      <c r="R1248" s="70" t="str">
        <f>IF(S1248="IN",'BOM_Phan II'!$Y$3,"")</f>
        <v/>
      </c>
      <c r="S1248" s="69" t="str">
        <f t="shared" si="278"/>
        <v/>
      </c>
      <c r="T1248">
        <f t="shared" si="287"/>
        <v>3</v>
      </c>
      <c r="U1248" t="str">
        <f t="shared" si="275"/>
        <v>KIỆN 14</v>
      </c>
      <c r="V1248" t="str">
        <f t="shared" si="288"/>
        <v/>
      </c>
      <c r="W1248" s="266"/>
      <c r="X1248" s="266"/>
      <c r="Y1248" s="266" t="str">
        <f t="shared" si="280"/>
        <v/>
      </c>
      <c r="Z1248" s="266"/>
    </row>
    <row r="1249" spans="1:26" ht="27" hidden="1" customHeight="1">
      <c r="A1249" s="70" t="str">
        <f t="shared" si="276"/>
        <v/>
      </c>
      <c r="B1249" s="70" t="str">
        <f t="shared" si="277"/>
        <v/>
      </c>
      <c r="C1249" s="204" t="str" cm="1">
        <f t="array" ref="C1249">IF(D1249="","",
    IF(AND(ISNUMBER(D1249), D1249=INT(D1249)),
        $V$6 &amp; " " &amp; (IFERROR(MAX($Y$12:$Y1248), 0) + 1),
        IF(ISNUMBER(SEARCH(".", D1249)), "", INDEX($C$12:$C1249, MATCH(2, 1/($C$12:$C1249 &lt;&gt; ""))))
    )
)</f>
        <v/>
      </c>
      <c r="D1249" s="206"/>
      <c r="E1249" s="206" t="str">
        <f>IF(AA1249 = "", "",
    IF(ISNUMBER(SEARCH("Kiện", C1249)),
       " GÓI " &amp; COUNTIF($C$13:C1249, "*Kiện*") &amp; "/" &amp; COUNTIF($C$13:$C$1000, "*Kiện*") &amp; " " &amp; AA1249,
       AA1249)
)</f>
        <v/>
      </c>
      <c r="F1249" s="206"/>
      <c r="G1249" s="206"/>
      <c r="H1249" s="206"/>
      <c r="I1249" s="206"/>
      <c r="J1249" s="206" t="str">
        <f t="shared" si="279"/>
        <v/>
      </c>
      <c r="K1249" s="206" t="str">
        <f t="shared" si="281"/>
        <v/>
      </c>
      <c r="L1249" s="206" t="str">
        <f t="shared" si="282"/>
        <v/>
      </c>
      <c r="M1249" s="206" t="str">
        <f t="shared" si="283"/>
        <v/>
      </c>
      <c r="N1249" s="206" t="str">
        <f t="shared" si="284"/>
        <v/>
      </c>
      <c r="O1249" s="206" t="str">
        <f t="shared" si="285"/>
        <v/>
      </c>
      <c r="P1249" s="84" t="str">
        <f t="shared" si="286"/>
        <v/>
      </c>
      <c r="Q1249" s="205"/>
      <c r="R1249" s="70" t="str">
        <f>IF(S1249="IN",'BOM_Phan II'!$Y$3,"")</f>
        <v/>
      </c>
      <c r="S1249" s="69" t="str">
        <f t="shared" si="278"/>
        <v/>
      </c>
      <c r="T1249">
        <f t="shared" si="287"/>
        <v>3</v>
      </c>
      <c r="U1249" t="str">
        <f t="shared" si="275"/>
        <v>KIỆN 14</v>
      </c>
      <c r="V1249" t="str">
        <f t="shared" si="288"/>
        <v/>
      </c>
      <c r="W1249" s="266"/>
      <c r="X1249" s="266"/>
      <c r="Y1249" s="266" t="str">
        <f t="shared" si="280"/>
        <v/>
      </c>
      <c r="Z1249" s="266"/>
    </row>
    <row r="1250" spans="1:26" ht="27" hidden="1" customHeight="1">
      <c r="A1250" s="70" t="str">
        <f t="shared" si="276"/>
        <v/>
      </c>
      <c r="B1250" s="70" t="str">
        <f t="shared" si="277"/>
        <v/>
      </c>
      <c r="C1250" s="204" t="str" cm="1">
        <f t="array" ref="C1250">IF(D1250="","",
    IF(AND(ISNUMBER(D1250), D1250=INT(D1250)),
        $V$6 &amp; " " &amp; (IFERROR(MAX($Y$12:$Y1249), 0) + 1),
        IF(ISNUMBER(SEARCH(".", D1250)), "", INDEX($C$12:$C1250, MATCH(2, 1/($C$12:$C1250 &lt;&gt; ""))))
    )
)</f>
        <v/>
      </c>
      <c r="D1250" s="206"/>
      <c r="E1250" s="206" t="str">
        <f>IF(AA1250 = "", "",
    IF(ISNUMBER(SEARCH("Kiện", C1250)),
       " GÓI " &amp; COUNTIF($C$13:C1250, "*Kiện*") &amp; "/" &amp; COUNTIF($C$13:$C$1000, "*Kiện*") &amp; " " &amp; AA1250,
       AA1250)
)</f>
        <v/>
      </c>
      <c r="F1250" s="206"/>
      <c r="G1250" s="206"/>
      <c r="H1250" s="206"/>
      <c r="I1250" s="206"/>
      <c r="J1250" s="206" t="str">
        <f t="shared" si="279"/>
        <v/>
      </c>
      <c r="K1250" s="206" t="str">
        <f t="shared" si="281"/>
        <v/>
      </c>
      <c r="L1250" s="206" t="str">
        <f t="shared" si="282"/>
        <v/>
      </c>
      <c r="M1250" s="206" t="str">
        <f t="shared" si="283"/>
        <v/>
      </c>
      <c r="N1250" s="206" t="str">
        <f t="shared" si="284"/>
        <v/>
      </c>
      <c r="O1250" s="206" t="str">
        <f t="shared" si="285"/>
        <v/>
      </c>
      <c r="P1250" s="84" t="str">
        <f t="shared" si="286"/>
        <v/>
      </c>
      <c r="Q1250" s="205"/>
      <c r="R1250" s="70" t="str">
        <f>IF(S1250="IN",'BOM_Phan II'!$Y$3,"")</f>
        <v/>
      </c>
      <c r="S1250" s="69" t="str">
        <f t="shared" si="278"/>
        <v/>
      </c>
      <c r="T1250">
        <f t="shared" si="287"/>
        <v>3</v>
      </c>
      <c r="U1250" t="str">
        <f t="shared" si="275"/>
        <v>KIỆN 14</v>
      </c>
      <c r="V1250" t="str">
        <f t="shared" si="288"/>
        <v/>
      </c>
      <c r="W1250" s="266"/>
      <c r="X1250" s="266"/>
      <c r="Y1250" s="266" t="str">
        <f t="shared" si="280"/>
        <v/>
      </c>
      <c r="Z1250" s="266"/>
    </row>
    <row r="1251" spans="1:26" ht="27" hidden="1" customHeight="1">
      <c r="A1251" s="70" t="str">
        <f t="shared" si="276"/>
        <v/>
      </c>
      <c r="B1251" s="70" t="str">
        <f t="shared" si="277"/>
        <v/>
      </c>
      <c r="C1251" s="204" t="str" cm="1">
        <f t="array" ref="C1251">IF(D1251="","",
    IF(AND(ISNUMBER(D1251), D1251=INT(D1251)),
        $V$6 &amp; " " &amp; (IFERROR(MAX($Y$12:$Y1250), 0) + 1),
        IF(ISNUMBER(SEARCH(".", D1251)), "", INDEX($C$12:$C1251, MATCH(2, 1/($C$12:$C1251 &lt;&gt; ""))))
    )
)</f>
        <v/>
      </c>
      <c r="D1251" s="206"/>
      <c r="E1251" s="206" t="str">
        <f>IF(AA1251 = "", "",
    IF(ISNUMBER(SEARCH("Kiện", C1251)),
       " GÓI " &amp; COUNTIF($C$13:C1251, "*Kiện*") &amp; "/" &amp; COUNTIF($C$13:$C$1000, "*Kiện*") &amp; " " &amp; AA1251,
       AA1251)
)</f>
        <v/>
      </c>
      <c r="F1251" s="206"/>
      <c r="G1251" s="206"/>
      <c r="H1251" s="206"/>
      <c r="I1251" s="206"/>
      <c r="J1251" s="206" t="str">
        <f t="shared" si="279"/>
        <v/>
      </c>
      <c r="K1251" s="206" t="str">
        <f t="shared" si="281"/>
        <v/>
      </c>
      <c r="L1251" s="206" t="str">
        <f t="shared" si="282"/>
        <v/>
      </c>
      <c r="M1251" s="206" t="str">
        <f t="shared" si="283"/>
        <v/>
      </c>
      <c r="N1251" s="206" t="str">
        <f t="shared" si="284"/>
        <v/>
      </c>
      <c r="O1251" s="206" t="str">
        <f t="shared" si="285"/>
        <v/>
      </c>
      <c r="P1251" s="84" t="str">
        <f t="shared" si="286"/>
        <v/>
      </c>
      <c r="Q1251" s="205"/>
      <c r="R1251" s="70" t="str">
        <f>IF(S1251="IN",'BOM_Phan II'!$Y$3,"")</f>
        <v/>
      </c>
      <c r="S1251" s="69" t="str">
        <f t="shared" si="278"/>
        <v/>
      </c>
      <c r="T1251">
        <f t="shared" si="287"/>
        <v>3</v>
      </c>
      <c r="U1251" t="str">
        <f t="shared" si="275"/>
        <v>KIỆN 14</v>
      </c>
      <c r="V1251" t="str">
        <f t="shared" si="288"/>
        <v/>
      </c>
      <c r="W1251" s="266"/>
      <c r="X1251" s="266"/>
      <c r="Y1251" s="266" t="str">
        <f t="shared" si="280"/>
        <v/>
      </c>
      <c r="Z1251" s="266"/>
    </row>
    <row r="1252" spans="1:26" ht="27" hidden="1" customHeight="1">
      <c r="A1252" s="70" t="str">
        <f t="shared" si="276"/>
        <v/>
      </c>
      <c r="B1252" s="70" t="str">
        <f t="shared" si="277"/>
        <v/>
      </c>
      <c r="C1252" s="204" t="str" cm="1">
        <f t="array" ref="C1252">IF(D1252="","",
    IF(AND(ISNUMBER(D1252), D1252=INT(D1252)),
        $V$6 &amp; " " &amp; (IFERROR(MAX($Y$12:$Y1251), 0) + 1),
        IF(ISNUMBER(SEARCH(".", D1252)), "", INDEX($C$12:$C1252, MATCH(2, 1/($C$12:$C1252 &lt;&gt; ""))))
    )
)</f>
        <v/>
      </c>
      <c r="D1252" s="206"/>
      <c r="E1252" s="206" t="str">
        <f>IF(AA1252 = "", "",
    IF(ISNUMBER(SEARCH("Kiện", C1252)),
       " GÓI " &amp; COUNTIF($C$13:C1252, "*Kiện*") &amp; "/" &amp; COUNTIF($C$13:$C$1000, "*Kiện*") &amp; " " &amp; AA1252,
       AA1252)
)</f>
        <v/>
      </c>
      <c r="F1252" s="206"/>
      <c r="G1252" s="206"/>
      <c r="H1252" s="206"/>
      <c r="I1252" s="206"/>
      <c r="J1252" s="206" t="str">
        <f t="shared" si="279"/>
        <v/>
      </c>
      <c r="K1252" s="206" t="str">
        <f t="shared" si="281"/>
        <v/>
      </c>
      <c r="L1252" s="206" t="str">
        <f t="shared" si="282"/>
        <v/>
      </c>
      <c r="M1252" s="206" t="str">
        <f t="shared" si="283"/>
        <v/>
      </c>
      <c r="N1252" s="206" t="str">
        <f t="shared" si="284"/>
        <v/>
      </c>
      <c r="O1252" s="206" t="str">
        <f t="shared" si="285"/>
        <v/>
      </c>
      <c r="P1252" s="84" t="str">
        <f t="shared" si="286"/>
        <v/>
      </c>
      <c r="Q1252" s="205"/>
      <c r="R1252" s="70" t="str">
        <f>IF(S1252="IN",'BOM_Phan II'!$Y$3,"")</f>
        <v/>
      </c>
      <c r="S1252" s="69" t="str">
        <f t="shared" si="278"/>
        <v/>
      </c>
      <c r="T1252">
        <f t="shared" si="287"/>
        <v>3</v>
      </c>
      <c r="U1252" t="str">
        <f t="shared" si="275"/>
        <v>KIỆN 14</v>
      </c>
      <c r="V1252" t="str">
        <f t="shared" si="288"/>
        <v/>
      </c>
      <c r="W1252" s="266"/>
      <c r="X1252" s="266"/>
      <c r="Y1252" s="266" t="str">
        <f t="shared" si="280"/>
        <v/>
      </c>
      <c r="Z1252" s="266"/>
    </row>
    <row r="1253" spans="1:26" ht="27" hidden="1" customHeight="1">
      <c r="A1253" s="70" t="str">
        <f t="shared" si="276"/>
        <v/>
      </c>
      <c r="B1253" s="70" t="str">
        <f t="shared" si="277"/>
        <v/>
      </c>
      <c r="C1253" s="204" t="str" cm="1">
        <f t="array" ref="C1253">IF(D1253="","",
    IF(AND(ISNUMBER(D1253), D1253=INT(D1253)),
        $V$6 &amp; " " &amp; (IFERROR(MAX($Y$12:$Y1252), 0) + 1),
        IF(ISNUMBER(SEARCH(".", D1253)), "", INDEX($C$12:$C1253, MATCH(2, 1/($C$12:$C1253 &lt;&gt; ""))))
    )
)</f>
        <v/>
      </c>
      <c r="D1253" s="206"/>
      <c r="E1253" s="206" t="str">
        <f>IF(AA1253 = "", "",
    IF(ISNUMBER(SEARCH("Kiện", C1253)),
       " GÓI " &amp; COUNTIF($C$13:C1253, "*Kiện*") &amp; "/" &amp; COUNTIF($C$13:$C$1000, "*Kiện*") &amp; " " &amp; AA1253,
       AA1253)
)</f>
        <v/>
      </c>
      <c r="F1253" s="206"/>
      <c r="G1253" s="206"/>
      <c r="H1253" s="206"/>
      <c r="I1253" s="206"/>
      <c r="J1253" s="206" t="str">
        <f t="shared" si="279"/>
        <v/>
      </c>
      <c r="K1253" s="206" t="str">
        <f t="shared" si="281"/>
        <v/>
      </c>
      <c r="L1253" s="206" t="str">
        <f t="shared" si="282"/>
        <v/>
      </c>
      <c r="M1253" s="206" t="str">
        <f t="shared" si="283"/>
        <v/>
      </c>
      <c r="N1253" s="206" t="str">
        <f t="shared" si="284"/>
        <v/>
      </c>
      <c r="O1253" s="206" t="str">
        <f t="shared" si="285"/>
        <v/>
      </c>
      <c r="P1253" s="84" t="str">
        <f t="shared" si="286"/>
        <v/>
      </c>
      <c r="Q1253" s="205"/>
      <c r="R1253" s="70" t="str">
        <f>IF(S1253="IN",'BOM_Phan II'!$Y$3,"")</f>
        <v/>
      </c>
      <c r="S1253" s="69" t="str">
        <f t="shared" si="278"/>
        <v/>
      </c>
      <c r="T1253">
        <f t="shared" si="287"/>
        <v>3</v>
      </c>
      <c r="U1253" t="str">
        <f t="shared" si="275"/>
        <v>KIỆN 14</v>
      </c>
      <c r="V1253" t="str">
        <f t="shared" si="288"/>
        <v/>
      </c>
      <c r="W1253" s="266"/>
      <c r="X1253" s="266"/>
      <c r="Y1253" s="266" t="str">
        <f t="shared" si="280"/>
        <v/>
      </c>
      <c r="Z1253" s="266"/>
    </row>
    <row r="1254" spans="1:26" ht="27" hidden="1" customHeight="1">
      <c r="A1254" s="70" t="str">
        <f t="shared" si="276"/>
        <v/>
      </c>
      <c r="B1254" s="70" t="str">
        <f t="shared" si="277"/>
        <v/>
      </c>
      <c r="C1254" s="204" t="str" cm="1">
        <f t="array" ref="C1254">IF(D1254="","",
    IF(AND(ISNUMBER(D1254), D1254=INT(D1254)),
        $V$6 &amp; " " &amp; (IFERROR(MAX($Y$12:$Y1253), 0) + 1),
        IF(ISNUMBER(SEARCH(".", D1254)), "", INDEX($C$12:$C1254, MATCH(2, 1/($C$12:$C1254 &lt;&gt; ""))))
    )
)</f>
        <v/>
      </c>
      <c r="D1254" s="206"/>
      <c r="E1254" s="206" t="str">
        <f>IF(AA1254 = "", "",
    IF(ISNUMBER(SEARCH("Kiện", C1254)),
       " GÓI " &amp; COUNTIF($C$13:C1254, "*Kiện*") &amp; "/" &amp; COUNTIF($C$13:$C$1000, "*Kiện*") &amp; " " &amp; AA1254,
       AA1254)
)</f>
        <v/>
      </c>
      <c r="F1254" s="206"/>
      <c r="G1254" s="206"/>
      <c r="H1254" s="206"/>
      <c r="I1254" s="206"/>
      <c r="J1254" s="206" t="str">
        <f t="shared" si="279"/>
        <v/>
      </c>
      <c r="K1254" s="206" t="str">
        <f t="shared" si="281"/>
        <v/>
      </c>
      <c r="L1254" s="206" t="str">
        <f t="shared" si="282"/>
        <v/>
      </c>
      <c r="M1254" s="206" t="str">
        <f t="shared" si="283"/>
        <v/>
      </c>
      <c r="N1254" s="206" t="str">
        <f t="shared" si="284"/>
        <v/>
      </c>
      <c r="O1254" s="206" t="str">
        <f t="shared" si="285"/>
        <v/>
      </c>
      <c r="P1254" s="84" t="str">
        <f t="shared" si="286"/>
        <v/>
      </c>
      <c r="Q1254" s="205"/>
      <c r="R1254" s="70" t="str">
        <f>IF(S1254="IN",'BOM_Phan II'!$Y$3,"")</f>
        <v/>
      </c>
      <c r="S1254" s="69" t="str">
        <f t="shared" si="278"/>
        <v/>
      </c>
      <c r="T1254">
        <f t="shared" si="287"/>
        <v>3</v>
      </c>
      <c r="U1254" t="str">
        <f t="shared" si="275"/>
        <v>KIỆN 14</v>
      </c>
      <c r="V1254" t="str">
        <f t="shared" si="288"/>
        <v/>
      </c>
      <c r="W1254" s="266"/>
      <c r="X1254" s="266"/>
      <c r="Y1254" s="266" t="str">
        <f t="shared" si="280"/>
        <v/>
      </c>
      <c r="Z1254" s="266"/>
    </row>
    <row r="1255" spans="1:26" ht="27" hidden="1" customHeight="1">
      <c r="A1255" s="70" t="str">
        <f t="shared" si="276"/>
        <v/>
      </c>
      <c r="B1255" s="70" t="str">
        <f t="shared" si="277"/>
        <v/>
      </c>
      <c r="C1255" s="204" t="str" cm="1">
        <f t="array" ref="C1255">IF(D1255="","",
    IF(AND(ISNUMBER(D1255), D1255=INT(D1255)),
        $V$6 &amp; " " &amp; (IFERROR(MAX($Y$12:$Y1254), 0) + 1),
        IF(ISNUMBER(SEARCH(".", D1255)), "", INDEX($C$12:$C1255, MATCH(2, 1/($C$12:$C1255 &lt;&gt; ""))))
    )
)</f>
        <v/>
      </c>
      <c r="D1255" s="206"/>
      <c r="E1255" s="206" t="str">
        <f>IF(AA1255 = "", "",
    IF(ISNUMBER(SEARCH("Kiện", C1255)),
       " GÓI " &amp; COUNTIF($C$13:C1255, "*Kiện*") &amp; "/" &amp; COUNTIF($C$13:$C$1000, "*Kiện*") &amp; " " &amp; AA1255,
       AA1255)
)</f>
        <v/>
      </c>
      <c r="F1255" s="206"/>
      <c r="G1255" s="206"/>
      <c r="H1255" s="206"/>
      <c r="I1255" s="206"/>
      <c r="J1255" s="206" t="str">
        <f t="shared" si="279"/>
        <v/>
      </c>
      <c r="K1255" s="206" t="str">
        <f t="shared" si="281"/>
        <v/>
      </c>
      <c r="L1255" s="206" t="str">
        <f t="shared" si="282"/>
        <v/>
      </c>
      <c r="M1255" s="206" t="str">
        <f t="shared" si="283"/>
        <v/>
      </c>
      <c r="N1255" s="206" t="str">
        <f t="shared" si="284"/>
        <v/>
      </c>
      <c r="O1255" s="206" t="str">
        <f t="shared" si="285"/>
        <v/>
      </c>
      <c r="P1255" s="84" t="str">
        <f t="shared" si="286"/>
        <v/>
      </c>
      <c r="Q1255" s="205"/>
      <c r="R1255" s="70" t="str">
        <f>IF(S1255="IN",'BOM_Phan II'!$Y$3,"")</f>
        <v/>
      </c>
      <c r="S1255" s="69" t="str">
        <f t="shared" si="278"/>
        <v/>
      </c>
      <c r="T1255">
        <f t="shared" si="287"/>
        <v>3</v>
      </c>
      <c r="U1255" t="str">
        <f t="shared" si="275"/>
        <v>KIỆN 14</v>
      </c>
      <c r="V1255" t="str">
        <f t="shared" si="288"/>
        <v/>
      </c>
      <c r="W1255" s="266"/>
      <c r="X1255" s="266"/>
      <c r="Y1255" s="266" t="str">
        <f t="shared" si="280"/>
        <v/>
      </c>
      <c r="Z1255" s="266"/>
    </row>
    <row r="1256" spans="1:26" ht="27" hidden="1" customHeight="1">
      <c r="A1256" s="70" t="str">
        <f t="shared" si="276"/>
        <v/>
      </c>
      <c r="B1256" s="70" t="str">
        <f t="shared" si="277"/>
        <v/>
      </c>
      <c r="C1256" s="204" t="str" cm="1">
        <f t="array" ref="C1256">IF(D1256="","",
    IF(AND(ISNUMBER(D1256), D1256=INT(D1256)),
        $V$6 &amp; " " &amp; (IFERROR(MAX($Y$12:$Y1255), 0) + 1),
        IF(ISNUMBER(SEARCH(".", D1256)), "", INDEX($C$12:$C1256, MATCH(2, 1/($C$12:$C1256 &lt;&gt; ""))))
    )
)</f>
        <v/>
      </c>
      <c r="D1256" s="206"/>
      <c r="E1256" s="206" t="str">
        <f>IF(AA1256 = "", "",
    IF(ISNUMBER(SEARCH("Kiện", C1256)),
       " GÓI " &amp; COUNTIF($C$13:C1256, "*Kiện*") &amp; "/" &amp; COUNTIF($C$13:$C$1000, "*Kiện*") &amp; " " &amp; AA1256,
       AA1256)
)</f>
        <v/>
      </c>
      <c r="F1256" s="206"/>
      <c r="G1256" s="206"/>
      <c r="H1256" s="206"/>
      <c r="I1256" s="206"/>
      <c r="J1256" s="206" t="str">
        <f t="shared" si="279"/>
        <v/>
      </c>
      <c r="K1256" s="206" t="str">
        <f t="shared" si="281"/>
        <v/>
      </c>
      <c r="L1256" s="206" t="str">
        <f t="shared" si="282"/>
        <v/>
      </c>
      <c r="M1256" s="206" t="str">
        <f t="shared" si="283"/>
        <v/>
      </c>
      <c r="N1256" s="206" t="str">
        <f t="shared" si="284"/>
        <v/>
      </c>
      <c r="O1256" s="206" t="str">
        <f t="shared" si="285"/>
        <v/>
      </c>
      <c r="P1256" s="84" t="str">
        <f t="shared" si="286"/>
        <v/>
      </c>
      <c r="Q1256" s="205"/>
      <c r="R1256" s="70" t="str">
        <f>IF(S1256="IN",'BOM_Phan II'!$Y$3,"")</f>
        <v/>
      </c>
      <c r="S1256" s="69" t="str">
        <f t="shared" si="278"/>
        <v/>
      </c>
      <c r="T1256">
        <f t="shared" si="287"/>
        <v>3</v>
      </c>
      <c r="U1256" t="str">
        <f t="shared" si="275"/>
        <v>KIỆN 14</v>
      </c>
      <c r="V1256" t="str">
        <f t="shared" si="288"/>
        <v/>
      </c>
      <c r="W1256" s="266"/>
      <c r="X1256" s="266"/>
      <c r="Y1256" s="266" t="str">
        <f t="shared" si="280"/>
        <v/>
      </c>
      <c r="Z1256" s="266"/>
    </row>
    <row r="1257" spans="1:26" ht="27" hidden="1" customHeight="1">
      <c r="A1257" s="70" t="str">
        <f t="shared" si="276"/>
        <v/>
      </c>
      <c r="B1257" s="70" t="str">
        <f t="shared" si="277"/>
        <v/>
      </c>
      <c r="C1257" s="204" t="str" cm="1">
        <f t="array" ref="C1257">IF(D1257="","",
    IF(AND(ISNUMBER(D1257), D1257=INT(D1257)),
        $V$6 &amp; " " &amp; (IFERROR(MAX($Y$12:$Y1256), 0) + 1),
        IF(ISNUMBER(SEARCH(".", D1257)), "", INDEX($C$12:$C1257, MATCH(2, 1/($C$12:$C1257 &lt;&gt; ""))))
    )
)</f>
        <v/>
      </c>
      <c r="D1257" s="206"/>
      <c r="E1257" s="206" t="str">
        <f>IF(AA1257 = "", "",
    IF(ISNUMBER(SEARCH("Kiện", C1257)),
       " GÓI " &amp; COUNTIF($C$13:C1257, "*Kiện*") &amp; "/" &amp; COUNTIF($C$13:$C$1000, "*Kiện*") &amp; " " &amp; AA1257,
       AA1257)
)</f>
        <v/>
      </c>
      <c r="F1257" s="206"/>
      <c r="G1257" s="206"/>
      <c r="H1257" s="206"/>
      <c r="I1257" s="206"/>
      <c r="J1257" s="206" t="str">
        <f t="shared" si="279"/>
        <v/>
      </c>
      <c r="K1257" s="206" t="str">
        <f t="shared" si="281"/>
        <v/>
      </c>
      <c r="L1257" s="206" t="str">
        <f t="shared" si="282"/>
        <v/>
      </c>
      <c r="M1257" s="206" t="str">
        <f t="shared" si="283"/>
        <v/>
      </c>
      <c r="N1257" s="206" t="str">
        <f t="shared" si="284"/>
        <v/>
      </c>
      <c r="O1257" s="206" t="str">
        <f t="shared" si="285"/>
        <v/>
      </c>
      <c r="P1257" s="84" t="str">
        <f t="shared" si="286"/>
        <v/>
      </c>
      <c r="Q1257" s="205"/>
      <c r="R1257" s="70" t="str">
        <f>IF(S1257="IN",'BOM_Phan II'!$Y$3,"")</f>
        <v/>
      </c>
      <c r="S1257" s="69" t="str">
        <f t="shared" si="278"/>
        <v/>
      </c>
      <c r="T1257">
        <f t="shared" si="287"/>
        <v>3</v>
      </c>
      <c r="U1257" t="str">
        <f t="shared" si="275"/>
        <v>KIỆN 14</v>
      </c>
      <c r="V1257" t="str">
        <f t="shared" si="288"/>
        <v/>
      </c>
      <c r="W1257" s="266"/>
      <c r="X1257" s="266"/>
      <c r="Y1257" s="266" t="str">
        <f t="shared" si="280"/>
        <v/>
      </c>
      <c r="Z1257" s="266"/>
    </row>
    <row r="1258" spans="1:26" ht="27" hidden="1" customHeight="1">
      <c r="A1258" s="70" t="str">
        <f t="shared" si="276"/>
        <v/>
      </c>
      <c r="B1258" s="70" t="str">
        <f t="shared" si="277"/>
        <v/>
      </c>
      <c r="C1258" s="204" t="str" cm="1">
        <f t="array" ref="C1258">IF(D1258="","",
    IF(AND(ISNUMBER(D1258), D1258=INT(D1258)),
        $V$6 &amp; " " &amp; (IFERROR(MAX($Y$12:$Y1257), 0) + 1),
        IF(ISNUMBER(SEARCH(".", D1258)), "", INDEX($C$12:$C1258, MATCH(2, 1/($C$12:$C1258 &lt;&gt; ""))))
    )
)</f>
        <v/>
      </c>
      <c r="D1258" s="206"/>
      <c r="E1258" s="206" t="str">
        <f>IF(AA1258 = "", "",
    IF(ISNUMBER(SEARCH("Kiện", C1258)),
       " GÓI " &amp; COUNTIF($C$13:C1258, "*Kiện*") &amp; "/" &amp; COUNTIF($C$13:$C$1000, "*Kiện*") &amp; " " &amp; AA1258,
       AA1258)
)</f>
        <v/>
      </c>
      <c r="F1258" s="206"/>
      <c r="G1258" s="206"/>
      <c r="H1258" s="206"/>
      <c r="I1258" s="206"/>
      <c r="J1258" s="206" t="str">
        <f t="shared" si="279"/>
        <v/>
      </c>
      <c r="K1258" s="206" t="str">
        <f t="shared" si="281"/>
        <v/>
      </c>
      <c r="L1258" s="206" t="str">
        <f t="shared" si="282"/>
        <v/>
      </c>
      <c r="M1258" s="206" t="str">
        <f t="shared" si="283"/>
        <v/>
      </c>
      <c r="N1258" s="206" t="str">
        <f t="shared" si="284"/>
        <v/>
      </c>
      <c r="O1258" s="206" t="str">
        <f t="shared" si="285"/>
        <v/>
      </c>
      <c r="P1258" s="84" t="str">
        <f t="shared" si="286"/>
        <v/>
      </c>
      <c r="Q1258" s="205"/>
      <c r="R1258" s="70" t="str">
        <f>IF(S1258="IN",'BOM_Phan II'!$Y$3,"")</f>
        <v/>
      </c>
      <c r="S1258" s="69" t="str">
        <f t="shared" si="278"/>
        <v/>
      </c>
      <c r="T1258">
        <f t="shared" si="287"/>
        <v>3</v>
      </c>
      <c r="U1258" t="str">
        <f t="shared" si="275"/>
        <v>KIỆN 14</v>
      </c>
      <c r="V1258" t="str">
        <f t="shared" si="288"/>
        <v/>
      </c>
      <c r="W1258" s="266"/>
      <c r="X1258" s="266"/>
      <c r="Y1258" s="266" t="str">
        <f t="shared" si="280"/>
        <v/>
      </c>
      <c r="Z1258" s="266"/>
    </row>
    <row r="1259" spans="1:26" ht="27" hidden="1" customHeight="1">
      <c r="A1259" s="70" t="str">
        <f t="shared" si="276"/>
        <v/>
      </c>
      <c r="B1259" s="70" t="str">
        <f t="shared" si="277"/>
        <v/>
      </c>
      <c r="C1259" s="204" t="str" cm="1">
        <f t="array" ref="C1259">IF(D1259="","",
    IF(AND(ISNUMBER(D1259), D1259=INT(D1259)),
        $V$6 &amp; " " &amp; (IFERROR(MAX($Y$12:$Y1258), 0) + 1),
        IF(ISNUMBER(SEARCH(".", D1259)), "", INDEX($C$12:$C1259, MATCH(2, 1/($C$12:$C1259 &lt;&gt; ""))))
    )
)</f>
        <v/>
      </c>
      <c r="D1259" s="206"/>
      <c r="E1259" s="206" t="str">
        <f>IF(AA1259 = "", "",
    IF(ISNUMBER(SEARCH("Kiện", C1259)),
       " GÓI " &amp; COUNTIF($C$13:C1259, "*Kiện*") &amp; "/" &amp; COUNTIF($C$13:$C$1000, "*Kiện*") &amp; " " &amp; AA1259,
       AA1259)
)</f>
        <v/>
      </c>
      <c r="F1259" s="206"/>
      <c r="G1259" s="206"/>
      <c r="H1259" s="206"/>
      <c r="I1259" s="206"/>
      <c r="J1259" s="206" t="str">
        <f t="shared" si="279"/>
        <v/>
      </c>
      <c r="K1259" s="206" t="str">
        <f t="shared" si="281"/>
        <v/>
      </c>
      <c r="L1259" s="206" t="str">
        <f t="shared" si="282"/>
        <v/>
      </c>
      <c r="M1259" s="206" t="str">
        <f t="shared" si="283"/>
        <v/>
      </c>
      <c r="N1259" s="206" t="str">
        <f t="shared" si="284"/>
        <v/>
      </c>
      <c r="O1259" s="206" t="str">
        <f t="shared" si="285"/>
        <v/>
      </c>
      <c r="P1259" s="84" t="str">
        <f t="shared" si="286"/>
        <v/>
      </c>
      <c r="Q1259" s="205"/>
      <c r="R1259" s="70" t="str">
        <f>IF(S1259="IN",'BOM_Phan II'!$Y$3,"")</f>
        <v/>
      </c>
      <c r="S1259" s="69" t="str">
        <f t="shared" si="278"/>
        <v/>
      </c>
      <c r="T1259">
        <f t="shared" si="287"/>
        <v>3</v>
      </c>
      <c r="U1259" t="str">
        <f t="shared" si="275"/>
        <v>KIỆN 14</v>
      </c>
      <c r="V1259" t="str">
        <f t="shared" si="288"/>
        <v/>
      </c>
      <c r="W1259" s="266"/>
      <c r="X1259" s="266"/>
      <c r="Y1259" s="266" t="str">
        <f t="shared" si="280"/>
        <v/>
      </c>
      <c r="Z1259" s="266"/>
    </row>
    <row r="1260" spans="1:26" ht="27" hidden="1" customHeight="1">
      <c r="A1260" s="70" t="str">
        <f t="shared" si="276"/>
        <v/>
      </c>
      <c r="B1260" s="70" t="str">
        <f t="shared" si="277"/>
        <v/>
      </c>
      <c r="C1260" s="204" t="str" cm="1">
        <f t="array" ref="C1260">IF(D1260="","",
    IF(AND(ISNUMBER(D1260), D1260=INT(D1260)),
        $V$6 &amp; " " &amp; (IFERROR(MAX($Y$12:$Y1259), 0) + 1),
        IF(ISNUMBER(SEARCH(".", D1260)), "", INDEX($C$12:$C1260, MATCH(2, 1/($C$12:$C1260 &lt;&gt; ""))))
    )
)</f>
        <v/>
      </c>
      <c r="D1260" s="206"/>
      <c r="E1260" s="206" t="str">
        <f>IF(AA1260 = "", "",
    IF(ISNUMBER(SEARCH("Kiện", C1260)),
       " GÓI " &amp; COUNTIF($C$13:C1260, "*Kiện*") &amp; "/" &amp; COUNTIF($C$13:$C$1000, "*Kiện*") &amp; " " &amp; AA1260,
       AA1260)
)</f>
        <v/>
      </c>
      <c r="F1260" s="206"/>
      <c r="G1260" s="206"/>
      <c r="H1260" s="206"/>
      <c r="I1260" s="206"/>
      <c r="J1260" s="206" t="str">
        <f t="shared" si="279"/>
        <v/>
      </c>
      <c r="K1260" s="206" t="str">
        <f t="shared" si="281"/>
        <v/>
      </c>
      <c r="L1260" s="206" t="str">
        <f t="shared" si="282"/>
        <v/>
      </c>
      <c r="M1260" s="206" t="str">
        <f t="shared" si="283"/>
        <v/>
      </c>
      <c r="N1260" s="206" t="str">
        <f t="shared" si="284"/>
        <v/>
      </c>
      <c r="O1260" s="206" t="str">
        <f t="shared" si="285"/>
        <v/>
      </c>
      <c r="P1260" s="84" t="str">
        <f t="shared" si="286"/>
        <v/>
      </c>
      <c r="Q1260" s="205"/>
      <c r="R1260" s="70" t="str">
        <f>IF(S1260="IN",'BOM_Phan II'!$Y$3,"")</f>
        <v/>
      </c>
      <c r="S1260" s="69" t="str">
        <f t="shared" si="278"/>
        <v/>
      </c>
      <c r="T1260">
        <f t="shared" si="287"/>
        <v>3</v>
      </c>
      <c r="U1260" t="str">
        <f t="shared" si="275"/>
        <v>KIỆN 14</v>
      </c>
      <c r="V1260" t="str">
        <f t="shared" si="288"/>
        <v/>
      </c>
      <c r="W1260" s="266"/>
      <c r="X1260" s="266"/>
      <c r="Y1260" s="266" t="str">
        <f t="shared" si="280"/>
        <v/>
      </c>
      <c r="Z1260" s="266"/>
    </row>
    <row r="1261" spans="1:26" ht="27" hidden="1" customHeight="1">
      <c r="A1261" s="70" t="str">
        <f t="shared" si="276"/>
        <v/>
      </c>
      <c r="B1261" s="70" t="str">
        <f t="shared" si="277"/>
        <v/>
      </c>
      <c r="C1261" s="204" t="str" cm="1">
        <f t="array" ref="C1261">IF(D1261="","",
    IF(AND(ISNUMBER(D1261), D1261=INT(D1261)),
        $V$6 &amp; " " &amp; (IFERROR(MAX($Y$12:$Y1260), 0) + 1),
        IF(ISNUMBER(SEARCH(".", D1261)), "", INDEX($C$12:$C1261, MATCH(2, 1/($C$12:$C1261 &lt;&gt; ""))))
    )
)</f>
        <v/>
      </c>
      <c r="D1261" s="206"/>
      <c r="E1261" s="206" t="str">
        <f>IF(AA1261 = "", "",
    IF(ISNUMBER(SEARCH("Kiện", C1261)),
       " GÓI " &amp; COUNTIF($C$13:C1261, "*Kiện*") &amp; "/" &amp; COUNTIF($C$13:$C$1000, "*Kiện*") &amp; " " &amp; AA1261,
       AA1261)
)</f>
        <v/>
      </c>
      <c r="F1261" s="206"/>
      <c r="G1261" s="206"/>
      <c r="H1261" s="206"/>
      <c r="I1261" s="206"/>
      <c r="J1261" s="206" t="str">
        <f t="shared" si="279"/>
        <v/>
      </c>
      <c r="K1261" s="206" t="str">
        <f t="shared" si="281"/>
        <v/>
      </c>
      <c r="L1261" s="206" t="str">
        <f t="shared" si="282"/>
        <v/>
      </c>
      <c r="M1261" s="206" t="str">
        <f t="shared" si="283"/>
        <v/>
      </c>
      <c r="N1261" s="206" t="str">
        <f t="shared" si="284"/>
        <v/>
      </c>
      <c r="O1261" s="206" t="str">
        <f t="shared" si="285"/>
        <v/>
      </c>
      <c r="P1261" s="84" t="str">
        <f t="shared" si="286"/>
        <v/>
      </c>
      <c r="Q1261" s="205"/>
      <c r="R1261" s="70" t="str">
        <f>IF(S1261="IN",'BOM_Phan II'!$Y$3,"")</f>
        <v/>
      </c>
      <c r="S1261" s="69" t="str">
        <f t="shared" si="278"/>
        <v/>
      </c>
      <c r="T1261">
        <f t="shared" si="287"/>
        <v>3</v>
      </c>
      <c r="U1261" t="str">
        <f t="shared" si="275"/>
        <v>KIỆN 14</v>
      </c>
      <c r="V1261" t="str">
        <f t="shared" si="288"/>
        <v/>
      </c>
      <c r="W1261" s="266"/>
      <c r="X1261" s="266"/>
      <c r="Y1261" s="266" t="str">
        <f t="shared" si="280"/>
        <v/>
      </c>
      <c r="Z1261" s="266"/>
    </row>
    <row r="1262" spans="1:26" ht="27" hidden="1" customHeight="1">
      <c r="A1262" s="70" t="str">
        <f t="shared" si="276"/>
        <v/>
      </c>
      <c r="B1262" s="70" t="str">
        <f t="shared" si="277"/>
        <v/>
      </c>
      <c r="C1262" s="204" t="str" cm="1">
        <f t="array" ref="C1262">IF(D1262="","",
    IF(AND(ISNUMBER(D1262), D1262=INT(D1262)),
        $V$6 &amp; " " &amp; (IFERROR(MAX($Y$12:$Y1261), 0) + 1),
        IF(ISNUMBER(SEARCH(".", D1262)), "", INDEX($C$12:$C1262, MATCH(2, 1/($C$12:$C1262 &lt;&gt; ""))))
    )
)</f>
        <v/>
      </c>
      <c r="D1262" s="206"/>
      <c r="E1262" s="206" t="str">
        <f>IF(AA1262 = "", "",
    IF(ISNUMBER(SEARCH("Kiện", C1262)),
       " GÓI " &amp; COUNTIF($C$13:C1262, "*Kiện*") &amp; "/" &amp; COUNTIF($C$13:$C$1000, "*Kiện*") &amp; " " &amp; AA1262,
       AA1262)
)</f>
        <v/>
      </c>
      <c r="F1262" s="206"/>
      <c r="G1262" s="206"/>
      <c r="H1262" s="206"/>
      <c r="I1262" s="206"/>
      <c r="J1262" s="206" t="str">
        <f t="shared" si="279"/>
        <v/>
      </c>
      <c r="K1262" s="206" t="str">
        <f t="shared" si="281"/>
        <v/>
      </c>
      <c r="L1262" s="206" t="str">
        <f t="shared" si="282"/>
        <v/>
      </c>
      <c r="M1262" s="206" t="str">
        <f t="shared" si="283"/>
        <v/>
      </c>
      <c r="N1262" s="206" t="str">
        <f t="shared" si="284"/>
        <v/>
      </c>
      <c r="O1262" s="206" t="str">
        <f t="shared" si="285"/>
        <v/>
      </c>
      <c r="P1262" s="84" t="str">
        <f t="shared" si="286"/>
        <v/>
      </c>
      <c r="Q1262" s="205"/>
      <c r="R1262" s="70" t="str">
        <f>IF(S1262="IN",'BOM_Phan II'!$Y$3,"")</f>
        <v/>
      </c>
      <c r="S1262" s="69" t="str">
        <f t="shared" si="278"/>
        <v/>
      </c>
      <c r="T1262">
        <f t="shared" si="287"/>
        <v>3</v>
      </c>
      <c r="U1262" t="str">
        <f t="shared" si="275"/>
        <v>KIỆN 14</v>
      </c>
      <c r="V1262" t="str">
        <f t="shared" si="288"/>
        <v/>
      </c>
      <c r="W1262" s="266"/>
      <c r="X1262" s="266"/>
      <c r="Y1262" s="266" t="str">
        <f t="shared" si="280"/>
        <v/>
      </c>
      <c r="Z1262" s="266"/>
    </row>
    <row r="1263" spans="1:26" ht="27" hidden="1" customHeight="1">
      <c r="A1263" s="70" t="str">
        <f t="shared" si="276"/>
        <v/>
      </c>
      <c r="B1263" s="70" t="str">
        <f t="shared" si="277"/>
        <v/>
      </c>
      <c r="C1263" s="204" t="str" cm="1">
        <f t="array" ref="C1263">IF(D1263="","",
    IF(AND(ISNUMBER(D1263), D1263=INT(D1263)),
        $V$6 &amp; " " &amp; (IFERROR(MAX($Y$12:$Y1262), 0) + 1),
        IF(ISNUMBER(SEARCH(".", D1263)), "", INDEX($C$12:$C1263, MATCH(2, 1/($C$12:$C1263 &lt;&gt; ""))))
    )
)</f>
        <v/>
      </c>
      <c r="D1263" s="206"/>
      <c r="E1263" s="206" t="str">
        <f>IF(AA1263 = "", "",
    IF(ISNUMBER(SEARCH("Kiện", C1263)),
       " GÓI " &amp; COUNTIF($C$13:C1263, "*Kiện*") &amp; "/" &amp; COUNTIF($C$13:$C$1000, "*Kiện*") &amp; " " &amp; AA1263,
       AA1263)
)</f>
        <v/>
      </c>
      <c r="F1263" s="206"/>
      <c r="G1263" s="206"/>
      <c r="H1263" s="206"/>
      <c r="I1263" s="206"/>
      <c r="J1263" s="206" t="str">
        <f t="shared" si="279"/>
        <v/>
      </c>
      <c r="K1263" s="206" t="str">
        <f t="shared" si="281"/>
        <v/>
      </c>
      <c r="L1263" s="206" t="str">
        <f t="shared" si="282"/>
        <v/>
      </c>
      <c r="M1263" s="206" t="str">
        <f t="shared" si="283"/>
        <v/>
      </c>
      <c r="N1263" s="206" t="str">
        <f t="shared" si="284"/>
        <v/>
      </c>
      <c r="O1263" s="206" t="str">
        <f t="shared" si="285"/>
        <v/>
      </c>
      <c r="P1263" s="84" t="str">
        <f t="shared" si="286"/>
        <v/>
      </c>
      <c r="Q1263" s="205"/>
      <c r="R1263" s="70" t="str">
        <f>IF(S1263="IN",'BOM_Phan II'!$Y$3,"")</f>
        <v/>
      </c>
      <c r="S1263" s="69" t="str">
        <f t="shared" si="278"/>
        <v/>
      </c>
      <c r="T1263">
        <f t="shared" si="287"/>
        <v>3</v>
      </c>
      <c r="U1263" t="str">
        <f t="shared" si="275"/>
        <v>KIỆN 14</v>
      </c>
      <c r="V1263" t="str">
        <f t="shared" si="288"/>
        <v/>
      </c>
      <c r="W1263" s="266"/>
      <c r="X1263" s="266"/>
      <c r="Y1263" s="266" t="str">
        <f t="shared" si="280"/>
        <v/>
      </c>
      <c r="Z1263" s="266"/>
    </row>
    <row r="1264" spans="1:26" ht="27" hidden="1" customHeight="1">
      <c r="A1264" s="70" t="str">
        <f t="shared" si="276"/>
        <v/>
      </c>
      <c r="B1264" s="70" t="str">
        <f t="shared" si="277"/>
        <v/>
      </c>
      <c r="C1264" s="204" t="str" cm="1">
        <f t="array" ref="C1264">IF(D1264="","",
    IF(AND(ISNUMBER(D1264), D1264=INT(D1264)),
        $V$6 &amp; " " &amp; (IFERROR(MAX($Y$12:$Y1263), 0) + 1),
        IF(ISNUMBER(SEARCH(".", D1264)), "", INDEX($C$12:$C1264, MATCH(2, 1/($C$12:$C1264 &lt;&gt; ""))))
    )
)</f>
        <v/>
      </c>
      <c r="D1264" s="206"/>
      <c r="E1264" s="206" t="str">
        <f>IF(AA1264 = "", "",
    IF(ISNUMBER(SEARCH("Kiện", C1264)),
       " GÓI " &amp; COUNTIF($C$13:C1264, "*Kiện*") &amp; "/" &amp; COUNTIF($C$13:$C$1000, "*Kiện*") &amp; " " &amp; AA1264,
       AA1264)
)</f>
        <v/>
      </c>
      <c r="F1264" s="206"/>
      <c r="G1264" s="206"/>
      <c r="H1264" s="206"/>
      <c r="I1264" s="206"/>
      <c r="J1264" s="206" t="str">
        <f t="shared" si="279"/>
        <v/>
      </c>
      <c r="K1264" s="206" t="str">
        <f t="shared" si="281"/>
        <v/>
      </c>
      <c r="L1264" s="206" t="str">
        <f t="shared" si="282"/>
        <v/>
      </c>
      <c r="M1264" s="206" t="str">
        <f t="shared" si="283"/>
        <v/>
      </c>
      <c r="N1264" s="206" t="str">
        <f t="shared" si="284"/>
        <v/>
      </c>
      <c r="O1264" s="206" t="str">
        <f t="shared" si="285"/>
        <v/>
      </c>
      <c r="P1264" s="84" t="str">
        <f t="shared" si="286"/>
        <v/>
      </c>
      <c r="Q1264" s="205"/>
      <c r="R1264" s="70" t="str">
        <f>IF(S1264="IN",'BOM_Phan II'!$Y$3,"")</f>
        <v/>
      </c>
      <c r="S1264" s="69" t="str">
        <f t="shared" si="278"/>
        <v/>
      </c>
      <c r="T1264">
        <f t="shared" si="287"/>
        <v>3</v>
      </c>
      <c r="U1264" t="str">
        <f t="shared" si="275"/>
        <v>KIỆN 14</v>
      </c>
      <c r="V1264" t="str">
        <f t="shared" si="288"/>
        <v/>
      </c>
      <c r="W1264" s="266"/>
      <c r="X1264" s="266"/>
      <c r="Y1264" s="266" t="str">
        <f t="shared" si="280"/>
        <v/>
      </c>
      <c r="Z1264" s="266"/>
    </row>
    <row r="1265" spans="1:26" ht="27" hidden="1" customHeight="1">
      <c r="A1265" s="70" t="str">
        <f t="shared" si="276"/>
        <v/>
      </c>
      <c r="B1265" s="70" t="str">
        <f t="shared" si="277"/>
        <v/>
      </c>
      <c r="C1265" s="204" t="str" cm="1">
        <f t="array" ref="C1265">IF(D1265="","",
    IF(AND(ISNUMBER(D1265), D1265=INT(D1265)),
        $V$6 &amp; " " &amp; (IFERROR(MAX($Y$12:$Y1264), 0) + 1),
        IF(ISNUMBER(SEARCH(".", D1265)), "", INDEX($C$12:$C1265, MATCH(2, 1/($C$12:$C1265 &lt;&gt; ""))))
    )
)</f>
        <v/>
      </c>
      <c r="D1265" s="206"/>
      <c r="E1265" s="206" t="str">
        <f>IF(AA1265 = "", "",
    IF(ISNUMBER(SEARCH("Kiện", C1265)),
       " GÓI " &amp; COUNTIF($C$13:C1265, "*Kiện*") &amp; "/" &amp; COUNTIF($C$13:$C$1000, "*Kiện*") &amp; " " &amp; AA1265,
       AA1265)
)</f>
        <v/>
      </c>
      <c r="F1265" s="206"/>
      <c r="G1265" s="206"/>
      <c r="H1265" s="206"/>
      <c r="I1265" s="206"/>
      <c r="J1265" s="206" t="str">
        <f t="shared" si="279"/>
        <v/>
      </c>
      <c r="K1265" s="206" t="str">
        <f t="shared" si="281"/>
        <v/>
      </c>
      <c r="L1265" s="206" t="str">
        <f t="shared" si="282"/>
        <v/>
      </c>
      <c r="M1265" s="206" t="str">
        <f t="shared" si="283"/>
        <v/>
      </c>
      <c r="N1265" s="206" t="str">
        <f t="shared" si="284"/>
        <v/>
      </c>
      <c r="O1265" s="206" t="str">
        <f t="shared" si="285"/>
        <v/>
      </c>
      <c r="P1265" s="84" t="str">
        <f t="shared" si="286"/>
        <v/>
      </c>
      <c r="Q1265" s="205"/>
      <c r="R1265" s="70" t="str">
        <f>IF(S1265="IN",'BOM_Phan II'!$Y$3,"")</f>
        <v/>
      </c>
      <c r="S1265" s="69" t="str">
        <f t="shared" si="278"/>
        <v/>
      </c>
      <c r="T1265">
        <f t="shared" si="287"/>
        <v>3</v>
      </c>
      <c r="U1265" t="str">
        <f t="shared" si="275"/>
        <v>KIỆN 14</v>
      </c>
      <c r="V1265" t="str">
        <f t="shared" si="288"/>
        <v/>
      </c>
      <c r="W1265" s="266"/>
      <c r="X1265" s="266"/>
      <c r="Y1265" s="266" t="str">
        <f t="shared" si="280"/>
        <v/>
      </c>
      <c r="Z1265" s="266"/>
    </row>
    <row r="1266" spans="1:26" ht="27" hidden="1" customHeight="1">
      <c r="A1266" s="70" t="str">
        <f t="shared" si="276"/>
        <v/>
      </c>
      <c r="B1266" s="70" t="str">
        <f t="shared" si="277"/>
        <v/>
      </c>
      <c r="C1266" s="204" t="str" cm="1">
        <f t="array" ref="C1266">IF(D1266="","",
    IF(AND(ISNUMBER(D1266), D1266=INT(D1266)),
        $V$6 &amp; " " &amp; (IFERROR(MAX($Y$12:$Y1265), 0) + 1),
        IF(ISNUMBER(SEARCH(".", D1266)), "", INDEX($C$12:$C1266, MATCH(2, 1/($C$12:$C1266 &lt;&gt; ""))))
    )
)</f>
        <v/>
      </c>
      <c r="D1266" s="206"/>
      <c r="E1266" s="206" t="str">
        <f>IF(AA1266 = "", "",
    IF(ISNUMBER(SEARCH("Kiện", C1266)),
       " GÓI " &amp; COUNTIF($C$13:C1266, "*Kiện*") &amp; "/" &amp; COUNTIF($C$13:$C$1000, "*Kiện*") &amp; " " &amp; AA1266,
       AA1266)
)</f>
        <v/>
      </c>
      <c r="F1266" s="206"/>
      <c r="G1266" s="206"/>
      <c r="H1266" s="206"/>
      <c r="I1266" s="206"/>
      <c r="J1266" s="206" t="str">
        <f t="shared" si="279"/>
        <v/>
      </c>
      <c r="K1266" s="206" t="str">
        <f t="shared" si="281"/>
        <v/>
      </c>
      <c r="L1266" s="206" t="str">
        <f t="shared" si="282"/>
        <v/>
      </c>
      <c r="M1266" s="206" t="str">
        <f t="shared" si="283"/>
        <v/>
      </c>
      <c r="N1266" s="206" t="str">
        <f t="shared" si="284"/>
        <v/>
      </c>
      <c r="O1266" s="206" t="str">
        <f t="shared" si="285"/>
        <v/>
      </c>
      <c r="P1266" s="84" t="str">
        <f t="shared" si="286"/>
        <v/>
      </c>
      <c r="Q1266" s="205"/>
      <c r="R1266" s="70" t="str">
        <f>IF(S1266="IN",'BOM_Phan II'!$Y$3,"")</f>
        <v/>
      </c>
      <c r="S1266" s="69" t="str">
        <f t="shared" si="278"/>
        <v/>
      </c>
      <c r="T1266">
        <f t="shared" si="287"/>
        <v>3</v>
      </c>
      <c r="U1266" t="str">
        <f t="shared" si="275"/>
        <v>KIỆN 14</v>
      </c>
      <c r="V1266" t="str">
        <f t="shared" si="288"/>
        <v/>
      </c>
      <c r="W1266" s="266"/>
      <c r="X1266" s="266"/>
      <c r="Y1266" s="266" t="str">
        <f t="shared" si="280"/>
        <v/>
      </c>
      <c r="Z1266" s="266"/>
    </row>
    <row r="1267" spans="1:26" ht="27" hidden="1" customHeight="1">
      <c r="A1267" s="70" t="str">
        <f t="shared" si="276"/>
        <v/>
      </c>
      <c r="B1267" s="70" t="str">
        <f t="shared" si="277"/>
        <v/>
      </c>
      <c r="C1267" s="204" t="str" cm="1">
        <f t="array" ref="C1267">IF(D1267="","",
    IF(AND(ISNUMBER(D1267), D1267=INT(D1267)),
        $V$6 &amp; " " &amp; (IFERROR(MAX($Y$12:$Y1266), 0) + 1),
        IF(ISNUMBER(SEARCH(".", D1267)), "", INDEX($C$12:$C1267, MATCH(2, 1/($C$12:$C1267 &lt;&gt; ""))))
    )
)</f>
        <v/>
      </c>
      <c r="D1267" s="206"/>
      <c r="E1267" s="206" t="str">
        <f>IF(AA1267 = "", "",
    IF(ISNUMBER(SEARCH("Kiện", C1267)),
       " GÓI " &amp; COUNTIF($C$13:C1267, "*Kiện*") &amp; "/" &amp; COUNTIF($C$13:$C$1000, "*Kiện*") &amp; " " &amp; AA1267,
       AA1267)
)</f>
        <v/>
      </c>
      <c r="F1267" s="206"/>
      <c r="G1267" s="206"/>
      <c r="H1267" s="206"/>
      <c r="I1267" s="206"/>
      <c r="J1267" s="206" t="str">
        <f t="shared" si="279"/>
        <v/>
      </c>
      <c r="K1267" s="206" t="str">
        <f t="shared" si="281"/>
        <v/>
      </c>
      <c r="L1267" s="206" t="str">
        <f t="shared" si="282"/>
        <v/>
      </c>
      <c r="M1267" s="206" t="str">
        <f t="shared" si="283"/>
        <v/>
      </c>
      <c r="N1267" s="206" t="str">
        <f t="shared" si="284"/>
        <v/>
      </c>
      <c r="O1267" s="206" t="str">
        <f t="shared" si="285"/>
        <v/>
      </c>
      <c r="P1267" s="84" t="str">
        <f t="shared" si="286"/>
        <v/>
      </c>
      <c r="Q1267" s="205"/>
      <c r="R1267" s="70" t="str">
        <f>IF(S1267="IN",'BOM_Phan II'!$Y$3,"")</f>
        <v/>
      </c>
      <c r="S1267" s="69" t="str">
        <f t="shared" si="278"/>
        <v/>
      </c>
      <c r="T1267">
        <f t="shared" si="287"/>
        <v>3</v>
      </c>
      <c r="U1267" t="str">
        <f t="shared" si="275"/>
        <v>KIỆN 14</v>
      </c>
      <c r="V1267" t="str">
        <f t="shared" si="288"/>
        <v/>
      </c>
      <c r="W1267" s="266"/>
      <c r="X1267" s="266"/>
      <c r="Y1267" s="266" t="str">
        <f t="shared" si="280"/>
        <v/>
      </c>
      <c r="Z1267" s="266"/>
    </row>
    <row r="1268" spans="1:26" ht="27" hidden="1" customHeight="1">
      <c r="A1268" s="70" t="str">
        <f t="shared" si="276"/>
        <v/>
      </c>
      <c r="B1268" s="70" t="str">
        <f t="shared" si="277"/>
        <v/>
      </c>
      <c r="C1268" s="204" t="str" cm="1">
        <f t="array" ref="C1268">IF(D1268="","",
    IF(AND(ISNUMBER(D1268), D1268=INT(D1268)),
        $V$6 &amp; " " &amp; (IFERROR(MAX($Y$12:$Y1267), 0) + 1),
        IF(ISNUMBER(SEARCH(".", D1268)), "", INDEX($C$12:$C1268, MATCH(2, 1/($C$12:$C1268 &lt;&gt; ""))))
    )
)</f>
        <v/>
      </c>
      <c r="D1268" s="206"/>
      <c r="E1268" s="206" t="str">
        <f>IF(AA1268 = "", "",
    IF(ISNUMBER(SEARCH("Kiện", C1268)),
       " GÓI " &amp; COUNTIF($C$13:C1268, "*Kiện*") &amp; "/" &amp; COUNTIF($C$13:$C$1000, "*Kiện*") &amp; " " &amp; AA1268,
       AA1268)
)</f>
        <v/>
      </c>
      <c r="F1268" s="206"/>
      <c r="G1268" s="206"/>
      <c r="H1268" s="206"/>
      <c r="I1268" s="206"/>
      <c r="J1268" s="206" t="str">
        <f t="shared" si="279"/>
        <v/>
      </c>
      <c r="K1268" s="206" t="str">
        <f t="shared" si="281"/>
        <v/>
      </c>
      <c r="L1268" s="206" t="str">
        <f t="shared" si="282"/>
        <v/>
      </c>
      <c r="M1268" s="206" t="str">
        <f t="shared" si="283"/>
        <v/>
      </c>
      <c r="N1268" s="206" t="str">
        <f t="shared" si="284"/>
        <v/>
      </c>
      <c r="O1268" s="206" t="str">
        <f t="shared" si="285"/>
        <v/>
      </c>
      <c r="P1268" s="84" t="str">
        <f t="shared" si="286"/>
        <v/>
      </c>
      <c r="Q1268" s="205"/>
      <c r="R1268" s="70" t="str">
        <f>IF(S1268="IN",'BOM_Phan II'!$Y$3,"")</f>
        <v/>
      </c>
      <c r="S1268" s="69" t="str">
        <f t="shared" si="278"/>
        <v/>
      </c>
      <c r="T1268">
        <f t="shared" si="287"/>
        <v>3</v>
      </c>
      <c r="U1268" t="str">
        <f t="shared" si="275"/>
        <v>KIỆN 14</v>
      </c>
      <c r="V1268" t="str">
        <f t="shared" si="288"/>
        <v/>
      </c>
      <c r="W1268" s="266"/>
      <c r="X1268" s="266"/>
      <c r="Y1268" s="266" t="str">
        <f t="shared" si="280"/>
        <v/>
      </c>
      <c r="Z1268" s="266"/>
    </row>
    <row r="1269" spans="1:26" ht="27" hidden="1" customHeight="1">
      <c r="A1269" s="70" t="str">
        <f t="shared" si="276"/>
        <v/>
      </c>
      <c r="B1269" s="70" t="str">
        <f t="shared" si="277"/>
        <v/>
      </c>
      <c r="C1269" s="204" t="str" cm="1">
        <f t="array" ref="C1269">IF(D1269="","",
    IF(AND(ISNUMBER(D1269), D1269=INT(D1269)),
        $V$6 &amp; " " &amp; (IFERROR(MAX($Y$12:$Y1268), 0) + 1),
        IF(ISNUMBER(SEARCH(".", D1269)), "", INDEX($C$12:$C1269, MATCH(2, 1/($C$12:$C1269 &lt;&gt; ""))))
    )
)</f>
        <v/>
      </c>
      <c r="D1269" s="206"/>
      <c r="E1269" s="206" t="str">
        <f>IF(AA1269 = "", "",
    IF(ISNUMBER(SEARCH("Kiện", C1269)),
       " GÓI " &amp; COUNTIF($C$13:C1269, "*Kiện*") &amp; "/" &amp; COUNTIF($C$13:$C$1000, "*Kiện*") &amp; " " &amp; AA1269,
       AA1269)
)</f>
        <v/>
      </c>
      <c r="F1269" s="206"/>
      <c r="G1269" s="206"/>
      <c r="H1269" s="206"/>
      <c r="I1269" s="206"/>
      <c r="J1269" s="206" t="str">
        <f t="shared" si="279"/>
        <v/>
      </c>
      <c r="K1269" s="206" t="str">
        <f t="shared" si="281"/>
        <v/>
      </c>
      <c r="L1269" s="206" t="str">
        <f t="shared" si="282"/>
        <v/>
      </c>
      <c r="M1269" s="206" t="str">
        <f t="shared" si="283"/>
        <v/>
      </c>
      <c r="N1269" s="206" t="str">
        <f t="shared" si="284"/>
        <v/>
      </c>
      <c r="O1269" s="206" t="str">
        <f t="shared" si="285"/>
        <v/>
      </c>
      <c r="P1269" s="84" t="str">
        <f t="shared" si="286"/>
        <v/>
      </c>
      <c r="Q1269" s="205"/>
      <c r="R1269" s="70" t="str">
        <f>IF(S1269="IN",'BOM_Phan II'!$Y$3,"")</f>
        <v/>
      </c>
      <c r="S1269" s="69" t="str">
        <f t="shared" si="278"/>
        <v/>
      </c>
      <c r="T1269">
        <f t="shared" si="287"/>
        <v>3</v>
      </c>
      <c r="U1269" t="str">
        <f t="shared" si="275"/>
        <v>KIỆN 14</v>
      </c>
      <c r="V1269" t="str">
        <f t="shared" si="288"/>
        <v/>
      </c>
      <c r="W1269" s="266"/>
      <c r="X1269" s="266"/>
      <c r="Y1269" s="266" t="str">
        <f t="shared" si="280"/>
        <v/>
      </c>
      <c r="Z1269" s="266"/>
    </row>
    <row r="1270" spans="1:26" ht="27" hidden="1" customHeight="1">
      <c r="A1270" s="70" t="str">
        <f t="shared" si="276"/>
        <v/>
      </c>
      <c r="B1270" s="70" t="str">
        <f t="shared" si="277"/>
        <v/>
      </c>
      <c r="C1270" s="204" t="str" cm="1">
        <f t="array" ref="C1270">IF(D1270="","",
    IF(AND(ISNUMBER(D1270), D1270=INT(D1270)),
        $V$6 &amp; " " &amp; (IFERROR(MAX($Y$12:$Y1269), 0) + 1),
        IF(ISNUMBER(SEARCH(".", D1270)), "", INDEX($C$12:$C1270, MATCH(2, 1/($C$12:$C1270 &lt;&gt; ""))))
    )
)</f>
        <v/>
      </c>
      <c r="D1270" s="206"/>
      <c r="E1270" s="206" t="str">
        <f>IF(AA1270 = "", "",
    IF(ISNUMBER(SEARCH("Kiện", C1270)),
       " GÓI " &amp; COUNTIF($C$13:C1270, "*Kiện*") &amp; "/" &amp; COUNTIF($C$13:$C$1000, "*Kiện*") &amp; " " &amp; AA1270,
       AA1270)
)</f>
        <v/>
      </c>
      <c r="F1270" s="206"/>
      <c r="G1270" s="206"/>
      <c r="H1270" s="206"/>
      <c r="I1270" s="206"/>
      <c r="J1270" s="206" t="str">
        <f t="shared" si="279"/>
        <v/>
      </c>
      <c r="K1270" s="206" t="str">
        <f t="shared" si="281"/>
        <v/>
      </c>
      <c r="L1270" s="206" t="str">
        <f t="shared" si="282"/>
        <v/>
      </c>
      <c r="M1270" s="206" t="str">
        <f t="shared" si="283"/>
        <v/>
      </c>
      <c r="N1270" s="206" t="str">
        <f t="shared" si="284"/>
        <v/>
      </c>
      <c r="O1270" s="206" t="str">
        <f t="shared" si="285"/>
        <v/>
      </c>
      <c r="P1270" s="84" t="str">
        <f t="shared" si="286"/>
        <v/>
      </c>
      <c r="Q1270" s="205"/>
      <c r="R1270" s="70" t="str">
        <f>IF(S1270="IN",'BOM_Phan II'!$Y$3,"")</f>
        <v/>
      </c>
      <c r="S1270" s="69" t="str">
        <f t="shared" si="278"/>
        <v/>
      </c>
      <c r="T1270">
        <f t="shared" si="287"/>
        <v>3</v>
      </c>
      <c r="U1270" t="str">
        <f t="shared" si="275"/>
        <v>KIỆN 14</v>
      </c>
      <c r="V1270" t="str">
        <f t="shared" si="288"/>
        <v/>
      </c>
      <c r="W1270" s="266"/>
      <c r="X1270" s="266"/>
      <c r="Y1270" s="266" t="str">
        <f t="shared" si="280"/>
        <v/>
      </c>
      <c r="Z1270" s="266"/>
    </row>
    <row r="1271" spans="1:26" ht="27" hidden="1" customHeight="1">
      <c r="A1271" s="70" t="str">
        <f t="shared" si="276"/>
        <v/>
      </c>
      <c r="B1271" s="70" t="str">
        <f t="shared" si="277"/>
        <v/>
      </c>
      <c r="C1271" s="204" t="str" cm="1">
        <f t="array" ref="C1271">IF(D1271="","",
    IF(AND(ISNUMBER(D1271), D1271=INT(D1271)),
        $V$6 &amp; " " &amp; (IFERROR(MAX($Y$12:$Y1270), 0) + 1),
        IF(ISNUMBER(SEARCH(".", D1271)), "", INDEX($C$12:$C1271, MATCH(2, 1/($C$12:$C1271 &lt;&gt; ""))))
    )
)</f>
        <v/>
      </c>
      <c r="D1271" s="206"/>
      <c r="E1271" s="206" t="str">
        <f>IF(AA1271 = "", "",
    IF(ISNUMBER(SEARCH("Kiện", C1271)),
       " GÓI " &amp; COUNTIF($C$13:C1271, "*Kiện*") &amp; "/" &amp; COUNTIF($C$13:$C$1000, "*Kiện*") &amp; " " &amp; AA1271,
       AA1271)
)</f>
        <v/>
      </c>
      <c r="F1271" s="206"/>
      <c r="G1271" s="206"/>
      <c r="H1271" s="206"/>
      <c r="I1271" s="206"/>
      <c r="J1271" s="206" t="str">
        <f t="shared" si="279"/>
        <v/>
      </c>
      <c r="K1271" s="206" t="str">
        <f t="shared" si="281"/>
        <v/>
      </c>
      <c r="L1271" s="206" t="str">
        <f t="shared" si="282"/>
        <v/>
      </c>
      <c r="M1271" s="206" t="str">
        <f t="shared" si="283"/>
        <v/>
      </c>
      <c r="N1271" s="206" t="str">
        <f t="shared" si="284"/>
        <v/>
      </c>
      <c r="O1271" s="206" t="str">
        <f t="shared" si="285"/>
        <v/>
      </c>
      <c r="P1271" s="84" t="str">
        <f t="shared" si="286"/>
        <v/>
      </c>
      <c r="Q1271" s="205"/>
      <c r="R1271" s="70" t="str">
        <f>IF(S1271="IN",'BOM_Phan II'!$Y$3,"")</f>
        <v/>
      </c>
      <c r="S1271" s="69" t="str">
        <f t="shared" si="278"/>
        <v/>
      </c>
      <c r="T1271">
        <f t="shared" si="287"/>
        <v>3</v>
      </c>
      <c r="U1271" t="str">
        <f t="shared" si="275"/>
        <v>KIỆN 14</v>
      </c>
      <c r="V1271" t="str">
        <f t="shared" si="288"/>
        <v/>
      </c>
      <c r="W1271" s="266"/>
      <c r="X1271" s="266"/>
      <c r="Y1271" s="266" t="str">
        <f t="shared" si="280"/>
        <v/>
      </c>
      <c r="Z1271" s="266"/>
    </row>
    <row r="1272" spans="1:26" ht="27" hidden="1" customHeight="1">
      <c r="A1272" s="70" t="str">
        <f t="shared" si="276"/>
        <v/>
      </c>
      <c r="B1272" s="70" t="str">
        <f t="shared" si="277"/>
        <v/>
      </c>
      <c r="C1272" s="204" t="str" cm="1">
        <f t="array" ref="C1272">IF(D1272="","",
    IF(AND(ISNUMBER(D1272), D1272=INT(D1272)),
        $V$6 &amp; " " &amp; (IFERROR(MAX($Y$12:$Y1271), 0) + 1),
        IF(ISNUMBER(SEARCH(".", D1272)), "", INDEX($C$12:$C1272, MATCH(2, 1/($C$12:$C1272 &lt;&gt; ""))))
    )
)</f>
        <v/>
      </c>
      <c r="D1272" s="206"/>
      <c r="E1272" s="206" t="str">
        <f>IF(AA1272 = "", "",
    IF(ISNUMBER(SEARCH("Kiện", C1272)),
       " GÓI " &amp; COUNTIF($C$13:C1272, "*Kiện*") &amp; "/" &amp; COUNTIF($C$13:$C$1000, "*Kiện*") &amp; " " &amp; AA1272,
       AA1272)
)</f>
        <v/>
      </c>
      <c r="F1272" s="206"/>
      <c r="G1272" s="206"/>
      <c r="H1272" s="206"/>
      <c r="I1272" s="206"/>
      <c r="J1272" s="206" t="str">
        <f t="shared" si="279"/>
        <v/>
      </c>
      <c r="K1272" s="206" t="str">
        <f t="shared" si="281"/>
        <v/>
      </c>
      <c r="L1272" s="206" t="str">
        <f t="shared" si="282"/>
        <v/>
      </c>
      <c r="M1272" s="206" t="str">
        <f t="shared" si="283"/>
        <v/>
      </c>
      <c r="N1272" s="206" t="str">
        <f t="shared" si="284"/>
        <v/>
      </c>
      <c r="O1272" s="206" t="str">
        <f t="shared" si="285"/>
        <v/>
      </c>
      <c r="P1272" s="84" t="str">
        <f t="shared" si="286"/>
        <v/>
      </c>
      <c r="Q1272" s="205"/>
      <c r="R1272" s="70" t="str">
        <f>IF(S1272="IN",'BOM_Phan II'!$Y$3,"")</f>
        <v/>
      </c>
      <c r="S1272" s="69" t="str">
        <f t="shared" si="278"/>
        <v/>
      </c>
      <c r="T1272">
        <f t="shared" si="287"/>
        <v>3</v>
      </c>
      <c r="U1272" t="str">
        <f t="shared" si="275"/>
        <v>KIỆN 14</v>
      </c>
      <c r="V1272" t="str">
        <f t="shared" si="288"/>
        <v/>
      </c>
      <c r="W1272" s="266"/>
      <c r="X1272" s="266"/>
      <c r="Y1272" s="266" t="str">
        <f t="shared" si="280"/>
        <v/>
      </c>
      <c r="Z1272" s="266"/>
    </row>
    <row r="1273" spans="1:26" ht="27" hidden="1" customHeight="1">
      <c r="A1273" s="70" t="str">
        <f t="shared" si="276"/>
        <v/>
      </c>
      <c r="B1273" s="70" t="str">
        <f t="shared" si="277"/>
        <v/>
      </c>
      <c r="C1273" s="204" t="str" cm="1">
        <f t="array" ref="C1273">IF(D1273="","",
    IF(AND(ISNUMBER(D1273), D1273=INT(D1273)),
        $V$6 &amp; " " &amp; (IFERROR(MAX($Y$12:$Y1272), 0) + 1),
        IF(ISNUMBER(SEARCH(".", D1273)), "", INDEX($C$12:$C1273, MATCH(2, 1/($C$12:$C1273 &lt;&gt; ""))))
    )
)</f>
        <v/>
      </c>
      <c r="D1273" s="206"/>
      <c r="E1273" s="206" t="str">
        <f>IF(AA1273 = "", "",
    IF(ISNUMBER(SEARCH("Kiện", C1273)),
       " GÓI " &amp; COUNTIF($C$13:C1273, "*Kiện*") &amp; "/" &amp; COUNTIF($C$13:$C$1000, "*Kiện*") &amp; " " &amp; AA1273,
       AA1273)
)</f>
        <v/>
      </c>
      <c r="F1273" s="206"/>
      <c r="G1273" s="206"/>
      <c r="H1273" s="206"/>
      <c r="I1273" s="206"/>
      <c r="J1273" s="206" t="str">
        <f t="shared" si="279"/>
        <v/>
      </c>
      <c r="K1273" s="206" t="str">
        <f t="shared" si="281"/>
        <v/>
      </c>
      <c r="L1273" s="206" t="str">
        <f t="shared" si="282"/>
        <v/>
      </c>
      <c r="M1273" s="206" t="str">
        <f t="shared" si="283"/>
        <v/>
      </c>
      <c r="N1273" s="206" t="str">
        <f t="shared" si="284"/>
        <v/>
      </c>
      <c r="O1273" s="206" t="str">
        <f t="shared" si="285"/>
        <v/>
      </c>
      <c r="P1273" s="84" t="str">
        <f t="shared" si="286"/>
        <v/>
      </c>
      <c r="Q1273" s="205"/>
      <c r="R1273" s="70" t="str">
        <f>IF(S1273="IN",'BOM_Phan II'!$Y$3,"")</f>
        <v/>
      </c>
      <c r="S1273" s="69" t="str">
        <f t="shared" si="278"/>
        <v/>
      </c>
      <c r="T1273">
        <f t="shared" si="287"/>
        <v>3</v>
      </c>
      <c r="U1273" t="str">
        <f t="shared" si="275"/>
        <v>KIỆN 14</v>
      </c>
      <c r="V1273" t="str">
        <f t="shared" si="288"/>
        <v/>
      </c>
      <c r="W1273" s="266"/>
      <c r="X1273" s="266"/>
      <c r="Y1273" s="266" t="str">
        <f t="shared" si="280"/>
        <v/>
      </c>
      <c r="Z1273" s="266"/>
    </row>
    <row r="1274" spans="1:26" ht="27" hidden="1" customHeight="1">
      <c r="A1274" s="70" t="str">
        <f t="shared" si="276"/>
        <v/>
      </c>
      <c r="B1274" s="70" t="str">
        <f t="shared" si="277"/>
        <v/>
      </c>
      <c r="C1274" s="204" t="str" cm="1">
        <f t="array" ref="C1274">IF(D1274="","",
    IF(AND(ISNUMBER(D1274), D1274=INT(D1274)),
        $V$6 &amp; " " &amp; (IFERROR(MAX($Y$12:$Y1273), 0) + 1),
        IF(ISNUMBER(SEARCH(".", D1274)), "", INDEX($C$12:$C1274, MATCH(2, 1/($C$12:$C1274 &lt;&gt; ""))))
    )
)</f>
        <v/>
      </c>
      <c r="D1274" s="206"/>
      <c r="E1274" s="206" t="str">
        <f>IF(AA1274 = "", "",
    IF(ISNUMBER(SEARCH("Kiện", C1274)),
       " GÓI " &amp; COUNTIF($C$13:C1274, "*Kiện*") &amp; "/" &amp; COUNTIF($C$13:$C$1000, "*Kiện*") &amp; " " &amp; AA1274,
       AA1274)
)</f>
        <v/>
      </c>
      <c r="F1274" s="206"/>
      <c r="G1274" s="206"/>
      <c r="H1274" s="206"/>
      <c r="I1274" s="206"/>
      <c r="J1274" s="206" t="str">
        <f t="shared" si="279"/>
        <v/>
      </c>
      <c r="K1274" s="206" t="str">
        <f t="shared" si="281"/>
        <v/>
      </c>
      <c r="L1274" s="206" t="str">
        <f t="shared" si="282"/>
        <v/>
      </c>
      <c r="M1274" s="206" t="str">
        <f t="shared" si="283"/>
        <v/>
      </c>
      <c r="N1274" s="206" t="str">
        <f t="shared" si="284"/>
        <v/>
      </c>
      <c r="O1274" s="206" t="str">
        <f t="shared" si="285"/>
        <v/>
      </c>
      <c r="P1274" s="84" t="str">
        <f t="shared" si="286"/>
        <v/>
      </c>
      <c r="Q1274" s="205"/>
      <c r="R1274" s="70" t="str">
        <f>IF(S1274="IN",'BOM_Phan II'!$Y$3,"")</f>
        <v/>
      </c>
      <c r="S1274" s="69" t="str">
        <f t="shared" si="278"/>
        <v/>
      </c>
      <c r="T1274">
        <f t="shared" si="287"/>
        <v>3</v>
      </c>
      <c r="U1274" t="str">
        <f t="shared" si="275"/>
        <v>KIỆN 14</v>
      </c>
      <c r="V1274" t="str">
        <f t="shared" si="288"/>
        <v/>
      </c>
      <c r="W1274" s="266"/>
      <c r="X1274" s="266"/>
      <c r="Y1274" s="266" t="str">
        <f t="shared" si="280"/>
        <v/>
      </c>
      <c r="Z1274" s="266"/>
    </row>
    <row r="1275" spans="1:26" ht="27" hidden="1" customHeight="1">
      <c r="A1275" s="70" t="str">
        <f t="shared" si="276"/>
        <v/>
      </c>
      <c r="B1275" s="70" t="str">
        <f t="shared" si="277"/>
        <v/>
      </c>
      <c r="C1275" s="204" t="str" cm="1">
        <f t="array" ref="C1275">IF(D1275="","",
    IF(AND(ISNUMBER(D1275), D1275=INT(D1275)),
        $V$6 &amp; " " &amp; (IFERROR(MAX($Y$12:$Y1274), 0) + 1),
        IF(ISNUMBER(SEARCH(".", D1275)), "", INDEX($C$12:$C1275, MATCH(2, 1/($C$12:$C1275 &lt;&gt; ""))))
    )
)</f>
        <v/>
      </c>
      <c r="D1275" s="206"/>
      <c r="E1275" s="206" t="str">
        <f>IF(AA1275 = "", "",
    IF(ISNUMBER(SEARCH("Kiện", C1275)),
       " GÓI " &amp; COUNTIF($C$13:C1275, "*Kiện*") &amp; "/" &amp; COUNTIF($C$13:$C$1000, "*Kiện*") &amp; " " &amp; AA1275,
       AA1275)
)</f>
        <v/>
      </c>
      <c r="F1275" s="206"/>
      <c r="G1275" s="206"/>
      <c r="H1275" s="206"/>
      <c r="I1275" s="206"/>
      <c r="J1275" s="206" t="str">
        <f t="shared" si="279"/>
        <v/>
      </c>
      <c r="K1275" s="206" t="str">
        <f t="shared" si="281"/>
        <v/>
      </c>
      <c r="L1275" s="206" t="str">
        <f t="shared" si="282"/>
        <v/>
      </c>
      <c r="M1275" s="206" t="str">
        <f t="shared" si="283"/>
        <v/>
      </c>
      <c r="N1275" s="206" t="str">
        <f t="shared" si="284"/>
        <v/>
      </c>
      <c r="O1275" s="206" t="str">
        <f t="shared" si="285"/>
        <v/>
      </c>
      <c r="P1275" s="84" t="str">
        <f t="shared" si="286"/>
        <v/>
      </c>
      <c r="Q1275" s="205"/>
      <c r="R1275" s="70" t="str">
        <f>IF(S1275="IN",'BOM_Phan II'!$Y$3,"")</f>
        <v/>
      </c>
      <c r="S1275" s="69" t="str">
        <f t="shared" si="278"/>
        <v/>
      </c>
      <c r="T1275">
        <f t="shared" si="287"/>
        <v>3</v>
      </c>
      <c r="U1275" t="str">
        <f t="shared" si="275"/>
        <v>KIỆN 14</v>
      </c>
      <c r="V1275" t="str">
        <f t="shared" si="288"/>
        <v/>
      </c>
      <c r="W1275" s="266"/>
      <c r="X1275" s="266"/>
      <c r="Y1275" s="266" t="str">
        <f t="shared" si="280"/>
        <v/>
      </c>
      <c r="Z1275" s="266"/>
    </row>
    <row r="1276" spans="1:26" ht="27" hidden="1" customHeight="1">
      <c r="A1276" s="70" t="str">
        <f t="shared" si="276"/>
        <v/>
      </c>
      <c r="B1276" s="70" t="str">
        <f t="shared" si="277"/>
        <v/>
      </c>
      <c r="C1276" s="204" t="str" cm="1">
        <f t="array" ref="C1276">IF(D1276="","",
    IF(AND(ISNUMBER(D1276), D1276=INT(D1276)),
        $V$6 &amp; " " &amp; (IFERROR(MAX($Y$12:$Y1275), 0) + 1),
        IF(ISNUMBER(SEARCH(".", D1276)), "", INDEX($C$12:$C1276, MATCH(2, 1/($C$12:$C1276 &lt;&gt; ""))))
    )
)</f>
        <v/>
      </c>
      <c r="D1276" s="206"/>
      <c r="E1276" s="206" t="str">
        <f>IF(AA1276 = "", "",
    IF(ISNUMBER(SEARCH("Kiện", C1276)),
       " GÓI " &amp; COUNTIF($C$13:C1276, "*Kiện*") &amp; "/" &amp; COUNTIF($C$13:$C$1000, "*Kiện*") &amp; " " &amp; AA1276,
       AA1276)
)</f>
        <v/>
      </c>
      <c r="F1276" s="206"/>
      <c r="G1276" s="206"/>
      <c r="H1276" s="206"/>
      <c r="I1276" s="206"/>
      <c r="J1276" s="206" t="str">
        <f t="shared" si="279"/>
        <v/>
      </c>
      <c r="K1276" s="206" t="str">
        <f t="shared" si="281"/>
        <v/>
      </c>
      <c r="L1276" s="206" t="str">
        <f t="shared" si="282"/>
        <v/>
      </c>
      <c r="M1276" s="206" t="str">
        <f t="shared" si="283"/>
        <v/>
      </c>
      <c r="N1276" s="206" t="str">
        <f t="shared" si="284"/>
        <v/>
      </c>
      <c r="O1276" s="206" t="str">
        <f t="shared" si="285"/>
        <v/>
      </c>
      <c r="P1276" s="84" t="str">
        <f t="shared" si="286"/>
        <v/>
      </c>
      <c r="Q1276" s="205"/>
      <c r="R1276" s="70" t="str">
        <f>IF(S1276="IN",'BOM_Phan II'!$Y$3,"")</f>
        <v/>
      </c>
      <c r="S1276" s="69" t="str">
        <f t="shared" si="278"/>
        <v/>
      </c>
      <c r="T1276">
        <f t="shared" si="287"/>
        <v>3</v>
      </c>
      <c r="U1276" t="str">
        <f t="shared" si="275"/>
        <v>KIỆN 14</v>
      </c>
      <c r="V1276" t="str">
        <f t="shared" si="288"/>
        <v/>
      </c>
      <c r="W1276" s="266"/>
      <c r="X1276" s="266"/>
      <c r="Y1276" s="266" t="str">
        <f t="shared" si="280"/>
        <v/>
      </c>
      <c r="Z1276" s="266"/>
    </row>
    <row r="1277" spans="1:26" ht="27" hidden="1" customHeight="1">
      <c r="A1277" s="70" t="str">
        <f t="shared" si="276"/>
        <v/>
      </c>
      <c r="B1277" s="70" t="str">
        <f t="shared" si="277"/>
        <v/>
      </c>
      <c r="C1277" s="204" t="str" cm="1">
        <f t="array" ref="C1277">IF(D1277="","",
    IF(AND(ISNUMBER(D1277), D1277=INT(D1277)),
        $V$6 &amp; " " &amp; (IFERROR(MAX($Y$12:$Y1276), 0) + 1),
        IF(ISNUMBER(SEARCH(".", D1277)), "", INDEX($C$12:$C1277, MATCH(2, 1/($C$12:$C1277 &lt;&gt; ""))))
    )
)</f>
        <v/>
      </c>
      <c r="D1277" s="206"/>
      <c r="E1277" s="206" t="str">
        <f>IF(AA1277 = "", "",
    IF(ISNUMBER(SEARCH("Kiện", C1277)),
       " GÓI " &amp; COUNTIF($C$13:C1277, "*Kiện*") &amp; "/" &amp; COUNTIF($C$13:$C$1000, "*Kiện*") &amp; " " &amp; AA1277,
       AA1277)
)</f>
        <v/>
      </c>
      <c r="F1277" s="206"/>
      <c r="G1277" s="206"/>
      <c r="H1277" s="206"/>
      <c r="I1277" s="206"/>
      <c r="J1277" s="206" t="str">
        <f t="shared" si="279"/>
        <v/>
      </c>
      <c r="K1277" s="206" t="str">
        <f t="shared" si="281"/>
        <v/>
      </c>
      <c r="L1277" s="206" t="str">
        <f t="shared" si="282"/>
        <v/>
      </c>
      <c r="M1277" s="206" t="str">
        <f t="shared" si="283"/>
        <v/>
      </c>
      <c r="N1277" s="206" t="str">
        <f t="shared" si="284"/>
        <v/>
      </c>
      <c r="O1277" s="206" t="str">
        <f t="shared" si="285"/>
        <v/>
      </c>
      <c r="P1277" s="84" t="str">
        <f t="shared" si="286"/>
        <v/>
      </c>
      <c r="Q1277" s="205"/>
      <c r="R1277" s="70" t="str">
        <f>IF(S1277="IN",'BOM_Phan II'!$Y$3,"")</f>
        <v/>
      </c>
      <c r="S1277" s="69" t="str">
        <f t="shared" si="278"/>
        <v/>
      </c>
      <c r="T1277">
        <f t="shared" si="287"/>
        <v>3</v>
      </c>
      <c r="U1277" t="str">
        <f t="shared" si="275"/>
        <v>KIỆN 14</v>
      </c>
      <c r="V1277" t="str">
        <f t="shared" si="288"/>
        <v/>
      </c>
      <c r="W1277" s="266"/>
      <c r="X1277" s="266"/>
      <c r="Y1277" s="266" t="str">
        <f t="shared" si="280"/>
        <v/>
      </c>
      <c r="Z1277" s="266"/>
    </row>
    <row r="1278" spans="1:26" ht="27" hidden="1" customHeight="1">
      <c r="A1278" s="70" t="str">
        <f t="shared" si="276"/>
        <v/>
      </c>
      <c r="B1278" s="70" t="str">
        <f t="shared" si="277"/>
        <v/>
      </c>
      <c r="C1278" s="204" t="str" cm="1">
        <f t="array" ref="C1278">IF(D1278="","",
    IF(AND(ISNUMBER(D1278), D1278=INT(D1278)),
        $V$6 &amp; " " &amp; (IFERROR(MAX($Y$12:$Y1277), 0) + 1),
        IF(ISNUMBER(SEARCH(".", D1278)), "", INDEX($C$12:$C1278, MATCH(2, 1/($C$12:$C1278 &lt;&gt; ""))))
    )
)</f>
        <v/>
      </c>
      <c r="D1278" s="206"/>
      <c r="E1278" s="206" t="str">
        <f>IF(AA1278 = "", "",
    IF(ISNUMBER(SEARCH("Kiện", C1278)),
       " GÓI " &amp; COUNTIF($C$13:C1278, "*Kiện*") &amp; "/" &amp; COUNTIF($C$13:$C$1000, "*Kiện*") &amp; " " &amp; AA1278,
       AA1278)
)</f>
        <v/>
      </c>
      <c r="F1278" s="206"/>
      <c r="G1278" s="206"/>
      <c r="H1278" s="206"/>
      <c r="I1278" s="206"/>
      <c r="J1278" s="206" t="str">
        <f t="shared" si="279"/>
        <v/>
      </c>
      <c r="K1278" s="206" t="str">
        <f t="shared" si="281"/>
        <v/>
      </c>
      <c r="L1278" s="206" t="str">
        <f t="shared" si="282"/>
        <v/>
      </c>
      <c r="M1278" s="206" t="str">
        <f t="shared" si="283"/>
        <v/>
      </c>
      <c r="N1278" s="206" t="str">
        <f t="shared" si="284"/>
        <v/>
      </c>
      <c r="O1278" s="206" t="str">
        <f t="shared" si="285"/>
        <v/>
      </c>
      <c r="P1278" s="84" t="str">
        <f t="shared" si="286"/>
        <v/>
      </c>
      <c r="Q1278" s="205"/>
      <c r="R1278" s="70" t="str">
        <f>IF(S1278="IN",'BOM_Phan II'!$Y$3,"")</f>
        <v/>
      </c>
      <c r="S1278" s="69" t="str">
        <f t="shared" si="278"/>
        <v/>
      </c>
      <c r="T1278">
        <f t="shared" si="287"/>
        <v>3</v>
      </c>
      <c r="U1278" t="str">
        <f t="shared" si="275"/>
        <v>KIỆN 14</v>
      </c>
      <c r="V1278" t="str">
        <f t="shared" si="288"/>
        <v/>
      </c>
      <c r="W1278" s="266"/>
      <c r="X1278" s="266"/>
      <c r="Y1278" s="266" t="str">
        <f t="shared" si="280"/>
        <v/>
      </c>
      <c r="Z1278" s="266"/>
    </row>
    <row r="1279" spans="1:26" ht="27" hidden="1" customHeight="1">
      <c r="A1279" s="70" t="str">
        <f t="shared" si="276"/>
        <v/>
      </c>
      <c r="B1279" s="70" t="str">
        <f t="shared" si="277"/>
        <v/>
      </c>
      <c r="C1279" s="204" t="str" cm="1">
        <f t="array" ref="C1279">IF(D1279="","",
    IF(AND(ISNUMBER(D1279), D1279=INT(D1279)),
        $V$6 &amp; " " &amp; (IFERROR(MAX($Y$12:$Y1278), 0) + 1),
        IF(ISNUMBER(SEARCH(".", D1279)), "", INDEX($C$12:$C1279, MATCH(2, 1/($C$12:$C1279 &lt;&gt; ""))))
    )
)</f>
        <v/>
      </c>
      <c r="D1279" s="206"/>
      <c r="E1279" s="206" t="str">
        <f>IF(AA1279 = "", "",
    IF(ISNUMBER(SEARCH("Kiện", C1279)),
       " GÓI " &amp; COUNTIF($C$13:C1279, "*Kiện*") &amp; "/" &amp; COUNTIF($C$13:$C$1000, "*Kiện*") &amp; " " &amp; AA1279,
       AA1279)
)</f>
        <v/>
      </c>
      <c r="F1279" s="206"/>
      <c r="G1279" s="206"/>
      <c r="H1279" s="206"/>
      <c r="I1279" s="206"/>
      <c r="J1279" s="206" t="str">
        <f t="shared" si="279"/>
        <v/>
      </c>
      <c r="K1279" s="206" t="str">
        <f t="shared" si="281"/>
        <v/>
      </c>
      <c r="L1279" s="206" t="str">
        <f t="shared" si="282"/>
        <v/>
      </c>
      <c r="M1279" s="206" t="str">
        <f t="shared" si="283"/>
        <v/>
      </c>
      <c r="N1279" s="206" t="str">
        <f t="shared" si="284"/>
        <v/>
      </c>
      <c r="O1279" s="206" t="str">
        <f t="shared" si="285"/>
        <v/>
      </c>
      <c r="P1279" s="84" t="str">
        <f t="shared" si="286"/>
        <v/>
      </c>
      <c r="Q1279" s="205"/>
      <c r="R1279" s="70" t="str">
        <f>IF(S1279="IN",'BOM_Phan II'!$Y$3,"")</f>
        <v/>
      </c>
      <c r="S1279" s="69" t="str">
        <f t="shared" si="278"/>
        <v/>
      </c>
      <c r="T1279">
        <f t="shared" si="287"/>
        <v>3</v>
      </c>
      <c r="U1279" t="str">
        <f t="shared" si="275"/>
        <v>KIỆN 14</v>
      </c>
      <c r="V1279" t="str">
        <f t="shared" si="288"/>
        <v/>
      </c>
      <c r="W1279" s="266"/>
      <c r="X1279" s="266"/>
      <c r="Y1279" s="266" t="str">
        <f t="shared" si="280"/>
        <v/>
      </c>
      <c r="Z1279" s="266"/>
    </row>
    <row r="1280" spans="1:26" ht="27" hidden="1" customHeight="1">
      <c r="A1280" s="70" t="str">
        <f t="shared" si="276"/>
        <v/>
      </c>
      <c r="B1280" s="70" t="str">
        <f t="shared" si="277"/>
        <v/>
      </c>
      <c r="C1280" s="204" t="str" cm="1">
        <f t="array" ref="C1280">IF(D1280="","",
    IF(AND(ISNUMBER(D1280), D1280=INT(D1280)),
        $V$6 &amp; " " &amp; (IFERROR(MAX($Y$12:$Y1279), 0) + 1),
        IF(ISNUMBER(SEARCH(".", D1280)), "", INDEX($C$12:$C1280, MATCH(2, 1/($C$12:$C1280 &lt;&gt; ""))))
    )
)</f>
        <v/>
      </c>
      <c r="D1280" s="206"/>
      <c r="E1280" s="206" t="str">
        <f>IF(AA1280 = "", "",
    IF(ISNUMBER(SEARCH("Kiện", C1280)),
       " GÓI " &amp; COUNTIF($C$13:C1280, "*Kiện*") &amp; "/" &amp; COUNTIF($C$13:$C$1000, "*Kiện*") &amp; " " &amp; AA1280,
       AA1280)
)</f>
        <v/>
      </c>
      <c r="F1280" s="206"/>
      <c r="G1280" s="206"/>
      <c r="H1280" s="206"/>
      <c r="I1280" s="206"/>
      <c r="J1280" s="206" t="str">
        <f t="shared" si="279"/>
        <v/>
      </c>
      <c r="K1280" s="206" t="str">
        <f t="shared" si="281"/>
        <v/>
      </c>
      <c r="L1280" s="206" t="str">
        <f t="shared" si="282"/>
        <v/>
      </c>
      <c r="M1280" s="206" t="str">
        <f t="shared" si="283"/>
        <v/>
      </c>
      <c r="N1280" s="206" t="str">
        <f t="shared" si="284"/>
        <v/>
      </c>
      <c r="O1280" s="206" t="str">
        <f t="shared" si="285"/>
        <v/>
      </c>
      <c r="P1280" s="84" t="str">
        <f t="shared" si="286"/>
        <v/>
      </c>
      <c r="Q1280" s="205"/>
      <c r="R1280" s="70" t="str">
        <f>IF(S1280="IN",'BOM_Phan II'!$Y$3,"")</f>
        <v/>
      </c>
      <c r="S1280" s="69" t="str">
        <f t="shared" si="278"/>
        <v/>
      </c>
      <c r="T1280">
        <f t="shared" si="287"/>
        <v>3</v>
      </c>
      <c r="U1280" t="str">
        <f t="shared" si="275"/>
        <v>KIỆN 14</v>
      </c>
      <c r="V1280" t="str">
        <f t="shared" si="288"/>
        <v/>
      </c>
      <c r="W1280" s="266"/>
      <c r="X1280" s="266"/>
      <c r="Y1280" s="266" t="str">
        <f t="shared" si="280"/>
        <v/>
      </c>
      <c r="Z1280" s="266"/>
    </row>
    <row r="1281" spans="1:26" ht="27" hidden="1" customHeight="1">
      <c r="A1281" s="70" t="str">
        <f t="shared" si="276"/>
        <v/>
      </c>
      <c r="B1281" s="70" t="str">
        <f t="shared" si="277"/>
        <v/>
      </c>
      <c r="C1281" s="204" t="str" cm="1">
        <f t="array" ref="C1281">IF(D1281="","",
    IF(AND(ISNUMBER(D1281), D1281=INT(D1281)),
        $V$6 &amp; " " &amp; (IFERROR(MAX($Y$12:$Y1280), 0) + 1),
        IF(ISNUMBER(SEARCH(".", D1281)), "", INDEX($C$12:$C1281, MATCH(2, 1/($C$12:$C1281 &lt;&gt; ""))))
    )
)</f>
        <v/>
      </c>
      <c r="D1281" s="206"/>
      <c r="E1281" s="206" t="str">
        <f>IF(AA1281 = "", "",
    IF(ISNUMBER(SEARCH("Kiện", C1281)),
       " GÓI " &amp; COUNTIF($C$13:C1281, "*Kiện*") &amp; "/" &amp; COUNTIF($C$13:$C$1000, "*Kiện*") &amp; " " &amp; AA1281,
       AA1281)
)</f>
        <v/>
      </c>
      <c r="F1281" s="206"/>
      <c r="G1281" s="206"/>
      <c r="H1281" s="206"/>
      <c r="I1281" s="206"/>
      <c r="J1281" s="206" t="str">
        <f t="shared" si="279"/>
        <v/>
      </c>
      <c r="K1281" s="206" t="str">
        <f t="shared" si="281"/>
        <v/>
      </c>
      <c r="L1281" s="206" t="str">
        <f t="shared" si="282"/>
        <v/>
      </c>
      <c r="M1281" s="206" t="str">
        <f t="shared" si="283"/>
        <v/>
      </c>
      <c r="N1281" s="206" t="str">
        <f t="shared" si="284"/>
        <v/>
      </c>
      <c r="O1281" s="206" t="str">
        <f t="shared" si="285"/>
        <v/>
      </c>
      <c r="P1281" s="84" t="str">
        <f t="shared" si="286"/>
        <v/>
      </c>
      <c r="Q1281" s="205"/>
      <c r="R1281" s="70" t="str">
        <f>IF(S1281="IN",'BOM_Phan II'!$Y$3,"")</f>
        <v/>
      </c>
      <c r="S1281" s="69" t="str">
        <f t="shared" si="278"/>
        <v/>
      </c>
      <c r="T1281">
        <f t="shared" si="287"/>
        <v>3</v>
      </c>
      <c r="U1281" t="str">
        <f t="shared" si="275"/>
        <v>KIỆN 14</v>
      </c>
      <c r="V1281" t="str">
        <f t="shared" si="288"/>
        <v/>
      </c>
      <c r="W1281" s="266"/>
      <c r="X1281" s="266"/>
      <c r="Y1281" s="266" t="str">
        <f t="shared" si="280"/>
        <v/>
      </c>
      <c r="Z1281" s="266"/>
    </row>
    <row r="1282" spans="1:26" ht="27" hidden="1" customHeight="1">
      <c r="A1282" s="70" t="str">
        <f t="shared" si="276"/>
        <v/>
      </c>
      <c r="B1282" s="70" t="str">
        <f t="shared" si="277"/>
        <v/>
      </c>
      <c r="C1282" s="204" t="str" cm="1">
        <f t="array" ref="C1282">IF(D1282="","",
    IF(AND(ISNUMBER(D1282), D1282=INT(D1282)),
        $V$6 &amp; " " &amp; (IFERROR(MAX($Y$12:$Y1281), 0) + 1),
        IF(ISNUMBER(SEARCH(".", D1282)), "", INDEX($C$12:$C1282, MATCH(2, 1/($C$12:$C1282 &lt;&gt; ""))))
    )
)</f>
        <v/>
      </c>
      <c r="D1282" s="206"/>
      <c r="E1282" s="206" t="str">
        <f>IF(AA1282 = "", "",
    IF(ISNUMBER(SEARCH("Kiện", C1282)),
       " GÓI " &amp; COUNTIF($C$13:C1282, "*Kiện*") &amp; "/" &amp; COUNTIF($C$13:$C$1000, "*Kiện*") &amp; " " &amp; AA1282,
       AA1282)
)</f>
        <v/>
      </c>
      <c r="F1282" s="206"/>
      <c r="G1282" s="206"/>
      <c r="H1282" s="206"/>
      <c r="I1282" s="206"/>
      <c r="J1282" s="206" t="str">
        <f t="shared" si="279"/>
        <v/>
      </c>
      <c r="K1282" s="206" t="str">
        <f t="shared" si="281"/>
        <v/>
      </c>
      <c r="L1282" s="206" t="str">
        <f t="shared" si="282"/>
        <v/>
      </c>
      <c r="M1282" s="206" t="str">
        <f t="shared" si="283"/>
        <v/>
      </c>
      <c r="N1282" s="206" t="str">
        <f t="shared" si="284"/>
        <v/>
      </c>
      <c r="O1282" s="206" t="str">
        <f t="shared" si="285"/>
        <v/>
      </c>
      <c r="P1282" s="84" t="str">
        <f t="shared" si="286"/>
        <v/>
      </c>
      <c r="Q1282" s="205"/>
      <c r="R1282" s="70" t="str">
        <f>IF(S1282="IN",'BOM_Phan II'!$Y$3,"")</f>
        <v/>
      </c>
      <c r="S1282" s="69" t="str">
        <f t="shared" si="278"/>
        <v/>
      </c>
      <c r="T1282">
        <f t="shared" si="287"/>
        <v>3</v>
      </c>
      <c r="U1282" t="str">
        <f t="shared" si="275"/>
        <v>KIỆN 14</v>
      </c>
      <c r="V1282" t="str">
        <f t="shared" si="288"/>
        <v/>
      </c>
      <c r="W1282" s="266"/>
      <c r="X1282" s="266"/>
      <c r="Y1282" s="266" t="str">
        <f t="shared" si="280"/>
        <v/>
      </c>
      <c r="Z1282" s="266"/>
    </row>
    <row r="1283" spans="1:26" ht="27" hidden="1" customHeight="1">
      <c r="A1283" s="70" t="str">
        <f t="shared" si="276"/>
        <v/>
      </c>
      <c r="B1283" s="70" t="str">
        <f t="shared" si="277"/>
        <v/>
      </c>
      <c r="C1283" s="204" t="str" cm="1">
        <f t="array" ref="C1283">IF(D1283="","",
    IF(AND(ISNUMBER(D1283), D1283=INT(D1283)),
        $V$6 &amp; " " &amp; (IFERROR(MAX($Y$12:$Y1282), 0) + 1),
        IF(ISNUMBER(SEARCH(".", D1283)), "", INDEX($C$12:$C1283, MATCH(2, 1/($C$12:$C1283 &lt;&gt; ""))))
    )
)</f>
        <v/>
      </c>
      <c r="D1283" s="206"/>
      <c r="E1283" s="206" t="str">
        <f>IF(AA1283 = "", "",
    IF(ISNUMBER(SEARCH("Kiện", C1283)),
       " GÓI " &amp; COUNTIF($C$13:C1283, "*Kiện*") &amp; "/" &amp; COUNTIF($C$13:$C$1000, "*Kiện*") &amp; " " &amp; AA1283,
       AA1283)
)</f>
        <v/>
      </c>
      <c r="F1283" s="206"/>
      <c r="G1283" s="206"/>
      <c r="H1283" s="206"/>
      <c r="I1283" s="206"/>
      <c r="J1283" s="206" t="str">
        <f t="shared" si="279"/>
        <v/>
      </c>
      <c r="K1283" s="206" t="str">
        <f t="shared" si="281"/>
        <v/>
      </c>
      <c r="L1283" s="206" t="str">
        <f t="shared" si="282"/>
        <v/>
      </c>
      <c r="M1283" s="206" t="str">
        <f t="shared" si="283"/>
        <v/>
      </c>
      <c r="N1283" s="206" t="str">
        <f t="shared" si="284"/>
        <v/>
      </c>
      <c r="O1283" s="206" t="str">
        <f t="shared" si="285"/>
        <v/>
      </c>
      <c r="P1283" s="84" t="str">
        <f t="shared" si="286"/>
        <v/>
      </c>
      <c r="Q1283" s="205"/>
      <c r="R1283" s="70" t="str">
        <f>IF(S1283="IN",'BOM_Phan II'!$Y$3,"")</f>
        <v/>
      </c>
      <c r="S1283" s="69" t="str">
        <f t="shared" si="278"/>
        <v/>
      </c>
      <c r="T1283">
        <f t="shared" si="287"/>
        <v>3</v>
      </c>
      <c r="U1283" t="str">
        <f t="shared" ref="U1283:U1346" si="289">IF(C1283="",U1282,C1283)</f>
        <v>KIỆN 14</v>
      </c>
      <c r="V1283" t="str">
        <f t="shared" si="288"/>
        <v/>
      </c>
      <c r="W1283" s="266"/>
      <c r="X1283" s="266"/>
      <c r="Y1283" s="266" t="str">
        <f t="shared" si="280"/>
        <v/>
      </c>
      <c r="Z1283" s="266"/>
    </row>
    <row r="1284" spans="1:26" ht="27" hidden="1" customHeight="1">
      <c r="A1284" s="70" t="str">
        <f t="shared" si="276"/>
        <v/>
      </c>
      <c r="B1284" s="70" t="str">
        <f t="shared" si="277"/>
        <v/>
      </c>
      <c r="C1284" s="204" t="str" cm="1">
        <f t="array" ref="C1284">IF(D1284="","",
    IF(AND(ISNUMBER(D1284), D1284=INT(D1284)),
        $V$6 &amp; " " &amp; (IFERROR(MAX($Y$12:$Y1283), 0) + 1),
        IF(ISNUMBER(SEARCH(".", D1284)), "", INDEX($C$12:$C1284, MATCH(2, 1/($C$12:$C1284 &lt;&gt; ""))))
    )
)</f>
        <v/>
      </c>
      <c r="D1284" s="206"/>
      <c r="E1284" s="206" t="str">
        <f>IF(AA1284 = "", "",
    IF(ISNUMBER(SEARCH("Kiện", C1284)),
       " GÓI " &amp; COUNTIF($C$13:C1284, "*Kiện*") &amp; "/" &amp; COUNTIF($C$13:$C$1000, "*Kiện*") &amp; " " &amp; AA1284,
       AA1284)
)</f>
        <v/>
      </c>
      <c r="F1284" s="206"/>
      <c r="G1284" s="206"/>
      <c r="H1284" s="206"/>
      <c r="I1284" s="206"/>
      <c r="J1284" s="206" t="str">
        <f t="shared" si="279"/>
        <v/>
      </c>
      <c r="K1284" s="206" t="str">
        <f t="shared" si="281"/>
        <v/>
      </c>
      <c r="L1284" s="206" t="str">
        <f t="shared" si="282"/>
        <v/>
      </c>
      <c r="M1284" s="206" t="str">
        <f t="shared" si="283"/>
        <v/>
      </c>
      <c r="N1284" s="206" t="str">
        <f t="shared" si="284"/>
        <v/>
      </c>
      <c r="O1284" s="206" t="str">
        <f t="shared" si="285"/>
        <v/>
      </c>
      <c r="P1284" s="84" t="str">
        <f t="shared" si="286"/>
        <v/>
      </c>
      <c r="Q1284" s="205"/>
      <c r="R1284" s="70" t="str">
        <f>IF(S1284="IN",'BOM_Phan II'!$Y$3,"")</f>
        <v/>
      </c>
      <c r="S1284" s="69" t="str">
        <f t="shared" si="278"/>
        <v/>
      </c>
      <c r="T1284">
        <f t="shared" si="287"/>
        <v>3</v>
      </c>
      <c r="U1284" t="str">
        <f t="shared" si="289"/>
        <v>KIỆN 14</v>
      </c>
      <c r="V1284" t="str">
        <f t="shared" si="288"/>
        <v/>
      </c>
      <c r="W1284" s="266"/>
      <c r="X1284" s="266"/>
      <c r="Y1284" s="266" t="str">
        <f t="shared" si="280"/>
        <v/>
      </c>
      <c r="Z1284" s="266"/>
    </row>
    <row r="1285" spans="1:26" ht="27" hidden="1" customHeight="1">
      <c r="A1285" s="70" t="str">
        <f t="shared" si="276"/>
        <v/>
      </c>
      <c r="B1285" s="70" t="str">
        <f t="shared" si="277"/>
        <v/>
      </c>
      <c r="C1285" s="204" t="str" cm="1">
        <f t="array" ref="C1285">IF(D1285="","",
    IF(AND(ISNUMBER(D1285), D1285=INT(D1285)),
        $V$6 &amp; " " &amp; (IFERROR(MAX($Y$12:$Y1284), 0) + 1),
        IF(ISNUMBER(SEARCH(".", D1285)), "", INDEX($C$12:$C1285, MATCH(2, 1/($C$12:$C1285 &lt;&gt; ""))))
    )
)</f>
        <v/>
      </c>
      <c r="D1285" s="206"/>
      <c r="E1285" s="206" t="str">
        <f>IF(AA1285 = "", "",
    IF(ISNUMBER(SEARCH("Kiện", C1285)),
       " GÓI " &amp; COUNTIF($C$13:C1285, "*Kiện*") &amp; "/" &amp; COUNTIF($C$13:$C$1000, "*Kiện*") &amp; " " &amp; AA1285,
       AA1285)
)</f>
        <v/>
      </c>
      <c r="F1285" s="206"/>
      <c r="G1285" s="206"/>
      <c r="H1285" s="206"/>
      <c r="I1285" s="206"/>
      <c r="J1285" s="206" t="str">
        <f t="shared" si="279"/>
        <v/>
      </c>
      <c r="K1285" s="206" t="str">
        <f t="shared" si="281"/>
        <v/>
      </c>
      <c r="L1285" s="206" t="str">
        <f t="shared" si="282"/>
        <v/>
      </c>
      <c r="M1285" s="206" t="str">
        <f t="shared" si="283"/>
        <v/>
      </c>
      <c r="N1285" s="206" t="str">
        <f t="shared" si="284"/>
        <v/>
      </c>
      <c r="O1285" s="206" t="str">
        <f t="shared" si="285"/>
        <v/>
      </c>
      <c r="P1285" s="84" t="str">
        <f t="shared" si="286"/>
        <v/>
      </c>
      <c r="Q1285" s="205"/>
      <c r="R1285" s="70" t="str">
        <f>IF(S1285="IN",'BOM_Phan II'!$Y$3,"")</f>
        <v/>
      </c>
      <c r="S1285" s="69" t="str">
        <f t="shared" si="278"/>
        <v/>
      </c>
      <c r="T1285">
        <f t="shared" si="287"/>
        <v>3</v>
      </c>
      <c r="U1285" t="str">
        <f t="shared" si="289"/>
        <v>KIỆN 14</v>
      </c>
      <c r="V1285" t="str">
        <f t="shared" si="288"/>
        <v/>
      </c>
      <c r="W1285" s="266"/>
      <c r="X1285" s="266"/>
      <c r="Y1285" s="266" t="str">
        <f t="shared" si="280"/>
        <v/>
      </c>
      <c r="Z1285" s="266"/>
    </row>
    <row r="1286" spans="1:26" ht="27" hidden="1" customHeight="1">
      <c r="A1286" s="70" t="str">
        <f t="shared" si="276"/>
        <v/>
      </c>
      <c r="B1286" s="70" t="str">
        <f t="shared" si="277"/>
        <v/>
      </c>
      <c r="C1286" s="204" t="str" cm="1">
        <f t="array" ref="C1286">IF(D1286="","",
    IF(AND(ISNUMBER(D1286), D1286=INT(D1286)),
        $V$6 &amp; " " &amp; (IFERROR(MAX($Y$12:$Y1285), 0) + 1),
        IF(ISNUMBER(SEARCH(".", D1286)), "", INDEX($C$12:$C1286, MATCH(2, 1/($C$12:$C1286 &lt;&gt; ""))))
    )
)</f>
        <v/>
      </c>
      <c r="D1286" s="206"/>
      <c r="E1286" s="206" t="str">
        <f>IF(AA1286 = "", "",
    IF(ISNUMBER(SEARCH("Kiện", C1286)),
       " GÓI " &amp; COUNTIF($C$13:C1286, "*Kiện*") &amp; "/" &amp; COUNTIF($C$13:$C$1000, "*Kiện*") &amp; " " &amp; AA1286,
       AA1286)
)</f>
        <v/>
      </c>
      <c r="F1286" s="206"/>
      <c r="G1286" s="206"/>
      <c r="H1286" s="206"/>
      <c r="I1286" s="206"/>
      <c r="J1286" s="206" t="str">
        <f t="shared" si="279"/>
        <v/>
      </c>
      <c r="K1286" s="206" t="str">
        <f t="shared" si="281"/>
        <v/>
      </c>
      <c r="L1286" s="206" t="str">
        <f t="shared" si="282"/>
        <v/>
      </c>
      <c r="M1286" s="206" t="str">
        <f t="shared" si="283"/>
        <v/>
      </c>
      <c r="N1286" s="206" t="str">
        <f t="shared" si="284"/>
        <v/>
      </c>
      <c r="O1286" s="206" t="str">
        <f t="shared" si="285"/>
        <v/>
      </c>
      <c r="P1286" s="84" t="str">
        <f t="shared" si="286"/>
        <v/>
      </c>
      <c r="Q1286" s="205"/>
      <c r="R1286" s="70" t="str">
        <f>IF(S1286="IN",'BOM_Phan II'!$Y$3,"")</f>
        <v/>
      </c>
      <c r="S1286" s="69" t="str">
        <f t="shared" si="278"/>
        <v/>
      </c>
      <c r="T1286">
        <f t="shared" si="287"/>
        <v>3</v>
      </c>
      <c r="U1286" t="str">
        <f t="shared" si="289"/>
        <v>KIỆN 14</v>
      </c>
      <c r="V1286" t="str">
        <f t="shared" si="288"/>
        <v/>
      </c>
      <c r="W1286" s="266"/>
      <c r="X1286" s="266"/>
      <c r="Y1286" s="266" t="str">
        <f t="shared" si="280"/>
        <v/>
      </c>
      <c r="Z1286" s="266"/>
    </row>
    <row r="1287" spans="1:26" ht="27" hidden="1" customHeight="1">
      <c r="A1287" s="70" t="str">
        <f t="shared" si="276"/>
        <v/>
      </c>
      <c r="B1287" s="70" t="str">
        <f t="shared" si="277"/>
        <v/>
      </c>
      <c r="C1287" s="204" t="str" cm="1">
        <f t="array" ref="C1287">IF(D1287="","",
    IF(AND(ISNUMBER(D1287), D1287=INT(D1287)),
        $V$6 &amp; " " &amp; (IFERROR(MAX($Y$12:$Y1286), 0) + 1),
        IF(ISNUMBER(SEARCH(".", D1287)), "", INDEX($C$12:$C1287, MATCH(2, 1/($C$12:$C1287 &lt;&gt; ""))))
    )
)</f>
        <v/>
      </c>
      <c r="D1287" s="206"/>
      <c r="E1287" s="206" t="str">
        <f>IF(AA1287 = "", "",
    IF(ISNUMBER(SEARCH("Kiện", C1287)),
       " GÓI " &amp; COUNTIF($C$13:C1287, "*Kiện*") &amp; "/" &amp; COUNTIF($C$13:$C$1000, "*Kiện*") &amp; " " &amp; AA1287,
       AA1287)
)</f>
        <v/>
      </c>
      <c r="F1287" s="206"/>
      <c r="G1287" s="206"/>
      <c r="H1287" s="206"/>
      <c r="I1287" s="206"/>
      <c r="J1287" s="206" t="str">
        <f t="shared" si="279"/>
        <v/>
      </c>
      <c r="K1287" s="206" t="str">
        <f t="shared" si="281"/>
        <v/>
      </c>
      <c r="L1287" s="206" t="str">
        <f t="shared" si="282"/>
        <v/>
      </c>
      <c r="M1287" s="206" t="str">
        <f t="shared" si="283"/>
        <v/>
      </c>
      <c r="N1287" s="206" t="str">
        <f t="shared" si="284"/>
        <v/>
      </c>
      <c r="O1287" s="206" t="str">
        <f t="shared" si="285"/>
        <v/>
      </c>
      <c r="P1287" s="84" t="str">
        <f t="shared" si="286"/>
        <v/>
      </c>
      <c r="Q1287" s="205"/>
      <c r="R1287" s="70" t="str">
        <f>IF(S1287="IN",'BOM_Phan II'!$Y$3,"")</f>
        <v/>
      </c>
      <c r="S1287" s="69" t="str">
        <f t="shared" si="278"/>
        <v/>
      </c>
      <c r="T1287">
        <f t="shared" si="287"/>
        <v>3</v>
      </c>
      <c r="U1287" t="str">
        <f t="shared" si="289"/>
        <v>KIỆN 14</v>
      </c>
      <c r="V1287" t="str">
        <f t="shared" si="288"/>
        <v/>
      </c>
      <c r="W1287" s="266"/>
      <c r="X1287" s="266"/>
      <c r="Y1287" s="266" t="str">
        <f t="shared" si="280"/>
        <v/>
      </c>
      <c r="Z1287" s="266"/>
    </row>
    <row r="1288" spans="1:26" ht="27" hidden="1" customHeight="1">
      <c r="A1288" s="70" t="str">
        <f t="shared" si="276"/>
        <v/>
      </c>
      <c r="B1288" s="70" t="str">
        <f t="shared" si="277"/>
        <v/>
      </c>
      <c r="C1288" s="204" t="str" cm="1">
        <f t="array" ref="C1288">IF(D1288="","",
    IF(AND(ISNUMBER(D1288), D1288=INT(D1288)),
        $V$6 &amp; " " &amp; (IFERROR(MAX($Y$12:$Y1287), 0) + 1),
        IF(ISNUMBER(SEARCH(".", D1288)), "", INDEX($C$12:$C1288, MATCH(2, 1/($C$12:$C1288 &lt;&gt; ""))))
    )
)</f>
        <v/>
      </c>
      <c r="D1288" s="206"/>
      <c r="E1288" s="206" t="str">
        <f>IF(AA1288 = "", "",
    IF(ISNUMBER(SEARCH("Kiện", C1288)),
       " GÓI " &amp; COUNTIF($C$13:C1288, "*Kiện*") &amp; "/" &amp; COUNTIF($C$13:$C$1000, "*Kiện*") &amp; " " &amp; AA1288,
       AA1288)
)</f>
        <v/>
      </c>
      <c r="F1288" s="206"/>
      <c r="G1288" s="206"/>
      <c r="H1288" s="206"/>
      <c r="I1288" s="206"/>
      <c r="J1288" s="206" t="str">
        <f t="shared" si="279"/>
        <v/>
      </c>
      <c r="K1288" s="206" t="str">
        <f t="shared" si="281"/>
        <v/>
      </c>
      <c r="L1288" s="206" t="str">
        <f t="shared" si="282"/>
        <v/>
      </c>
      <c r="M1288" s="206" t="str">
        <f t="shared" si="283"/>
        <v/>
      </c>
      <c r="N1288" s="206" t="str">
        <f t="shared" si="284"/>
        <v/>
      </c>
      <c r="O1288" s="206" t="str">
        <f t="shared" si="285"/>
        <v/>
      </c>
      <c r="P1288" s="84" t="str">
        <f t="shared" si="286"/>
        <v/>
      </c>
      <c r="Q1288" s="205"/>
      <c r="R1288" s="70" t="str">
        <f>IF(S1288="IN",'BOM_Phan II'!$Y$3,"")</f>
        <v/>
      </c>
      <c r="S1288" s="69" t="str">
        <f t="shared" si="278"/>
        <v/>
      </c>
      <c r="T1288">
        <f t="shared" si="287"/>
        <v>3</v>
      </c>
      <c r="U1288" t="str">
        <f t="shared" si="289"/>
        <v>KIỆN 14</v>
      </c>
      <c r="V1288" t="str">
        <f t="shared" si="288"/>
        <v/>
      </c>
      <c r="W1288" s="266"/>
      <c r="X1288" s="266"/>
      <c r="Y1288" s="266" t="str">
        <f t="shared" si="280"/>
        <v/>
      </c>
      <c r="Z1288" s="266"/>
    </row>
    <row r="1289" spans="1:26" ht="27" hidden="1" customHeight="1">
      <c r="A1289" s="70" t="str">
        <f t="shared" si="276"/>
        <v/>
      </c>
      <c r="B1289" s="70" t="str">
        <f t="shared" si="277"/>
        <v/>
      </c>
      <c r="C1289" s="204" t="str" cm="1">
        <f t="array" ref="C1289">IF(D1289="","",
    IF(AND(ISNUMBER(D1289), D1289=INT(D1289)),
        $V$6 &amp; " " &amp; (IFERROR(MAX($Y$12:$Y1288), 0) + 1),
        IF(ISNUMBER(SEARCH(".", D1289)), "", INDEX($C$12:$C1289, MATCH(2, 1/($C$12:$C1289 &lt;&gt; ""))))
    )
)</f>
        <v/>
      </c>
      <c r="D1289" s="206"/>
      <c r="E1289" s="206" t="str">
        <f>IF(AA1289 = "", "",
    IF(ISNUMBER(SEARCH("Kiện", C1289)),
       " GÓI " &amp; COUNTIF($C$13:C1289, "*Kiện*") &amp; "/" &amp; COUNTIF($C$13:$C$1000, "*Kiện*") &amp; " " &amp; AA1289,
       AA1289)
)</f>
        <v/>
      </c>
      <c r="F1289" s="206"/>
      <c r="G1289" s="206"/>
      <c r="H1289" s="206"/>
      <c r="I1289" s="206"/>
      <c r="J1289" s="206" t="str">
        <f t="shared" si="279"/>
        <v/>
      </c>
      <c r="K1289" s="206" t="str">
        <f t="shared" si="281"/>
        <v/>
      </c>
      <c r="L1289" s="206" t="str">
        <f t="shared" si="282"/>
        <v/>
      </c>
      <c r="M1289" s="206" t="str">
        <f t="shared" si="283"/>
        <v/>
      </c>
      <c r="N1289" s="206" t="str">
        <f t="shared" si="284"/>
        <v/>
      </c>
      <c r="O1289" s="206" t="str">
        <f t="shared" si="285"/>
        <v/>
      </c>
      <c r="P1289" s="84" t="str">
        <f t="shared" si="286"/>
        <v/>
      </c>
      <c r="Q1289" s="205"/>
      <c r="R1289" s="70" t="str">
        <f>IF(S1289="IN",'BOM_Phan II'!$Y$3,"")</f>
        <v/>
      </c>
      <c r="S1289" s="69" t="str">
        <f t="shared" si="278"/>
        <v/>
      </c>
      <c r="T1289">
        <f t="shared" si="287"/>
        <v>3</v>
      </c>
      <c r="U1289" t="str">
        <f t="shared" si="289"/>
        <v>KIỆN 14</v>
      </c>
      <c r="V1289" t="str">
        <f t="shared" si="288"/>
        <v/>
      </c>
      <c r="W1289" s="266"/>
      <c r="X1289" s="266"/>
      <c r="Y1289" s="266" t="str">
        <f t="shared" si="280"/>
        <v/>
      </c>
      <c r="Z1289" s="266"/>
    </row>
    <row r="1290" spans="1:26" ht="27" hidden="1" customHeight="1">
      <c r="A1290" s="70" t="str">
        <f t="shared" si="276"/>
        <v/>
      </c>
      <c r="B1290" s="70" t="str">
        <f t="shared" si="277"/>
        <v/>
      </c>
      <c r="C1290" s="204" t="str" cm="1">
        <f t="array" ref="C1290">IF(D1290="","",
    IF(AND(ISNUMBER(D1290), D1290=INT(D1290)),
        $V$6 &amp; " " &amp; (IFERROR(MAX($Y$12:$Y1289), 0) + 1),
        IF(ISNUMBER(SEARCH(".", D1290)), "", INDEX($C$12:$C1290, MATCH(2, 1/($C$12:$C1290 &lt;&gt; ""))))
    )
)</f>
        <v/>
      </c>
      <c r="D1290" s="206"/>
      <c r="E1290" s="206" t="str">
        <f>IF(AA1290 = "", "",
    IF(ISNUMBER(SEARCH("Kiện", C1290)),
       " GÓI " &amp; COUNTIF($C$13:C1290, "*Kiện*") &amp; "/" &amp; COUNTIF($C$13:$C$1000, "*Kiện*") &amp; " " &amp; AA1290,
       AA1290)
)</f>
        <v/>
      </c>
      <c r="F1290" s="206"/>
      <c r="G1290" s="206"/>
      <c r="H1290" s="206"/>
      <c r="I1290" s="206"/>
      <c r="J1290" s="206" t="str">
        <f t="shared" si="279"/>
        <v/>
      </c>
      <c r="K1290" s="206" t="str">
        <f t="shared" si="281"/>
        <v/>
      </c>
      <c r="L1290" s="206" t="str">
        <f t="shared" si="282"/>
        <v/>
      </c>
      <c r="M1290" s="206" t="str">
        <f t="shared" si="283"/>
        <v/>
      </c>
      <c r="N1290" s="206" t="str">
        <f t="shared" si="284"/>
        <v/>
      </c>
      <c r="O1290" s="206" t="str">
        <f t="shared" si="285"/>
        <v/>
      </c>
      <c r="P1290" s="84" t="str">
        <f t="shared" si="286"/>
        <v/>
      </c>
      <c r="Q1290" s="205"/>
      <c r="R1290" s="70" t="str">
        <f>IF(S1290="IN",'BOM_Phan II'!$Y$3,"")</f>
        <v/>
      </c>
      <c r="S1290" s="69" t="str">
        <f t="shared" si="278"/>
        <v/>
      </c>
      <c r="T1290">
        <f t="shared" si="287"/>
        <v>3</v>
      </c>
      <c r="U1290" t="str">
        <f t="shared" si="289"/>
        <v>KIỆN 14</v>
      </c>
      <c r="V1290" t="str">
        <f t="shared" si="288"/>
        <v/>
      </c>
      <c r="W1290" s="266"/>
      <c r="X1290" s="266"/>
      <c r="Y1290" s="266" t="str">
        <f t="shared" si="280"/>
        <v/>
      </c>
      <c r="Z1290" s="266"/>
    </row>
    <row r="1291" spans="1:26" ht="27" hidden="1" customHeight="1">
      <c r="A1291" s="70" t="str">
        <f t="shared" si="276"/>
        <v/>
      </c>
      <c r="B1291" s="70" t="str">
        <f t="shared" si="277"/>
        <v/>
      </c>
      <c r="C1291" s="204" t="str" cm="1">
        <f t="array" ref="C1291">IF(D1291="","",
    IF(AND(ISNUMBER(D1291), D1291=INT(D1291)),
        $V$6 &amp; " " &amp; (IFERROR(MAX($Y$12:$Y1290), 0) + 1),
        IF(ISNUMBER(SEARCH(".", D1291)), "", INDEX($C$12:$C1291, MATCH(2, 1/($C$12:$C1291 &lt;&gt; ""))))
    )
)</f>
        <v/>
      </c>
      <c r="D1291" s="206"/>
      <c r="E1291" s="206" t="str">
        <f>IF(AA1291 = "", "",
    IF(ISNUMBER(SEARCH("Kiện", C1291)),
       " GÓI " &amp; COUNTIF($C$13:C1291, "*Kiện*") &amp; "/" &amp; COUNTIF($C$13:$C$1000, "*Kiện*") &amp; " " &amp; AA1291,
       AA1291)
)</f>
        <v/>
      </c>
      <c r="F1291" s="206"/>
      <c r="G1291" s="206"/>
      <c r="H1291" s="206"/>
      <c r="I1291" s="206"/>
      <c r="J1291" s="206" t="str">
        <f t="shared" si="279"/>
        <v/>
      </c>
      <c r="K1291" s="206" t="str">
        <f t="shared" si="281"/>
        <v/>
      </c>
      <c r="L1291" s="206" t="str">
        <f t="shared" si="282"/>
        <v/>
      </c>
      <c r="M1291" s="206" t="str">
        <f t="shared" si="283"/>
        <v/>
      </c>
      <c r="N1291" s="206" t="str">
        <f t="shared" si="284"/>
        <v/>
      </c>
      <c r="O1291" s="206" t="str">
        <f t="shared" si="285"/>
        <v/>
      </c>
      <c r="P1291" s="84" t="str">
        <f t="shared" si="286"/>
        <v/>
      </c>
      <c r="Q1291" s="205"/>
      <c r="R1291" s="70" t="str">
        <f>IF(S1291="IN",'BOM_Phan II'!$Y$3,"")</f>
        <v/>
      </c>
      <c r="S1291" s="69" t="str">
        <f t="shared" si="278"/>
        <v/>
      </c>
      <c r="T1291">
        <f t="shared" si="287"/>
        <v>3</v>
      </c>
      <c r="U1291" t="str">
        <f t="shared" si="289"/>
        <v>KIỆN 14</v>
      </c>
      <c r="V1291" t="str">
        <f t="shared" si="288"/>
        <v/>
      </c>
      <c r="W1291" s="266"/>
      <c r="X1291" s="266"/>
      <c r="Y1291" s="266" t="str">
        <f t="shared" si="280"/>
        <v/>
      </c>
      <c r="Z1291" s="266"/>
    </row>
    <row r="1292" spans="1:26" ht="27" hidden="1" customHeight="1">
      <c r="A1292" s="70" t="str">
        <f t="shared" ref="A1292:A1355" si="290">IF(S1292="IN",$E$6,"")</f>
        <v/>
      </c>
      <c r="B1292" s="70" t="str">
        <f t="shared" ref="B1292:B1355" si="291">IF(S1292="IN","Muc "&amp;$E$7,"")</f>
        <v/>
      </c>
      <c r="C1292" s="204" t="str" cm="1">
        <f t="array" ref="C1292">IF(D1292="","",
    IF(AND(ISNUMBER(D1292), D1292=INT(D1292)),
        $V$6 &amp; " " &amp; (IFERROR(MAX($Y$12:$Y1291), 0) + 1),
        IF(ISNUMBER(SEARCH(".", D1292)), "", INDEX($C$12:$C1292, MATCH(2, 1/($C$12:$C1292 &lt;&gt; ""))))
    )
)</f>
        <v/>
      </c>
      <c r="D1292" s="206"/>
      <c r="E1292" s="206" t="str">
        <f>IF(AA1292 = "", "",
    IF(ISNUMBER(SEARCH("Kiện", C1292)),
       " GÓI " &amp; COUNTIF($C$13:C1292, "*Kiện*") &amp; "/" &amp; COUNTIF($C$13:$C$1000, "*Kiện*") &amp; " " &amp; AA1292,
       AA1292)
)</f>
        <v/>
      </c>
      <c r="F1292" s="206"/>
      <c r="G1292" s="206"/>
      <c r="H1292" s="206"/>
      <c r="I1292" s="206"/>
      <c r="J1292" s="206" t="str">
        <f t="shared" si="279"/>
        <v/>
      </c>
      <c r="K1292" s="206" t="str">
        <f t="shared" si="281"/>
        <v/>
      </c>
      <c r="L1292" s="206" t="str">
        <f t="shared" si="282"/>
        <v/>
      </c>
      <c r="M1292" s="206" t="str">
        <f t="shared" si="283"/>
        <v/>
      </c>
      <c r="N1292" s="206" t="str">
        <f t="shared" si="284"/>
        <v/>
      </c>
      <c r="O1292" s="206" t="str">
        <f t="shared" si="285"/>
        <v/>
      </c>
      <c r="P1292" s="84" t="str">
        <f t="shared" si="286"/>
        <v/>
      </c>
      <c r="Q1292" s="205"/>
      <c r="R1292" s="70" t="str">
        <f>IF(S1292="IN",'BOM_Phan II'!$Y$3,"")</f>
        <v/>
      </c>
      <c r="S1292" s="69" t="str">
        <f t="shared" ref="S1292:S1355" si="292">IF(OR(E1292&lt;&gt;"",D1292&lt;&gt;""),"IN","")</f>
        <v/>
      </c>
      <c r="T1292">
        <f t="shared" si="287"/>
        <v>3</v>
      </c>
      <c r="U1292" t="str">
        <f t="shared" si="289"/>
        <v>KIỆN 14</v>
      </c>
      <c r="V1292" t="str">
        <f t="shared" si="288"/>
        <v/>
      </c>
      <c r="W1292" s="266"/>
      <c r="X1292" s="266"/>
      <c r="Y1292" s="266" t="str">
        <f t="shared" si="280"/>
        <v/>
      </c>
      <c r="Z1292" s="266"/>
    </row>
    <row r="1293" spans="1:26" ht="27" hidden="1" customHeight="1">
      <c r="A1293" s="70" t="str">
        <f t="shared" si="290"/>
        <v/>
      </c>
      <c r="B1293" s="70" t="str">
        <f t="shared" si="291"/>
        <v/>
      </c>
      <c r="C1293" s="204" t="str" cm="1">
        <f t="array" ref="C1293">IF(D1293="","",
    IF(AND(ISNUMBER(D1293), D1293=INT(D1293)),
        $V$6 &amp; " " &amp; (IFERROR(MAX($Y$12:$Y1292), 0) + 1),
        IF(ISNUMBER(SEARCH(".", D1293)), "", INDEX($C$12:$C1293, MATCH(2, 1/($C$12:$C1293 &lt;&gt; ""))))
    )
)</f>
        <v/>
      </c>
      <c r="D1293" s="206"/>
      <c r="E1293" s="206" t="str">
        <f>IF(AA1293 = "", "",
    IF(ISNUMBER(SEARCH("Kiện", C1293)),
       " GÓI " &amp; COUNTIF($C$13:C1293, "*Kiện*") &amp; "/" &amp; COUNTIF($C$13:$C$1000, "*Kiện*") &amp; " " &amp; AA1293,
       AA1293)
)</f>
        <v/>
      </c>
      <c r="F1293" s="206"/>
      <c r="G1293" s="206"/>
      <c r="H1293" s="206"/>
      <c r="I1293" s="206"/>
      <c r="J1293" s="206" t="str">
        <f t="shared" ref="J1293:J1356" si="293">IF(C1293&lt;&gt;"",C1293&amp;"_"&amp;$E$6,"")</f>
        <v/>
      </c>
      <c r="K1293" s="206" t="str">
        <f t="shared" si="281"/>
        <v/>
      </c>
      <c r="L1293" s="206" t="str">
        <f t="shared" si="282"/>
        <v/>
      </c>
      <c r="M1293" s="206" t="str">
        <f t="shared" si="283"/>
        <v/>
      </c>
      <c r="N1293" s="206" t="str">
        <f t="shared" si="284"/>
        <v/>
      </c>
      <c r="O1293" s="206" t="str">
        <f t="shared" si="285"/>
        <v/>
      </c>
      <c r="P1293" s="84" t="str">
        <f t="shared" si="286"/>
        <v/>
      </c>
      <c r="Q1293" s="205"/>
      <c r="R1293" s="70" t="str">
        <f>IF(S1293="IN",'BOM_Phan II'!$Y$3,"")</f>
        <v/>
      </c>
      <c r="S1293" s="69" t="str">
        <f t="shared" si="292"/>
        <v/>
      </c>
      <c r="T1293">
        <f t="shared" si="287"/>
        <v>3</v>
      </c>
      <c r="U1293" t="str">
        <f t="shared" si="289"/>
        <v>KIỆN 14</v>
      </c>
      <c r="V1293" t="str">
        <f t="shared" si="288"/>
        <v/>
      </c>
      <c r="W1293" s="266"/>
      <c r="X1293" s="266"/>
      <c r="Y1293" s="266" t="str">
        <f t="shared" ref="Y1293:Y1356" si="294">IFERROR(VALUE(RIGHT(C1293,LEN(C1293)-5)),"")</f>
        <v/>
      </c>
      <c r="Z1293" s="266"/>
    </row>
    <row r="1294" spans="1:26" ht="27" hidden="1" customHeight="1">
      <c r="A1294" s="70" t="str">
        <f t="shared" si="290"/>
        <v/>
      </c>
      <c r="B1294" s="70" t="str">
        <f t="shared" si="291"/>
        <v/>
      </c>
      <c r="C1294" s="204" t="str" cm="1">
        <f t="array" ref="C1294">IF(D1294="","",
    IF(AND(ISNUMBER(D1294), D1294=INT(D1294)),
        $V$6 &amp; " " &amp; (IFERROR(MAX($Y$12:$Y1293), 0) + 1),
        IF(ISNUMBER(SEARCH(".", D1294)), "", INDEX($C$12:$C1294, MATCH(2, 1/($C$12:$C1294 &lt;&gt; ""))))
    )
)</f>
        <v/>
      </c>
      <c r="D1294" s="206"/>
      <c r="E1294" s="206" t="str">
        <f>IF(AA1294 = "", "",
    IF(ISNUMBER(SEARCH("Kiện", C1294)),
       " GÓI " &amp; COUNTIF($C$13:C1294, "*Kiện*") &amp; "/" &amp; COUNTIF($C$13:$C$1000, "*Kiện*") &amp; " " &amp; AA1294,
       AA1294)
)</f>
        <v/>
      </c>
      <c r="F1294" s="206"/>
      <c r="G1294" s="206"/>
      <c r="H1294" s="206"/>
      <c r="I1294" s="206"/>
      <c r="J1294" s="206" t="str">
        <f t="shared" si="293"/>
        <v/>
      </c>
      <c r="K1294" s="206" t="str">
        <f t="shared" ref="K1294:K1357" si="295">IFERROR(IF($C1294&lt;&gt;"",IF($T$13=1,F1294+20,IF($T$13=2,F1294+20,IF($T$13=3,F1294+50,IF($T$13=4,F1294+40,IF($T$13=5,F1294+50,IF($T$13=51,F1294+50,IF($T$13=6,F1294+50,IF($T$13=7,F1294+50,"")))))))),""),"")</f>
        <v/>
      </c>
      <c r="L1294" s="206" t="str">
        <f t="shared" ref="L1294:L1357" si="296">IFERROR(IF($C1294&lt;&gt;"",IF($T$13=1,G1294+20,IF($T$13=2,G1294+20,IF($T$13=3,G1294+50,IF($T$13=4,G1294+40,IF($T$13=5,G1294+50,IF($T$13=51,G1294+50,IF($T$13=6,G1294+50,IF($T$13=7,G1294+50,"")))))))),""),"")</f>
        <v/>
      </c>
      <c r="M1294" s="206" t="str">
        <f t="shared" ref="M1294:M1357" si="297">IFERROR(IF($C1294&lt;&gt;"",IF($T$13=1,H1294+20,IF($T$13=2,H1294+20,IF($T$13=3,H1294+70,IF($T$13=4,H1294+40,IF($T$13=5,H1294+50,IF($T$13=51,H1294+150,IF($T$13=6,H1294+50,IF($T$13=7,H1294+50,"")))))))),""),"")</f>
        <v/>
      </c>
      <c r="N1294" s="206" t="str">
        <f t="shared" ref="N1294:N1357" si="298">IF(C1294&lt;&gt;"",I1294,"")</f>
        <v/>
      </c>
      <c r="O1294" s="206" t="str">
        <f t="shared" ref="O1294:O1357" si="299">IF(C1294&lt;&gt;"",$O$13,"")</f>
        <v/>
      </c>
      <c r="P1294" s="84" t="str">
        <f t="shared" ref="P1294:P1357" si="300">IFERROR(IF(C1294&lt;&gt;"",SUMIFS($V$13:$V$969,$U$13:$U$969,C1294)*$S$6,V1294*$S$6),"")</f>
        <v/>
      </c>
      <c r="Q1294" s="205"/>
      <c r="R1294" s="70" t="str">
        <f>IF(S1294="IN",'BOM_Phan II'!$Y$3,"")</f>
        <v/>
      </c>
      <c r="S1294" s="69" t="str">
        <f t="shared" si="292"/>
        <v/>
      </c>
      <c r="T1294">
        <f t="shared" ref="T1294:T1357" si="301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3</v>
      </c>
      <c r="U1294" t="str">
        <f t="shared" si="289"/>
        <v>KIỆN 14</v>
      </c>
      <c r="V1294" t="str">
        <f t="shared" ref="V1294:V1357" si="302">IFERROR(IF(AND(C1294="", OR($W1294="1", $W1294="2")), IF(I1294="", "", F1294*G1294*H1294*I1294/10^9), ""), "")</f>
        <v/>
      </c>
      <c r="W1294" s="266"/>
      <c r="X1294" s="266"/>
      <c r="Y1294" s="266" t="str">
        <f t="shared" si="294"/>
        <v/>
      </c>
      <c r="Z1294" s="266"/>
    </row>
    <row r="1295" spans="1:26" ht="27" hidden="1" customHeight="1">
      <c r="A1295" s="70" t="str">
        <f t="shared" si="290"/>
        <v/>
      </c>
      <c r="B1295" s="70" t="str">
        <f t="shared" si="291"/>
        <v/>
      </c>
      <c r="C1295" s="204" t="str" cm="1">
        <f t="array" ref="C1295">IF(D1295="","",
    IF(AND(ISNUMBER(D1295), D1295=INT(D1295)),
        $V$6 &amp; " " &amp; (IFERROR(MAX($Y$12:$Y1294), 0) + 1),
        IF(ISNUMBER(SEARCH(".", D1295)), "", INDEX($C$12:$C1295, MATCH(2, 1/($C$12:$C1295 &lt;&gt; ""))))
    )
)</f>
        <v/>
      </c>
      <c r="D1295" s="206"/>
      <c r="E1295" s="206" t="str">
        <f>IF(AA1295 = "", "",
    IF(ISNUMBER(SEARCH("Kiện", C1295)),
       " GÓI " &amp; COUNTIF($C$13:C1295, "*Kiện*") &amp; "/" &amp; COUNTIF($C$13:$C$1000, "*Kiện*") &amp; " " &amp; AA1295,
       AA1295)
)</f>
        <v/>
      </c>
      <c r="F1295" s="206"/>
      <c r="G1295" s="206"/>
      <c r="H1295" s="206"/>
      <c r="I1295" s="206"/>
      <c r="J1295" s="206" t="str">
        <f t="shared" si="293"/>
        <v/>
      </c>
      <c r="K1295" s="206" t="str">
        <f t="shared" si="295"/>
        <v/>
      </c>
      <c r="L1295" s="206" t="str">
        <f t="shared" si="296"/>
        <v/>
      </c>
      <c r="M1295" s="206" t="str">
        <f t="shared" si="297"/>
        <v/>
      </c>
      <c r="N1295" s="206" t="str">
        <f t="shared" si="298"/>
        <v/>
      </c>
      <c r="O1295" s="206" t="str">
        <f t="shared" si="299"/>
        <v/>
      </c>
      <c r="P1295" s="84" t="str">
        <f t="shared" si="300"/>
        <v/>
      </c>
      <c r="Q1295" s="205"/>
      <c r="R1295" s="70" t="str">
        <f>IF(S1295="IN",'BOM_Phan II'!$Y$3,"")</f>
        <v/>
      </c>
      <c r="S1295" s="69" t="str">
        <f t="shared" si="292"/>
        <v/>
      </c>
      <c r="T1295">
        <f t="shared" si="301"/>
        <v>3</v>
      </c>
      <c r="U1295" t="str">
        <f t="shared" si="289"/>
        <v>KIỆN 14</v>
      </c>
      <c r="V1295" t="str">
        <f t="shared" si="302"/>
        <v/>
      </c>
      <c r="W1295" s="266"/>
      <c r="X1295" s="266"/>
      <c r="Y1295" s="266" t="str">
        <f t="shared" si="294"/>
        <v/>
      </c>
      <c r="Z1295" s="266"/>
    </row>
    <row r="1296" spans="1:26" ht="27" hidden="1" customHeight="1">
      <c r="A1296" s="70" t="str">
        <f t="shared" si="290"/>
        <v/>
      </c>
      <c r="B1296" s="70" t="str">
        <f t="shared" si="291"/>
        <v/>
      </c>
      <c r="C1296" s="204" t="str" cm="1">
        <f t="array" ref="C1296">IF(D1296="","",
    IF(AND(ISNUMBER(D1296), D1296=INT(D1296)),
        $V$6 &amp; " " &amp; (IFERROR(MAX($Y$12:$Y1295), 0) + 1),
        IF(ISNUMBER(SEARCH(".", D1296)), "", INDEX($C$12:$C1296, MATCH(2, 1/($C$12:$C1296 &lt;&gt; ""))))
    )
)</f>
        <v/>
      </c>
      <c r="D1296" s="206"/>
      <c r="E1296" s="206" t="str">
        <f>IF(AA1296 = "", "",
    IF(ISNUMBER(SEARCH("Kiện", C1296)),
       " GÓI " &amp; COUNTIF($C$13:C1296, "*Kiện*") &amp; "/" &amp; COUNTIF($C$13:$C$1000, "*Kiện*") &amp; " " &amp; AA1296,
       AA1296)
)</f>
        <v/>
      </c>
      <c r="F1296" s="206"/>
      <c r="G1296" s="206"/>
      <c r="H1296" s="206"/>
      <c r="I1296" s="206"/>
      <c r="J1296" s="206" t="str">
        <f t="shared" si="293"/>
        <v/>
      </c>
      <c r="K1296" s="206" t="str">
        <f t="shared" si="295"/>
        <v/>
      </c>
      <c r="L1296" s="206" t="str">
        <f t="shared" si="296"/>
        <v/>
      </c>
      <c r="M1296" s="206" t="str">
        <f t="shared" si="297"/>
        <v/>
      </c>
      <c r="N1296" s="206" t="str">
        <f t="shared" si="298"/>
        <v/>
      </c>
      <c r="O1296" s="206" t="str">
        <f t="shared" si="299"/>
        <v/>
      </c>
      <c r="P1296" s="84" t="str">
        <f t="shared" si="300"/>
        <v/>
      </c>
      <c r="Q1296" s="205"/>
      <c r="R1296" s="70" t="str">
        <f>IF(S1296="IN",'BOM_Phan II'!$Y$3,"")</f>
        <v/>
      </c>
      <c r="S1296" s="69" t="str">
        <f t="shared" si="292"/>
        <v/>
      </c>
      <c r="T1296">
        <f t="shared" si="301"/>
        <v>3</v>
      </c>
      <c r="U1296" t="str">
        <f t="shared" si="289"/>
        <v>KIỆN 14</v>
      </c>
      <c r="V1296" t="str">
        <f t="shared" si="302"/>
        <v/>
      </c>
      <c r="W1296" s="266"/>
      <c r="X1296" s="266"/>
      <c r="Y1296" s="266" t="str">
        <f t="shared" si="294"/>
        <v/>
      </c>
      <c r="Z1296" s="266"/>
    </row>
    <row r="1297" spans="1:26" ht="27" hidden="1" customHeight="1">
      <c r="A1297" s="70" t="str">
        <f t="shared" si="290"/>
        <v/>
      </c>
      <c r="B1297" s="70" t="str">
        <f t="shared" si="291"/>
        <v/>
      </c>
      <c r="C1297" s="204" t="str" cm="1">
        <f t="array" ref="C1297">IF(D1297="","",
    IF(AND(ISNUMBER(D1297), D1297=INT(D1297)),
        $V$6 &amp; " " &amp; (IFERROR(MAX($Y$12:$Y1296), 0) + 1),
        IF(ISNUMBER(SEARCH(".", D1297)), "", INDEX($C$12:$C1297, MATCH(2, 1/($C$12:$C1297 &lt;&gt; ""))))
    )
)</f>
        <v/>
      </c>
      <c r="D1297" s="206"/>
      <c r="E1297" s="206" t="str">
        <f>IF(AA1297 = "", "",
    IF(ISNUMBER(SEARCH("Kiện", C1297)),
       " GÓI " &amp; COUNTIF($C$13:C1297, "*Kiện*") &amp; "/" &amp; COUNTIF($C$13:$C$1000, "*Kiện*") &amp; " " &amp; AA1297,
       AA1297)
)</f>
        <v/>
      </c>
      <c r="F1297" s="206"/>
      <c r="G1297" s="206"/>
      <c r="H1297" s="206"/>
      <c r="I1297" s="206"/>
      <c r="J1297" s="206" t="str">
        <f t="shared" si="293"/>
        <v/>
      </c>
      <c r="K1297" s="206" t="str">
        <f t="shared" si="295"/>
        <v/>
      </c>
      <c r="L1297" s="206" t="str">
        <f t="shared" si="296"/>
        <v/>
      </c>
      <c r="M1297" s="206" t="str">
        <f t="shared" si="297"/>
        <v/>
      </c>
      <c r="N1297" s="206" t="str">
        <f t="shared" si="298"/>
        <v/>
      </c>
      <c r="O1297" s="206" t="str">
        <f t="shared" si="299"/>
        <v/>
      </c>
      <c r="P1297" s="84" t="str">
        <f t="shared" si="300"/>
        <v/>
      </c>
      <c r="Q1297" s="205"/>
      <c r="R1297" s="70" t="str">
        <f>IF(S1297="IN",'BOM_Phan II'!$Y$3,"")</f>
        <v/>
      </c>
      <c r="S1297" s="69" t="str">
        <f t="shared" si="292"/>
        <v/>
      </c>
      <c r="T1297">
        <f t="shared" si="301"/>
        <v>3</v>
      </c>
      <c r="U1297" t="str">
        <f t="shared" si="289"/>
        <v>KIỆN 14</v>
      </c>
      <c r="V1297" t="str">
        <f t="shared" si="302"/>
        <v/>
      </c>
      <c r="W1297" s="266"/>
      <c r="X1297" s="266"/>
      <c r="Y1297" s="266" t="str">
        <f t="shared" si="294"/>
        <v/>
      </c>
      <c r="Z1297" s="266"/>
    </row>
    <row r="1298" spans="1:26" ht="27" hidden="1" customHeight="1">
      <c r="A1298" s="70" t="str">
        <f t="shared" si="290"/>
        <v/>
      </c>
      <c r="B1298" s="70" t="str">
        <f t="shared" si="291"/>
        <v/>
      </c>
      <c r="C1298" s="204" t="str" cm="1">
        <f t="array" ref="C1298">IF(D1298="","",
    IF(AND(ISNUMBER(D1298), D1298=INT(D1298)),
        $V$6 &amp; " " &amp; (IFERROR(MAX($Y$12:$Y1297), 0) + 1),
        IF(ISNUMBER(SEARCH(".", D1298)), "", INDEX($C$12:$C1298, MATCH(2, 1/($C$12:$C1298 &lt;&gt; ""))))
    )
)</f>
        <v/>
      </c>
      <c r="D1298" s="206"/>
      <c r="E1298" s="206" t="str">
        <f>IF(AA1298 = "", "",
    IF(ISNUMBER(SEARCH("Kiện", C1298)),
       " GÓI " &amp; COUNTIF($C$13:C1298, "*Kiện*") &amp; "/" &amp; COUNTIF($C$13:$C$1000, "*Kiện*") &amp; " " &amp; AA1298,
       AA1298)
)</f>
        <v/>
      </c>
      <c r="F1298" s="206"/>
      <c r="G1298" s="206"/>
      <c r="H1298" s="206"/>
      <c r="I1298" s="206"/>
      <c r="J1298" s="206" t="str">
        <f t="shared" si="293"/>
        <v/>
      </c>
      <c r="K1298" s="206" t="str">
        <f t="shared" si="295"/>
        <v/>
      </c>
      <c r="L1298" s="206" t="str">
        <f t="shared" si="296"/>
        <v/>
      </c>
      <c r="M1298" s="206" t="str">
        <f t="shared" si="297"/>
        <v/>
      </c>
      <c r="N1298" s="206" t="str">
        <f t="shared" si="298"/>
        <v/>
      </c>
      <c r="O1298" s="206" t="str">
        <f t="shared" si="299"/>
        <v/>
      </c>
      <c r="P1298" s="84" t="str">
        <f t="shared" si="300"/>
        <v/>
      </c>
      <c r="Q1298" s="205"/>
      <c r="R1298" s="70" t="str">
        <f>IF(S1298="IN",'BOM_Phan II'!$Y$3,"")</f>
        <v/>
      </c>
      <c r="S1298" s="69" t="str">
        <f t="shared" si="292"/>
        <v/>
      </c>
      <c r="T1298">
        <f t="shared" si="301"/>
        <v>3</v>
      </c>
      <c r="U1298" t="str">
        <f t="shared" si="289"/>
        <v>KIỆN 14</v>
      </c>
      <c r="V1298" t="str">
        <f t="shared" si="302"/>
        <v/>
      </c>
      <c r="W1298" s="266"/>
      <c r="X1298" s="266"/>
      <c r="Y1298" s="266" t="str">
        <f t="shared" si="294"/>
        <v/>
      </c>
      <c r="Z1298" s="266"/>
    </row>
    <row r="1299" spans="1:26" ht="27" hidden="1" customHeight="1">
      <c r="A1299" s="70" t="str">
        <f t="shared" si="290"/>
        <v/>
      </c>
      <c r="B1299" s="70" t="str">
        <f t="shared" si="291"/>
        <v/>
      </c>
      <c r="C1299" s="204" t="str" cm="1">
        <f t="array" ref="C1299">IF(D1299="","",
    IF(AND(ISNUMBER(D1299), D1299=INT(D1299)),
        $V$6 &amp; " " &amp; (IFERROR(MAX($Y$12:$Y1298), 0) + 1),
        IF(ISNUMBER(SEARCH(".", D1299)), "", INDEX($C$12:$C1299, MATCH(2, 1/($C$12:$C1299 &lt;&gt; ""))))
    )
)</f>
        <v/>
      </c>
      <c r="D1299" s="206"/>
      <c r="E1299" s="206" t="str">
        <f>IF(AA1299 = "", "",
    IF(ISNUMBER(SEARCH("Kiện", C1299)),
       " GÓI " &amp; COUNTIF($C$13:C1299, "*Kiện*") &amp; "/" &amp; COUNTIF($C$13:$C$1000, "*Kiện*") &amp; " " &amp; AA1299,
       AA1299)
)</f>
        <v/>
      </c>
      <c r="F1299" s="206"/>
      <c r="G1299" s="206"/>
      <c r="H1299" s="206"/>
      <c r="I1299" s="206"/>
      <c r="J1299" s="206" t="str">
        <f t="shared" si="293"/>
        <v/>
      </c>
      <c r="K1299" s="206" t="str">
        <f t="shared" si="295"/>
        <v/>
      </c>
      <c r="L1299" s="206" t="str">
        <f t="shared" si="296"/>
        <v/>
      </c>
      <c r="M1299" s="206" t="str">
        <f t="shared" si="297"/>
        <v/>
      </c>
      <c r="N1299" s="206" t="str">
        <f t="shared" si="298"/>
        <v/>
      </c>
      <c r="O1299" s="206" t="str">
        <f t="shared" si="299"/>
        <v/>
      </c>
      <c r="P1299" s="84" t="str">
        <f t="shared" si="300"/>
        <v/>
      </c>
      <c r="Q1299" s="205"/>
      <c r="R1299" s="70" t="str">
        <f>IF(S1299="IN",'BOM_Phan II'!$Y$3,"")</f>
        <v/>
      </c>
      <c r="S1299" s="69" t="str">
        <f t="shared" si="292"/>
        <v/>
      </c>
      <c r="T1299">
        <f t="shared" si="301"/>
        <v>3</v>
      </c>
      <c r="U1299" t="str">
        <f t="shared" si="289"/>
        <v>KIỆN 14</v>
      </c>
      <c r="V1299" t="str">
        <f t="shared" si="302"/>
        <v/>
      </c>
      <c r="W1299" s="266"/>
      <c r="X1299" s="266"/>
      <c r="Y1299" s="266" t="str">
        <f t="shared" si="294"/>
        <v/>
      </c>
      <c r="Z1299" s="266"/>
    </row>
    <row r="1300" spans="1:26" ht="27" hidden="1" customHeight="1">
      <c r="A1300" s="70" t="str">
        <f t="shared" si="290"/>
        <v/>
      </c>
      <c r="B1300" s="70" t="str">
        <f t="shared" si="291"/>
        <v/>
      </c>
      <c r="C1300" s="204" t="str" cm="1">
        <f t="array" ref="C1300">IF(D1300="","",
    IF(AND(ISNUMBER(D1300), D1300=INT(D1300)),
        $V$6 &amp; " " &amp; (IFERROR(MAX($Y$12:$Y1299), 0) + 1),
        IF(ISNUMBER(SEARCH(".", D1300)), "", INDEX($C$12:$C1300, MATCH(2, 1/($C$12:$C1300 &lt;&gt; ""))))
    )
)</f>
        <v/>
      </c>
      <c r="D1300" s="206"/>
      <c r="E1300" s="206" t="str">
        <f>IF(AA1300 = "", "",
    IF(ISNUMBER(SEARCH("Kiện", C1300)),
       " GÓI " &amp; COUNTIF($C$13:C1300, "*Kiện*") &amp; "/" &amp; COUNTIF($C$13:$C$1000, "*Kiện*") &amp; " " &amp; AA1300,
       AA1300)
)</f>
        <v/>
      </c>
      <c r="F1300" s="206"/>
      <c r="G1300" s="206"/>
      <c r="H1300" s="206"/>
      <c r="I1300" s="206"/>
      <c r="J1300" s="206" t="str">
        <f t="shared" si="293"/>
        <v/>
      </c>
      <c r="K1300" s="206" t="str">
        <f t="shared" si="295"/>
        <v/>
      </c>
      <c r="L1300" s="206" t="str">
        <f t="shared" si="296"/>
        <v/>
      </c>
      <c r="M1300" s="206" t="str">
        <f t="shared" si="297"/>
        <v/>
      </c>
      <c r="N1300" s="206" t="str">
        <f t="shared" si="298"/>
        <v/>
      </c>
      <c r="O1300" s="206" t="str">
        <f t="shared" si="299"/>
        <v/>
      </c>
      <c r="P1300" s="84" t="str">
        <f t="shared" si="300"/>
        <v/>
      </c>
      <c r="Q1300" s="205"/>
      <c r="R1300" s="70" t="str">
        <f>IF(S1300="IN",'BOM_Phan II'!$Y$3,"")</f>
        <v/>
      </c>
      <c r="S1300" s="69" t="str">
        <f t="shared" si="292"/>
        <v/>
      </c>
      <c r="T1300">
        <f t="shared" si="301"/>
        <v>3</v>
      </c>
      <c r="U1300" t="str">
        <f t="shared" si="289"/>
        <v>KIỆN 14</v>
      </c>
      <c r="V1300" t="str">
        <f t="shared" si="302"/>
        <v/>
      </c>
      <c r="W1300" s="266"/>
      <c r="X1300" s="266"/>
      <c r="Y1300" s="266" t="str">
        <f t="shared" si="294"/>
        <v/>
      </c>
      <c r="Z1300" s="266"/>
    </row>
    <row r="1301" spans="1:26" ht="27" hidden="1" customHeight="1">
      <c r="A1301" s="70" t="str">
        <f t="shared" si="290"/>
        <v/>
      </c>
      <c r="B1301" s="70" t="str">
        <f t="shared" si="291"/>
        <v/>
      </c>
      <c r="C1301" s="204" t="str" cm="1">
        <f t="array" ref="C1301">IF(D1301="","",
    IF(AND(ISNUMBER(D1301), D1301=INT(D1301)),
        $V$6 &amp; " " &amp; (IFERROR(MAX($Y$12:$Y1300), 0) + 1),
        IF(ISNUMBER(SEARCH(".", D1301)), "", INDEX($C$12:$C1301, MATCH(2, 1/($C$12:$C1301 &lt;&gt; ""))))
    )
)</f>
        <v/>
      </c>
      <c r="D1301" s="206"/>
      <c r="E1301" s="206" t="str">
        <f>IF(AA1301 = "", "",
    IF(ISNUMBER(SEARCH("Kiện", C1301)),
       " GÓI " &amp; COUNTIF($C$13:C1301, "*Kiện*") &amp; "/" &amp; COUNTIF($C$13:$C$1000, "*Kiện*") &amp; " " &amp; AA1301,
       AA1301)
)</f>
        <v/>
      </c>
      <c r="F1301" s="206"/>
      <c r="G1301" s="206"/>
      <c r="H1301" s="206"/>
      <c r="I1301" s="206"/>
      <c r="J1301" s="206" t="str">
        <f t="shared" si="293"/>
        <v/>
      </c>
      <c r="K1301" s="206" t="str">
        <f t="shared" si="295"/>
        <v/>
      </c>
      <c r="L1301" s="206" t="str">
        <f t="shared" si="296"/>
        <v/>
      </c>
      <c r="M1301" s="206" t="str">
        <f t="shared" si="297"/>
        <v/>
      </c>
      <c r="N1301" s="206" t="str">
        <f t="shared" si="298"/>
        <v/>
      </c>
      <c r="O1301" s="206" t="str">
        <f t="shared" si="299"/>
        <v/>
      </c>
      <c r="P1301" s="84" t="str">
        <f t="shared" si="300"/>
        <v/>
      </c>
      <c r="Q1301" s="205"/>
      <c r="R1301" s="70" t="str">
        <f>IF(S1301="IN",'BOM_Phan II'!$Y$3,"")</f>
        <v/>
      </c>
      <c r="S1301" s="69" t="str">
        <f t="shared" si="292"/>
        <v/>
      </c>
      <c r="T1301">
        <f t="shared" si="301"/>
        <v>3</v>
      </c>
      <c r="U1301" t="str">
        <f t="shared" si="289"/>
        <v>KIỆN 14</v>
      </c>
      <c r="V1301" t="str">
        <f t="shared" si="302"/>
        <v/>
      </c>
      <c r="W1301" s="266"/>
      <c r="X1301" s="266"/>
      <c r="Y1301" s="266" t="str">
        <f t="shared" si="294"/>
        <v/>
      </c>
      <c r="Z1301" s="266"/>
    </row>
    <row r="1302" spans="1:26" ht="27" hidden="1" customHeight="1">
      <c r="A1302" s="70" t="str">
        <f t="shared" si="290"/>
        <v/>
      </c>
      <c r="B1302" s="70" t="str">
        <f t="shared" si="291"/>
        <v/>
      </c>
      <c r="C1302" s="204" t="str" cm="1">
        <f t="array" ref="C1302">IF(D1302="","",
    IF(AND(ISNUMBER(D1302), D1302=INT(D1302)),
        $V$6 &amp; " " &amp; (IFERROR(MAX($Y$12:$Y1301), 0) + 1),
        IF(ISNUMBER(SEARCH(".", D1302)), "", INDEX($C$12:$C1302, MATCH(2, 1/($C$12:$C1302 &lt;&gt; ""))))
    )
)</f>
        <v/>
      </c>
      <c r="D1302" s="206"/>
      <c r="E1302" s="206" t="str">
        <f>IF(AA1302 = "", "",
    IF(ISNUMBER(SEARCH("Kiện", C1302)),
       " GÓI " &amp; COUNTIF($C$13:C1302, "*Kiện*") &amp; "/" &amp; COUNTIF($C$13:$C$1000, "*Kiện*") &amp; " " &amp; AA1302,
       AA1302)
)</f>
        <v/>
      </c>
      <c r="F1302" s="206"/>
      <c r="G1302" s="206"/>
      <c r="H1302" s="206"/>
      <c r="I1302" s="206"/>
      <c r="J1302" s="206" t="str">
        <f t="shared" si="293"/>
        <v/>
      </c>
      <c r="K1302" s="206" t="str">
        <f t="shared" si="295"/>
        <v/>
      </c>
      <c r="L1302" s="206" t="str">
        <f t="shared" si="296"/>
        <v/>
      </c>
      <c r="M1302" s="206" t="str">
        <f t="shared" si="297"/>
        <v/>
      </c>
      <c r="N1302" s="206" t="str">
        <f t="shared" si="298"/>
        <v/>
      </c>
      <c r="O1302" s="206" t="str">
        <f t="shared" si="299"/>
        <v/>
      </c>
      <c r="P1302" s="84" t="str">
        <f t="shared" si="300"/>
        <v/>
      </c>
      <c r="Q1302" s="205"/>
      <c r="R1302" s="70" t="str">
        <f>IF(S1302="IN",'BOM_Phan II'!$Y$3,"")</f>
        <v/>
      </c>
      <c r="S1302" s="69" t="str">
        <f t="shared" si="292"/>
        <v/>
      </c>
      <c r="T1302">
        <f t="shared" si="301"/>
        <v>3</v>
      </c>
      <c r="U1302" t="str">
        <f t="shared" si="289"/>
        <v>KIỆN 14</v>
      </c>
      <c r="V1302" t="str">
        <f t="shared" si="302"/>
        <v/>
      </c>
      <c r="W1302" s="266"/>
      <c r="X1302" s="266"/>
      <c r="Y1302" s="266" t="str">
        <f t="shared" si="294"/>
        <v/>
      </c>
      <c r="Z1302" s="266"/>
    </row>
    <row r="1303" spans="1:26" ht="27" hidden="1" customHeight="1">
      <c r="A1303" s="70" t="str">
        <f t="shared" si="290"/>
        <v/>
      </c>
      <c r="B1303" s="70" t="str">
        <f t="shared" si="291"/>
        <v/>
      </c>
      <c r="C1303" s="204" t="str" cm="1">
        <f t="array" ref="C1303">IF(D1303="","",
    IF(AND(ISNUMBER(D1303), D1303=INT(D1303)),
        $V$6 &amp; " " &amp; (IFERROR(MAX($Y$12:$Y1302), 0) + 1),
        IF(ISNUMBER(SEARCH(".", D1303)), "", INDEX($C$12:$C1303, MATCH(2, 1/($C$12:$C1303 &lt;&gt; ""))))
    )
)</f>
        <v/>
      </c>
      <c r="D1303" s="206"/>
      <c r="E1303" s="206" t="str">
        <f>IF(AA1303 = "", "",
    IF(ISNUMBER(SEARCH("Kiện", C1303)),
       " GÓI " &amp; COUNTIF($C$13:C1303, "*Kiện*") &amp; "/" &amp; COUNTIF($C$13:$C$1000, "*Kiện*") &amp; " " &amp; AA1303,
       AA1303)
)</f>
        <v/>
      </c>
      <c r="F1303" s="206"/>
      <c r="G1303" s="206"/>
      <c r="H1303" s="206"/>
      <c r="I1303" s="206"/>
      <c r="J1303" s="206" t="str">
        <f t="shared" si="293"/>
        <v/>
      </c>
      <c r="K1303" s="206" t="str">
        <f t="shared" si="295"/>
        <v/>
      </c>
      <c r="L1303" s="206" t="str">
        <f t="shared" si="296"/>
        <v/>
      </c>
      <c r="M1303" s="206" t="str">
        <f t="shared" si="297"/>
        <v/>
      </c>
      <c r="N1303" s="206" t="str">
        <f t="shared" si="298"/>
        <v/>
      </c>
      <c r="O1303" s="206" t="str">
        <f t="shared" si="299"/>
        <v/>
      </c>
      <c r="P1303" s="84" t="str">
        <f t="shared" si="300"/>
        <v/>
      </c>
      <c r="Q1303" s="205"/>
      <c r="R1303" s="70" t="str">
        <f>IF(S1303="IN",'BOM_Phan II'!$Y$3,"")</f>
        <v/>
      </c>
      <c r="S1303" s="69" t="str">
        <f t="shared" si="292"/>
        <v/>
      </c>
      <c r="T1303">
        <f t="shared" si="301"/>
        <v>3</v>
      </c>
      <c r="U1303" t="str">
        <f t="shared" si="289"/>
        <v>KIỆN 14</v>
      </c>
      <c r="V1303" t="str">
        <f t="shared" si="302"/>
        <v/>
      </c>
      <c r="W1303" s="266"/>
      <c r="X1303" s="266"/>
      <c r="Y1303" s="266" t="str">
        <f t="shared" si="294"/>
        <v/>
      </c>
      <c r="Z1303" s="266"/>
    </row>
    <row r="1304" spans="1:26" ht="27" hidden="1" customHeight="1">
      <c r="A1304" s="70" t="str">
        <f t="shared" si="290"/>
        <v/>
      </c>
      <c r="B1304" s="70" t="str">
        <f t="shared" si="291"/>
        <v/>
      </c>
      <c r="C1304" s="204" t="str" cm="1">
        <f t="array" ref="C1304">IF(D1304="","",
    IF(AND(ISNUMBER(D1304), D1304=INT(D1304)),
        $V$6 &amp; " " &amp; (IFERROR(MAX($Y$12:$Y1303), 0) + 1),
        IF(ISNUMBER(SEARCH(".", D1304)), "", INDEX($C$12:$C1304, MATCH(2, 1/($C$12:$C1304 &lt;&gt; ""))))
    )
)</f>
        <v/>
      </c>
      <c r="D1304" s="206"/>
      <c r="E1304" s="206" t="str">
        <f>IF(AA1304 = "", "",
    IF(ISNUMBER(SEARCH("Kiện", C1304)),
       " GÓI " &amp; COUNTIF($C$13:C1304, "*Kiện*") &amp; "/" &amp; COUNTIF($C$13:$C$1000, "*Kiện*") &amp; " " &amp; AA1304,
       AA1304)
)</f>
        <v/>
      </c>
      <c r="F1304" s="206"/>
      <c r="G1304" s="206"/>
      <c r="H1304" s="206"/>
      <c r="I1304" s="206"/>
      <c r="J1304" s="206" t="str">
        <f t="shared" si="293"/>
        <v/>
      </c>
      <c r="K1304" s="206" t="str">
        <f t="shared" si="295"/>
        <v/>
      </c>
      <c r="L1304" s="206" t="str">
        <f t="shared" si="296"/>
        <v/>
      </c>
      <c r="M1304" s="206" t="str">
        <f t="shared" si="297"/>
        <v/>
      </c>
      <c r="N1304" s="206" t="str">
        <f t="shared" si="298"/>
        <v/>
      </c>
      <c r="O1304" s="206" t="str">
        <f t="shared" si="299"/>
        <v/>
      </c>
      <c r="P1304" s="84" t="str">
        <f t="shared" si="300"/>
        <v/>
      </c>
      <c r="Q1304" s="205"/>
      <c r="R1304" s="70" t="str">
        <f>IF(S1304="IN",'BOM_Phan II'!$Y$3,"")</f>
        <v/>
      </c>
      <c r="S1304" s="69" t="str">
        <f t="shared" si="292"/>
        <v/>
      </c>
      <c r="T1304">
        <f t="shared" si="301"/>
        <v>3</v>
      </c>
      <c r="U1304" t="str">
        <f t="shared" si="289"/>
        <v>KIỆN 14</v>
      </c>
      <c r="V1304" t="str">
        <f t="shared" si="302"/>
        <v/>
      </c>
      <c r="W1304" s="266"/>
      <c r="X1304" s="266"/>
      <c r="Y1304" s="266" t="str">
        <f t="shared" si="294"/>
        <v/>
      </c>
      <c r="Z1304" s="266"/>
    </row>
    <row r="1305" spans="1:26" ht="27" hidden="1" customHeight="1">
      <c r="A1305" s="70" t="str">
        <f t="shared" si="290"/>
        <v/>
      </c>
      <c r="B1305" s="70" t="str">
        <f t="shared" si="291"/>
        <v/>
      </c>
      <c r="C1305" s="204" t="str" cm="1">
        <f t="array" ref="C1305">IF(D1305="","",
    IF(AND(ISNUMBER(D1305), D1305=INT(D1305)),
        $V$6 &amp; " " &amp; (IFERROR(MAX($Y$12:$Y1304), 0) + 1),
        IF(ISNUMBER(SEARCH(".", D1305)), "", INDEX($C$12:$C1305, MATCH(2, 1/($C$12:$C1305 &lt;&gt; ""))))
    )
)</f>
        <v/>
      </c>
      <c r="D1305" s="206"/>
      <c r="E1305" s="206" t="str">
        <f>IF(AA1305 = "", "",
    IF(ISNUMBER(SEARCH("Kiện", C1305)),
       " GÓI " &amp; COUNTIF($C$13:C1305, "*Kiện*") &amp; "/" &amp; COUNTIF($C$13:$C$1000, "*Kiện*") &amp; " " &amp; AA1305,
       AA1305)
)</f>
        <v/>
      </c>
      <c r="F1305" s="206"/>
      <c r="G1305" s="206"/>
      <c r="H1305" s="206"/>
      <c r="I1305" s="206"/>
      <c r="J1305" s="206" t="str">
        <f t="shared" si="293"/>
        <v/>
      </c>
      <c r="K1305" s="206" t="str">
        <f t="shared" si="295"/>
        <v/>
      </c>
      <c r="L1305" s="206" t="str">
        <f t="shared" si="296"/>
        <v/>
      </c>
      <c r="M1305" s="206" t="str">
        <f t="shared" si="297"/>
        <v/>
      </c>
      <c r="N1305" s="206" t="str">
        <f t="shared" si="298"/>
        <v/>
      </c>
      <c r="O1305" s="206" t="str">
        <f t="shared" si="299"/>
        <v/>
      </c>
      <c r="P1305" s="84" t="str">
        <f t="shared" si="300"/>
        <v/>
      </c>
      <c r="Q1305" s="205"/>
      <c r="R1305" s="70" t="str">
        <f>IF(S1305="IN",'BOM_Phan II'!$Y$3,"")</f>
        <v/>
      </c>
      <c r="S1305" s="69" t="str">
        <f t="shared" si="292"/>
        <v/>
      </c>
      <c r="T1305">
        <f t="shared" si="301"/>
        <v>3</v>
      </c>
      <c r="U1305" t="str">
        <f t="shared" si="289"/>
        <v>KIỆN 14</v>
      </c>
      <c r="V1305" t="str">
        <f t="shared" si="302"/>
        <v/>
      </c>
      <c r="W1305" s="266"/>
      <c r="X1305" s="266"/>
      <c r="Y1305" s="266" t="str">
        <f t="shared" si="294"/>
        <v/>
      </c>
      <c r="Z1305" s="266"/>
    </row>
    <row r="1306" spans="1:26" ht="27" hidden="1" customHeight="1">
      <c r="A1306" s="70" t="str">
        <f t="shared" si="290"/>
        <v/>
      </c>
      <c r="B1306" s="70" t="str">
        <f t="shared" si="291"/>
        <v/>
      </c>
      <c r="C1306" s="204" t="str" cm="1">
        <f t="array" ref="C1306">IF(D1306="","",
    IF(AND(ISNUMBER(D1306), D1306=INT(D1306)),
        $V$6 &amp; " " &amp; (IFERROR(MAX($Y$12:$Y1305), 0) + 1),
        IF(ISNUMBER(SEARCH(".", D1306)), "", INDEX($C$12:$C1306, MATCH(2, 1/($C$12:$C1306 &lt;&gt; ""))))
    )
)</f>
        <v/>
      </c>
      <c r="D1306" s="206"/>
      <c r="E1306" s="206" t="str">
        <f>IF(AA1306 = "", "",
    IF(ISNUMBER(SEARCH("Kiện", C1306)),
       " GÓI " &amp; COUNTIF($C$13:C1306, "*Kiện*") &amp; "/" &amp; COUNTIF($C$13:$C$1000, "*Kiện*") &amp; " " &amp; AA1306,
       AA1306)
)</f>
        <v/>
      </c>
      <c r="F1306" s="206"/>
      <c r="G1306" s="206"/>
      <c r="H1306" s="206"/>
      <c r="I1306" s="206"/>
      <c r="J1306" s="206" t="str">
        <f t="shared" si="293"/>
        <v/>
      </c>
      <c r="K1306" s="206" t="str">
        <f t="shared" si="295"/>
        <v/>
      </c>
      <c r="L1306" s="206" t="str">
        <f t="shared" si="296"/>
        <v/>
      </c>
      <c r="M1306" s="206" t="str">
        <f t="shared" si="297"/>
        <v/>
      </c>
      <c r="N1306" s="206" t="str">
        <f t="shared" si="298"/>
        <v/>
      </c>
      <c r="O1306" s="206" t="str">
        <f t="shared" si="299"/>
        <v/>
      </c>
      <c r="P1306" s="84" t="str">
        <f t="shared" si="300"/>
        <v/>
      </c>
      <c r="Q1306" s="205"/>
      <c r="R1306" s="70" t="str">
        <f>IF(S1306="IN",'BOM_Phan II'!$Y$3,"")</f>
        <v/>
      </c>
      <c r="S1306" s="69" t="str">
        <f t="shared" si="292"/>
        <v/>
      </c>
      <c r="T1306">
        <f t="shared" si="301"/>
        <v>3</v>
      </c>
      <c r="U1306" t="str">
        <f t="shared" si="289"/>
        <v>KIỆN 14</v>
      </c>
      <c r="V1306" t="str">
        <f t="shared" si="302"/>
        <v/>
      </c>
      <c r="W1306" s="266"/>
      <c r="X1306" s="266"/>
      <c r="Y1306" s="266" t="str">
        <f t="shared" si="294"/>
        <v/>
      </c>
      <c r="Z1306" s="266"/>
    </row>
    <row r="1307" spans="1:26" ht="27" hidden="1" customHeight="1">
      <c r="A1307" s="70" t="str">
        <f t="shared" si="290"/>
        <v/>
      </c>
      <c r="B1307" s="70" t="str">
        <f t="shared" si="291"/>
        <v/>
      </c>
      <c r="C1307" s="204" t="str" cm="1">
        <f t="array" ref="C1307">IF(D1307="","",
    IF(AND(ISNUMBER(D1307), D1307=INT(D1307)),
        $V$6 &amp; " " &amp; (IFERROR(MAX($Y$12:$Y1306), 0) + 1),
        IF(ISNUMBER(SEARCH(".", D1307)), "", INDEX($C$12:$C1307, MATCH(2, 1/($C$12:$C1307 &lt;&gt; ""))))
    )
)</f>
        <v/>
      </c>
      <c r="D1307" s="206"/>
      <c r="E1307" s="206" t="str">
        <f>IF(AA1307 = "", "",
    IF(ISNUMBER(SEARCH("Kiện", C1307)),
       " GÓI " &amp; COUNTIF($C$13:C1307, "*Kiện*") &amp; "/" &amp; COUNTIF($C$13:$C$1000, "*Kiện*") &amp; " " &amp; AA1307,
       AA1307)
)</f>
        <v/>
      </c>
      <c r="F1307" s="206"/>
      <c r="G1307" s="206"/>
      <c r="H1307" s="206"/>
      <c r="I1307" s="206"/>
      <c r="J1307" s="206" t="str">
        <f t="shared" si="293"/>
        <v/>
      </c>
      <c r="K1307" s="206" t="str">
        <f t="shared" si="295"/>
        <v/>
      </c>
      <c r="L1307" s="206" t="str">
        <f t="shared" si="296"/>
        <v/>
      </c>
      <c r="M1307" s="206" t="str">
        <f t="shared" si="297"/>
        <v/>
      </c>
      <c r="N1307" s="206" t="str">
        <f t="shared" si="298"/>
        <v/>
      </c>
      <c r="O1307" s="206" t="str">
        <f t="shared" si="299"/>
        <v/>
      </c>
      <c r="P1307" s="84" t="str">
        <f t="shared" si="300"/>
        <v/>
      </c>
      <c r="Q1307" s="205"/>
      <c r="R1307" s="70" t="str">
        <f>IF(S1307="IN",'BOM_Phan II'!$Y$3,"")</f>
        <v/>
      </c>
      <c r="S1307" s="69" t="str">
        <f t="shared" si="292"/>
        <v/>
      </c>
      <c r="T1307">
        <f t="shared" si="301"/>
        <v>3</v>
      </c>
      <c r="U1307" t="str">
        <f t="shared" si="289"/>
        <v>KIỆN 14</v>
      </c>
      <c r="V1307" t="str">
        <f t="shared" si="302"/>
        <v/>
      </c>
      <c r="W1307" s="266"/>
      <c r="X1307" s="266"/>
      <c r="Y1307" s="266" t="str">
        <f t="shared" si="294"/>
        <v/>
      </c>
      <c r="Z1307" s="266"/>
    </row>
    <row r="1308" spans="1:26" ht="27" hidden="1" customHeight="1">
      <c r="A1308" s="70" t="str">
        <f t="shared" si="290"/>
        <v/>
      </c>
      <c r="B1308" s="70" t="str">
        <f t="shared" si="291"/>
        <v/>
      </c>
      <c r="C1308" s="204" t="str" cm="1">
        <f t="array" ref="C1308">IF(D1308="","",
    IF(AND(ISNUMBER(D1308), D1308=INT(D1308)),
        $V$6 &amp; " " &amp; (IFERROR(MAX($Y$12:$Y1307), 0) + 1),
        IF(ISNUMBER(SEARCH(".", D1308)), "", INDEX($C$12:$C1308, MATCH(2, 1/($C$12:$C1308 &lt;&gt; ""))))
    )
)</f>
        <v/>
      </c>
      <c r="D1308" s="206"/>
      <c r="E1308" s="206" t="str">
        <f>IF(AA1308 = "", "",
    IF(ISNUMBER(SEARCH("Kiện", C1308)),
       " GÓI " &amp; COUNTIF($C$13:C1308, "*Kiện*") &amp; "/" &amp; COUNTIF($C$13:$C$1000, "*Kiện*") &amp; " " &amp; AA1308,
       AA1308)
)</f>
        <v/>
      </c>
      <c r="F1308" s="206"/>
      <c r="G1308" s="206"/>
      <c r="H1308" s="206"/>
      <c r="I1308" s="206"/>
      <c r="J1308" s="206" t="str">
        <f t="shared" si="293"/>
        <v/>
      </c>
      <c r="K1308" s="206" t="str">
        <f t="shared" si="295"/>
        <v/>
      </c>
      <c r="L1308" s="206" t="str">
        <f t="shared" si="296"/>
        <v/>
      </c>
      <c r="M1308" s="206" t="str">
        <f t="shared" si="297"/>
        <v/>
      </c>
      <c r="N1308" s="206" t="str">
        <f t="shared" si="298"/>
        <v/>
      </c>
      <c r="O1308" s="206" t="str">
        <f t="shared" si="299"/>
        <v/>
      </c>
      <c r="P1308" s="84" t="str">
        <f t="shared" si="300"/>
        <v/>
      </c>
      <c r="Q1308" s="205"/>
      <c r="R1308" s="70" t="str">
        <f>IF(S1308="IN",'BOM_Phan II'!$Y$3,"")</f>
        <v/>
      </c>
      <c r="S1308" s="69" t="str">
        <f t="shared" si="292"/>
        <v/>
      </c>
      <c r="T1308">
        <f t="shared" si="301"/>
        <v>3</v>
      </c>
      <c r="U1308" t="str">
        <f t="shared" si="289"/>
        <v>KIỆN 14</v>
      </c>
      <c r="V1308" t="str">
        <f t="shared" si="302"/>
        <v/>
      </c>
      <c r="W1308" s="266"/>
      <c r="X1308" s="266"/>
      <c r="Y1308" s="266" t="str">
        <f t="shared" si="294"/>
        <v/>
      </c>
      <c r="Z1308" s="266"/>
    </row>
    <row r="1309" spans="1:26" ht="27" hidden="1" customHeight="1">
      <c r="A1309" s="70" t="str">
        <f t="shared" si="290"/>
        <v/>
      </c>
      <c r="B1309" s="70" t="str">
        <f t="shared" si="291"/>
        <v/>
      </c>
      <c r="C1309" s="204" t="str" cm="1">
        <f t="array" ref="C1309">IF(D1309="","",
    IF(AND(ISNUMBER(D1309), D1309=INT(D1309)),
        $V$6 &amp; " " &amp; (IFERROR(MAX($Y$12:$Y1308), 0) + 1),
        IF(ISNUMBER(SEARCH(".", D1309)), "", INDEX($C$12:$C1309, MATCH(2, 1/($C$12:$C1309 &lt;&gt; ""))))
    )
)</f>
        <v/>
      </c>
      <c r="D1309" s="206"/>
      <c r="E1309" s="206" t="str">
        <f>IF(AA1309 = "", "",
    IF(ISNUMBER(SEARCH("Kiện", C1309)),
       " GÓI " &amp; COUNTIF($C$13:C1309, "*Kiện*") &amp; "/" &amp; COUNTIF($C$13:$C$1000, "*Kiện*") &amp; " " &amp; AA1309,
       AA1309)
)</f>
        <v/>
      </c>
      <c r="F1309" s="206"/>
      <c r="G1309" s="206"/>
      <c r="H1309" s="206"/>
      <c r="I1309" s="206"/>
      <c r="J1309" s="206" t="str">
        <f t="shared" si="293"/>
        <v/>
      </c>
      <c r="K1309" s="206" t="str">
        <f t="shared" si="295"/>
        <v/>
      </c>
      <c r="L1309" s="206" t="str">
        <f t="shared" si="296"/>
        <v/>
      </c>
      <c r="M1309" s="206" t="str">
        <f t="shared" si="297"/>
        <v/>
      </c>
      <c r="N1309" s="206" t="str">
        <f t="shared" si="298"/>
        <v/>
      </c>
      <c r="O1309" s="206" t="str">
        <f t="shared" si="299"/>
        <v/>
      </c>
      <c r="P1309" s="84" t="str">
        <f t="shared" si="300"/>
        <v/>
      </c>
      <c r="Q1309" s="205"/>
      <c r="R1309" s="70" t="str">
        <f>IF(S1309="IN",'BOM_Phan II'!$Y$3,"")</f>
        <v/>
      </c>
      <c r="S1309" s="69" t="str">
        <f t="shared" si="292"/>
        <v/>
      </c>
      <c r="T1309">
        <f t="shared" si="301"/>
        <v>3</v>
      </c>
      <c r="U1309" t="str">
        <f t="shared" si="289"/>
        <v>KIỆN 14</v>
      </c>
      <c r="V1309" t="str">
        <f t="shared" si="302"/>
        <v/>
      </c>
      <c r="W1309" s="266"/>
      <c r="X1309" s="266"/>
      <c r="Y1309" s="266" t="str">
        <f t="shared" si="294"/>
        <v/>
      </c>
      <c r="Z1309" s="266"/>
    </row>
    <row r="1310" spans="1:26" ht="27" hidden="1" customHeight="1">
      <c r="A1310" s="70" t="str">
        <f t="shared" si="290"/>
        <v/>
      </c>
      <c r="B1310" s="70" t="str">
        <f t="shared" si="291"/>
        <v/>
      </c>
      <c r="C1310" s="204" t="str" cm="1">
        <f t="array" ref="C1310">IF(D1310="","",
    IF(AND(ISNUMBER(D1310), D1310=INT(D1310)),
        $V$6 &amp; " " &amp; (IFERROR(MAX($Y$12:$Y1309), 0) + 1),
        IF(ISNUMBER(SEARCH(".", D1310)), "", INDEX($C$12:$C1310, MATCH(2, 1/($C$12:$C1310 &lt;&gt; ""))))
    )
)</f>
        <v/>
      </c>
      <c r="D1310" s="206"/>
      <c r="E1310" s="206" t="str">
        <f>IF(AA1310 = "", "",
    IF(ISNUMBER(SEARCH("Kiện", C1310)),
       " GÓI " &amp; COUNTIF($C$13:C1310, "*Kiện*") &amp; "/" &amp; COUNTIF($C$13:$C$1000, "*Kiện*") &amp; " " &amp; AA1310,
       AA1310)
)</f>
        <v/>
      </c>
      <c r="F1310" s="206"/>
      <c r="G1310" s="206"/>
      <c r="H1310" s="206"/>
      <c r="I1310" s="206"/>
      <c r="J1310" s="206" t="str">
        <f t="shared" si="293"/>
        <v/>
      </c>
      <c r="K1310" s="206" t="str">
        <f t="shared" si="295"/>
        <v/>
      </c>
      <c r="L1310" s="206" t="str">
        <f t="shared" si="296"/>
        <v/>
      </c>
      <c r="M1310" s="206" t="str">
        <f t="shared" si="297"/>
        <v/>
      </c>
      <c r="N1310" s="206" t="str">
        <f t="shared" si="298"/>
        <v/>
      </c>
      <c r="O1310" s="206" t="str">
        <f t="shared" si="299"/>
        <v/>
      </c>
      <c r="P1310" s="84" t="str">
        <f t="shared" si="300"/>
        <v/>
      </c>
      <c r="Q1310" s="205"/>
      <c r="R1310" s="70" t="str">
        <f>IF(S1310="IN",'BOM_Phan II'!$Y$3,"")</f>
        <v/>
      </c>
      <c r="S1310" s="69" t="str">
        <f t="shared" si="292"/>
        <v/>
      </c>
      <c r="T1310">
        <f t="shared" si="301"/>
        <v>3</v>
      </c>
      <c r="U1310" t="str">
        <f t="shared" si="289"/>
        <v>KIỆN 14</v>
      </c>
      <c r="V1310" t="str">
        <f t="shared" si="302"/>
        <v/>
      </c>
      <c r="W1310" s="266"/>
      <c r="X1310" s="266"/>
      <c r="Y1310" s="266" t="str">
        <f t="shared" si="294"/>
        <v/>
      </c>
      <c r="Z1310" s="266"/>
    </row>
    <row r="1311" spans="1:26" ht="27" hidden="1" customHeight="1">
      <c r="A1311" s="70" t="str">
        <f t="shared" si="290"/>
        <v/>
      </c>
      <c r="B1311" s="70" t="str">
        <f t="shared" si="291"/>
        <v/>
      </c>
      <c r="C1311" s="204" t="str" cm="1">
        <f t="array" ref="C1311">IF(D1311="","",
    IF(AND(ISNUMBER(D1311), D1311=INT(D1311)),
        $V$6 &amp; " " &amp; (IFERROR(MAX($Y$12:$Y1310), 0) + 1),
        IF(ISNUMBER(SEARCH(".", D1311)), "", INDEX($C$12:$C1311, MATCH(2, 1/($C$12:$C1311 &lt;&gt; ""))))
    )
)</f>
        <v/>
      </c>
      <c r="D1311" s="206"/>
      <c r="E1311" s="206" t="str">
        <f>IF(AA1311 = "", "",
    IF(ISNUMBER(SEARCH("Kiện", C1311)),
       " GÓI " &amp; COUNTIF($C$13:C1311, "*Kiện*") &amp; "/" &amp; COUNTIF($C$13:$C$1000, "*Kiện*") &amp; " " &amp; AA1311,
       AA1311)
)</f>
        <v/>
      </c>
      <c r="F1311" s="206"/>
      <c r="G1311" s="206"/>
      <c r="H1311" s="206"/>
      <c r="I1311" s="206"/>
      <c r="J1311" s="206" t="str">
        <f t="shared" si="293"/>
        <v/>
      </c>
      <c r="K1311" s="206" t="str">
        <f t="shared" si="295"/>
        <v/>
      </c>
      <c r="L1311" s="206" t="str">
        <f t="shared" si="296"/>
        <v/>
      </c>
      <c r="M1311" s="206" t="str">
        <f t="shared" si="297"/>
        <v/>
      </c>
      <c r="N1311" s="206" t="str">
        <f t="shared" si="298"/>
        <v/>
      </c>
      <c r="O1311" s="206" t="str">
        <f t="shared" si="299"/>
        <v/>
      </c>
      <c r="P1311" s="84" t="str">
        <f t="shared" si="300"/>
        <v/>
      </c>
      <c r="Q1311" s="205"/>
      <c r="R1311" s="70" t="str">
        <f>IF(S1311="IN",'BOM_Phan II'!$Y$3,"")</f>
        <v/>
      </c>
      <c r="S1311" s="69" t="str">
        <f t="shared" si="292"/>
        <v/>
      </c>
      <c r="T1311">
        <f t="shared" si="301"/>
        <v>3</v>
      </c>
      <c r="U1311" t="str">
        <f t="shared" si="289"/>
        <v>KIỆN 14</v>
      </c>
      <c r="V1311" t="str">
        <f t="shared" si="302"/>
        <v/>
      </c>
      <c r="W1311" s="266"/>
      <c r="X1311" s="266"/>
      <c r="Y1311" s="266" t="str">
        <f t="shared" si="294"/>
        <v/>
      </c>
      <c r="Z1311" s="266"/>
    </row>
    <row r="1312" spans="1:26" ht="27" hidden="1" customHeight="1">
      <c r="A1312" s="70" t="str">
        <f t="shared" si="290"/>
        <v/>
      </c>
      <c r="B1312" s="70" t="str">
        <f t="shared" si="291"/>
        <v/>
      </c>
      <c r="C1312" s="204" t="str" cm="1">
        <f t="array" ref="C1312">IF(D1312="","",
    IF(AND(ISNUMBER(D1312), D1312=INT(D1312)),
        $V$6 &amp; " " &amp; (IFERROR(MAX($Y$12:$Y1311), 0) + 1),
        IF(ISNUMBER(SEARCH(".", D1312)), "", INDEX($C$12:$C1312, MATCH(2, 1/($C$12:$C1312 &lt;&gt; ""))))
    )
)</f>
        <v/>
      </c>
      <c r="D1312" s="206"/>
      <c r="E1312" s="206" t="str">
        <f>IF(AA1312 = "", "",
    IF(ISNUMBER(SEARCH("Kiện", C1312)),
       " GÓI " &amp; COUNTIF($C$13:C1312, "*Kiện*") &amp; "/" &amp; COUNTIF($C$13:$C$1000, "*Kiện*") &amp; " " &amp; AA1312,
       AA1312)
)</f>
        <v/>
      </c>
      <c r="F1312" s="206"/>
      <c r="G1312" s="206"/>
      <c r="H1312" s="206"/>
      <c r="I1312" s="206"/>
      <c r="J1312" s="206" t="str">
        <f t="shared" si="293"/>
        <v/>
      </c>
      <c r="K1312" s="206" t="str">
        <f t="shared" si="295"/>
        <v/>
      </c>
      <c r="L1312" s="206" t="str">
        <f t="shared" si="296"/>
        <v/>
      </c>
      <c r="M1312" s="206" t="str">
        <f t="shared" si="297"/>
        <v/>
      </c>
      <c r="N1312" s="206" t="str">
        <f t="shared" si="298"/>
        <v/>
      </c>
      <c r="O1312" s="206" t="str">
        <f t="shared" si="299"/>
        <v/>
      </c>
      <c r="P1312" s="84" t="str">
        <f t="shared" si="300"/>
        <v/>
      </c>
      <c r="Q1312" s="205"/>
      <c r="R1312" s="70" t="str">
        <f>IF(S1312="IN",'BOM_Phan II'!$Y$3,"")</f>
        <v/>
      </c>
      <c r="S1312" s="69" t="str">
        <f t="shared" si="292"/>
        <v/>
      </c>
      <c r="T1312">
        <f t="shared" si="301"/>
        <v>3</v>
      </c>
      <c r="U1312" t="str">
        <f t="shared" si="289"/>
        <v>KIỆN 14</v>
      </c>
      <c r="V1312" t="str">
        <f t="shared" si="302"/>
        <v/>
      </c>
      <c r="W1312" s="266"/>
      <c r="X1312" s="266"/>
      <c r="Y1312" s="266" t="str">
        <f t="shared" si="294"/>
        <v/>
      </c>
      <c r="Z1312" s="266"/>
    </row>
    <row r="1313" spans="1:26" ht="27" hidden="1" customHeight="1">
      <c r="A1313" s="70" t="str">
        <f t="shared" si="290"/>
        <v/>
      </c>
      <c r="B1313" s="70" t="str">
        <f t="shared" si="291"/>
        <v/>
      </c>
      <c r="C1313" s="204" t="str" cm="1">
        <f t="array" ref="C1313">IF(D1313="","",
    IF(AND(ISNUMBER(D1313), D1313=INT(D1313)),
        $V$6 &amp; " " &amp; (IFERROR(MAX($Y$12:$Y1312), 0) + 1),
        IF(ISNUMBER(SEARCH(".", D1313)), "", INDEX($C$12:$C1313, MATCH(2, 1/($C$12:$C1313 &lt;&gt; ""))))
    )
)</f>
        <v/>
      </c>
      <c r="D1313" s="206"/>
      <c r="E1313" s="206" t="str">
        <f>IF(AA1313 = "", "",
    IF(ISNUMBER(SEARCH("Kiện", C1313)),
       " GÓI " &amp; COUNTIF($C$13:C1313, "*Kiện*") &amp; "/" &amp; COUNTIF($C$13:$C$1000, "*Kiện*") &amp; " " &amp; AA1313,
       AA1313)
)</f>
        <v/>
      </c>
      <c r="F1313" s="206"/>
      <c r="G1313" s="206"/>
      <c r="H1313" s="206"/>
      <c r="I1313" s="206"/>
      <c r="J1313" s="206" t="str">
        <f t="shared" si="293"/>
        <v/>
      </c>
      <c r="K1313" s="206" t="str">
        <f t="shared" si="295"/>
        <v/>
      </c>
      <c r="L1313" s="206" t="str">
        <f t="shared" si="296"/>
        <v/>
      </c>
      <c r="M1313" s="206" t="str">
        <f t="shared" si="297"/>
        <v/>
      </c>
      <c r="N1313" s="206" t="str">
        <f t="shared" si="298"/>
        <v/>
      </c>
      <c r="O1313" s="206" t="str">
        <f t="shared" si="299"/>
        <v/>
      </c>
      <c r="P1313" s="84" t="str">
        <f t="shared" si="300"/>
        <v/>
      </c>
      <c r="Q1313" s="205"/>
      <c r="R1313" s="70" t="str">
        <f>IF(S1313="IN",'BOM_Phan II'!$Y$3,"")</f>
        <v/>
      </c>
      <c r="S1313" s="69" t="str">
        <f t="shared" si="292"/>
        <v/>
      </c>
      <c r="T1313">
        <f t="shared" si="301"/>
        <v>3</v>
      </c>
      <c r="U1313" t="str">
        <f t="shared" si="289"/>
        <v>KIỆN 14</v>
      </c>
      <c r="V1313" t="str">
        <f t="shared" si="302"/>
        <v/>
      </c>
      <c r="W1313" s="266"/>
      <c r="X1313" s="266"/>
      <c r="Y1313" s="266" t="str">
        <f t="shared" si="294"/>
        <v/>
      </c>
      <c r="Z1313" s="266"/>
    </row>
    <row r="1314" spans="1:26" ht="27" hidden="1" customHeight="1">
      <c r="A1314" s="70" t="str">
        <f t="shared" si="290"/>
        <v/>
      </c>
      <c r="B1314" s="70" t="str">
        <f t="shared" si="291"/>
        <v/>
      </c>
      <c r="C1314" s="204" t="str" cm="1">
        <f t="array" ref="C1314">IF(D1314="","",
    IF(AND(ISNUMBER(D1314), D1314=INT(D1314)),
        $V$6 &amp; " " &amp; (IFERROR(MAX($Y$12:$Y1313), 0) + 1),
        IF(ISNUMBER(SEARCH(".", D1314)), "", INDEX($C$12:$C1314, MATCH(2, 1/($C$12:$C1314 &lt;&gt; ""))))
    )
)</f>
        <v/>
      </c>
      <c r="D1314" s="206"/>
      <c r="E1314" s="206" t="str">
        <f>IF(AA1314 = "", "",
    IF(ISNUMBER(SEARCH("Kiện", C1314)),
       " GÓI " &amp; COUNTIF($C$13:C1314, "*Kiện*") &amp; "/" &amp; COUNTIF($C$13:$C$1000, "*Kiện*") &amp; " " &amp; AA1314,
       AA1314)
)</f>
        <v/>
      </c>
      <c r="F1314" s="206"/>
      <c r="G1314" s="206"/>
      <c r="H1314" s="206"/>
      <c r="I1314" s="206"/>
      <c r="J1314" s="206" t="str">
        <f t="shared" si="293"/>
        <v/>
      </c>
      <c r="K1314" s="206" t="str">
        <f t="shared" si="295"/>
        <v/>
      </c>
      <c r="L1314" s="206" t="str">
        <f t="shared" si="296"/>
        <v/>
      </c>
      <c r="M1314" s="206" t="str">
        <f t="shared" si="297"/>
        <v/>
      </c>
      <c r="N1314" s="206" t="str">
        <f t="shared" si="298"/>
        <v/>
      </c>
      <c r="O1314" s="206" t="str">
        <f t="shared" si="299"/>
        <v/>
      </c>
      <c r="P1314" s="84" t="str">
        <f t="shared" si="300"/>
        <v/>
      </c>
      <c r="Q1314" s="205"/>
      <c r="R1314" s="70" t="str">
        <f>IF(S1314="IN",'BOM_Phan II'!$Y$3,"")</f>
        <v/>
      </c>
      <c r="S1314" s="69" t="str">
        <f t="shared" si="292"/>
        <v/>
      </c>
      <c r="T1314">
        <f t="shared" si="301"/>
        <v>3</v>
      </c>
      <c r="U1314" t="str">
        <f t="shared" si="289"/>
        <v>KIỆN 14</v>
      </c>
      <c r="V1314" t="str">
        <f t="shared" si="302"/>
        <v/>
      </c>
      <c r="W1314" s="266"/>
      <c r="X1314" s="266"/>
      <c r="Y1314" s="266" t="str">
        <f t="shared" si="294"/>
        <v/>
      </c>
      <c r="Z1314" s="266"/>
    </row>
    <row r="1315" spans="1:26" ht="27" hidden="1" customHeight="1">
      <c r="A1315" s="70" t="str">
        <f t="shared" si="290"/>
        <v/>
      </c>
      <c r="B1315" s="70" t="str">
        <f t="shared" si="291"/>
        <v/>
      </c>
      <c r="C1315" s="204" t="str" cm="1">
        <f t="array" ref="C1315">IF(D1315="","",
    IF(AND(ISNUMBER(D1315), D1315=INT(D1315)),
        $V$6 &amp; " " &amp; (IFERROR(MAX($Y$12:$Y1314), 0) + 1),
        IF(ISNUMBER(SEARCH(".", D1315)), "", INDEX($C$12:$C1315, MATCH(2, 1/($C$12:$C1315 &lt;&gt; ""))))
    )
)</f>
        <v/>
      </c>
      <c r="D1315" s="206"/>
      <c r="E1315" s="206" t="str">
        <f>IF(AA1315 = "", "",
    IF(ISNUMBER(SEARCH("Kiện", C1315)),
       " GÓI " &amp; COUNTIF($C$13:C1315, "*Kiện*") &amp; "/" &amp; COUNTIF($C$13:$C$1000, "*Kiện*") &amp; " " &amp; AA1315,
       AA1315)
)</f>
        <v/>
      </c>
      <c r="F1315" s="206"/>
      <c r="G1315" s="206"/>
      <c r="H1315" s="206"/>
      <c r="I1315" s="206"/>
      <c r="J1315" s="206" t="str">
        <f t="shared" si="293"/>
        <v/>
      </c>
      <c r="K1315" s="206" t="str">
        <f t="shared" si="295"/>
        <v/>
      </c>
      <c r="L1315" s="206" t="str">
        <f t="shared" si="296"/>
        <v/>
      </c>
      <c r="M1315" s="206" t="str">
        <f t="shared" si="297"/>
        <v/>
      </c>
      <c r="N1315" s="206" t="str">
        <f t="shared" si="298"/>
        <v/>
      </c>
      <c r="O1315" s="206" t="str">
        <f t="shared" si="299"/>
        <v/>
      </c>
      <c r="P1315" s="84" t="str">
        <f t="shared" si="300"/>
        <v/>
      </c>
      <c r="Q1315" s="205"/>
      <c r="R1315" s="70" t="str">
        <f>IF(S1315="IN",'BOM_Phan II'!$Y$3,"")</f>
        <v/>
      </c>
      <c r="S1315" s="69" t="str">
        <f t="shared" si="292"/>
        <v/>
      </c>
      <c r="T1315">
        <f t="shared" si="301"/>
        <v>3</v>
      </c>
      <c r="U1315" t="str">
        <f t="shared" si="289"/>
        <v>KIỆN 14</v>
      </c>
      <c r="V1315" t="str">
        <f t="shared" si="302"/>
        <v/>
      </c>
      <c r="W1315" s="266"/>
      <c r="X1315" s="266"/>
      <c r="Y1315" s="266" t="str">
        <f t="shared" si="294"/>
        <v/>
      </c>
      <c r="Z1315" s="266"/>
    </row>
    <row r="1316" spans="1:26" ht="27" hidden="1" customHeight="1">
      <c r="A1316" s="70" t="str">
        <f t="shared" si="290"/>
        <v/>
      </c>
      <c r="B1316" s="70" t="str">
        <f t="shared" si="291"/>
        <v/>
      </c>
      <c r="C1316" s="204" t="str" cm="1">
        <f t="array" ref="C1316">IF(D1316="","",
    IF(AND(ISNUMBER(D1316), D1316=INT(D1316)),
        $V$6 &amp; " " &amp; (IFERROR(MAX($Y$12:$Y1315), 0) + 1),
        IF(ISNUMBER(SEARCH(".", D1316)), "", INDEX($C$12:$C1316, MATCH(2, 1/($C$12:$C1316 &lt;&gt; ""))))
    )
)</f>
        <v/>
      </c>
      <c r="D1316" s="206"/>
      <c r="E1316" s="206" t="str">
        <f>IF(AA1316 = "", "",
    IF(ISNUMBER(SEARCH("Kiện", C1316)),
       " GÓI " &amp; COUNTIF($C$13:C1316, "*Kiện*") &amp; "/" &amp; COUNTIF($C$13:$C$1000, "*Kiện*") &amp; " " &amp; AA1316,
       AA1316)
)</f>
        <v/>
      </c>
      <c r="F1316" s="206"/>
      <c r="G1316" s="206"/>
      <c r="H1316" s="206"/>
      <c r="I1316" s="206"/>
      <c r="J1316" s="206" t="str">
        <f t="shared" si="293"/>
        <v/>
      </c>
      <c r="K1316" s="206" t="str">
        <f t="shared" si="295"/>
        <v/>
      </c>
      <c r="L1316" s="206" t="str">
        <f t="shared" si="296"/>
        <v/>
      </c>
      <c r="M1316" s="206" t="str">
        <f t="shared" si="297"/>
        <v/>
      </c>
      <c r="N1316" s="206" t="str">
        <f t="shared" si="298"/>
        <v/>
      </c>
      <c r="O1316" s="206" t="str">
        <f t="shared" si="299"/>
        <v/>
      </c>
      <c r="P1316" s="84" t="str">
        <f t="shared" si="300"/>
        <v/>
      </c>
      <c r="Q1316" s="205"/>
      <c r="R1316" s="70" t="str">
        <f>IF(S1316="IN",'BOM_Phan II'!$Y$3,"")</f>
        <v/>
      </c>
      <c r="S1316" s="69" t="str">
        <f t="shared" si="292"/>
        <v/>
      </c>
      <c r="T1316">
        <f t="shared" si="301"/>
        <v>3</v>
      </c>
      <c r="U1316" t="str">
        <f t="shared" si="289"/>
        <v>KIỆN 14</v>
      </c>
      <c r="V1316" t="str">
        <f t="shared" si="302"/>
        <v/>
      </c>
      <c r="W1316" s="266"/>
      <c r="X1316" s="266"/>
      <c r="Y1316" s="266" t="str">
        <f t="shared" si="294"/>
        <v/>
      </c>
      <c r="Z1316" s="266"/>
    </row>
    <row r="1317" spans="1:26" ht="27" hidden="1" customHeight="1">
      <c r="A1317" s="70" t="str">
        <f t="shared" si="290"/>
        <v/>
      </c>
      <c r="B1317" s="70" t="str">
        <f t="shared" si="291"/>
        <v/>
      </c>
      <c r="C1317" s="204" t="str" cm="1">
        <f t="array" ref="C1317">IF(D1317="","",
    IF(AND(ISNUMBER(D1317), D1317=INT(D1317)),
        $V$6 &amp; " " &amp; (IFERROR(MAX($Y$12:$Y1316), 0) + 1),
        IF(ISNUMBER(SEARCH(".", D1317)), "", INDEX($C$12:$C1317, MATCH(2, 1/($C$12:$C1317 &lt;&gt; ""))))
    )
)</f>
        <v/>
      </c>
      <c r="D1317" s="206"/>
      <c r="E1317" s="206" t="str">
        <f>IF(AA1317 = "", "",
    IF(ISNUMBER(SEARCH("Kiện", C1317)),
       " GÓI " &amp; COUNTIF($C$13:C1317, "*Kiện*") &amp; "/" &amp; COUNTIF($C$13:$C$1000, "*Kiện*") &amp; " " &amp; AA1317,
       AA1317)
)</f>
        <v/>
      </c>
      <c r="F1317" s="206"/>
      <c r="G1317" s="206"/>
      <c r="H1317" s="206"/>
      <c r="I1317" s="206"/>
      <c r="J1317" s="206" t="str">
        <f t="shared" si="293"/>
        <v/>
      </c>
      <c r="K1317" s="206" t="str">
        <f t="shared" si="295"/>
        <v/>
      </c>
      <c r="L1317" s="206" t="str">
        <f t="shared" si="296"/>
        <v/>
      </c>
      <c r="M1317" s="206" t="str">
        <f t="shared" si="297"/>
        <v/>
      </c>
      <c r="N1317" s="206" t="str">
        <f t="shared" si="298"/>
        <v/>
      </c>
      <c r="O1317" s="206" t="str">
        <f t="shared" si="299"/>
        <v/>
      </c>
      <c r="P1317" s="84" t="str">
        <f t="shared" si="300"/>
        <v/>
      </c>
      <c r="Q1317" s="205"/>
      <c r="R1317" s="70" t="str">
        <f>IF(S1317="IN",'BOM_Phan II'!$Y$3,"")</f>
        <v/>
      </c>
      <c r="S1317" s="69" t="str">
        <f t="shared" si="292"/>
        <v/>
      </c>
      <c r="T1317">
        <f t="shared" si="301"/>
        <v>3</v>
      </c>
      <c r="U1317" t="str">
        <f t="shared" si="289"/>
        <v>KIỆN 14</v>
      </c>
      <c r="V1317" t="str">
        <f t="shared" si="302"/>
        <v/>
      </c>
      <c r="W1317" s="266"/>
      <c r="X1317" s="266"/>
      <c r="Y1317" s="266" t="str">
        <f t="shared" si="294"/>
        <v/>
      </c>
      <c r="Z1317" s="266"/>
    </row>
    <row r="1318" spans="1:26" ht="27" hidden="1" customHeight="1">
      <c r="A1318" s="70" t="str">
        <f t="shared" si="290"/>
        <v/>
      </c>
      <c r="B1318" s="70" t="str">
        <f t="shared" si="291"/>
        <v/>
      </c>
      <c r="C1318" s="204" t="str" cm="1">
        <f t="array" ref="C1318">IF(D1318="","",
    IF(AND(ISNUMBER(D1318), D1318=INT(D1318)),
        $V$6 &amp; " " &amp; (IFERROR(MAX($Y$12:$Y1317), 0) + 1),
        IF(ISNUMBER(SEARCH(".", D1318)), "", INDEX($C$12:$C1318, MATCH(2, 1/($C$12:$C1318 &lt;&gt; ""))))
    )
)</f>
        <v/>
      </c>
      <c r="D1318" s="206"/>
      <c r="E1318" s="206" t="str">
        <f>IF(AA1318 = "", "",
    IF(ISNUMBER(SEARCH("Kiện", C1318)),
       " GÓI " &amp; COUNTIF($C$13:C1318, "*Kiện*") &amp; "/" &amp; COUNTIF($C$13:$C$1000, "*Kiện*") &amp; " " &amp; AA1318,
       AA1318)
)</f>
        <v/>
      </c>
      <c r="F1318" s="206"/>
      <c r="G1318" s="206"/>
      <c r="H1318" s="206"/>
      <c r="I1318" s="206"/>
      <c r="J1318" s="206" t="str">
        <f t="shared" si="293"/>
        <v/>
      </c>
      <c r="K1318" s="206" t="str">
        <f t="shared" si="295"/>
        <v/>
      </c>
      <c r="L1318" s="206" t="str">
        <f t="shared" si="296"/>
        <v/>
      </c>
      <c r="M1318" s="206" t="str">
        <f t="shared" si="297"/>
        <v/>
      </c>
      <c r="N1318" s="206" t="str">
        <f t="shared" si="298"/>
        <v/>
      </c>
      <c r="O1318" s="206" t="str">
        <f t="shared" si="299"/>
        <v/>
      </c>
      <c r="P1318" s="84" t="str">
        <f t="shared" si="300"/>
        <v/>
      </c>
      <c r="Q1318" s="205"/>
      <c r="R1318" s="70" t="str">
        <f>IF(S1318="IN",'BOM_Phan II'!$Y$3,"")</f>
        <v/>
      </c>
      <c r="S1318" s="69" t="str">
        <f t="shared" si="292"/>
        <v/>
      </c>
      <c r="T1318">
        <f t="shared" si="301"/>
        <v>3</v>
      </c>
      <c r="U1318" t="str">
        <f t="shared" si="289"/>
        <v>KIỆN 14</v>
      </c>
      <c r="V1318" t="str">
        <f t="shared" si="302"/>
        <v/>
      </c>
      <c r="W1318" s="266"/>
      <c r="X1318" s="266"/>
      <c r="Y1318" s="266" t="str">
        <f t="shared" si="294"/>
        <v/>
      </c>
      <c r="Z1318" s="266"/>
    </row>
    <row r="1319" spans="1:26" ht="27" hidden="1" customHeight="1">
      <c r="A1319" s="70" t="str">
        <f t="shared" si="290"/>
        <v/>
      </c>
      <c r="B1319" s="70" t="str">
        <f t="shared" si="291"/>
        <v/>
      </c>
      <c r="C1319" s="204" t="str" cm="1">
        <f t="array" ref="C1319">IF(D1319="","",
    IF(AND(ISNUMBER(D1319), D1319=INT(D1319)),
        $V$6 &amp; " " &amp; (IFERROR(MAX($Y$12:$Y1318), 0) + 1),
        IF(ISNUMBER(SEARCH(".", D1319)), "", INDEX($C$12:$C1319, MATCH(2, 1/($C$12:$C1319 &lt;&gt; ""))))
    )
)</f>
        <v/>
      </c>
      <c r="D1319" s="206"/>
      <c r="E1319" s="206" t="str">
        <f>IF(AA1319 = "", "",
    IF(ISNUMBER(SEARCH("Kiện", C1319)),
       " GÓI " &amp; COUNTIF($C$13:C1319, "*Kiện*") &amp; "/" &amp; COUNTIF($C$13:$C$1000, "*Kiện*") &amp; " " &amp; AA1319,
       AA1319)
)</f>
        <v/>
      </c>
      <c r="F1319" s="206"/>
      <c r="G1319" s="206"/>
      <c r="H1319" s="206"/>
      <c r="I1319" s="206"/>
      <c r="J1319" s="206" t="str">
        <f t="shared" si="293"/>
        <v/>
      </c>
      <c r="K1319" s="206" t="str">
        <f t="shared" si="295"/>
        <v/>
      </c>
      <c r="L1319" s="206" t="str">
        <f t="shared" si="296"/>
        <v/>
      </c>
      <c r="M1319" s="206" t="str">
        <f t="shared" si="297"/>
        <v/>
      </c>
      <c r="N1319" s="206" t="str">
        <f t="shared" si="298"/>
        <v/>
      </c>
      <c r="O1319" s="206" t="str">
        <f t="shared" si="299"/>
        <v/>
      </c>
      <c r="P1319" s="84" t="str">
        <f t="shared" si="300"/>
        <v/>
      </c>
      <c r="Q1319" s="205"/>
      <c r="R1319" s="70" t="str">
        <f>IF(S1319="IN",'BOM_Phan II'!$Y$3,"")</f>
        <v/>
      </c>
      <c r="S1319" s="69" t="str">
        <f t="shared" si="292"/>
        <v/>
      </c>
      <c r="T1319">
        <f t="shared" si="301"/>
        <v>3</v>
      </c>
      <c r="U1319" t="str">
        <f t="shared" si="289"/>
        <v>KIỆN 14</v>
      </c>
      <c r="V1319" t="str">
        <f t="shared" si="302"/>
        <v/>
      </c>
      <c r="W1319" s="266"/>
      <c r="X1319" s="266"/>
      <c r="Y1319" s="266" t="str">
        <f t="shared" si="294"/>
        <v/>
      </c>
      <c r="Z1319" s="266"/>
    </row>
    <row r="1320" spans="1:26" ht="27" hidden="1" customHeight="1">
      <c r="A1320" s="70" t="str">
        <f t="shared" si="290"/>
        <v/>
      </c>
      <c r="B1320" s="70" t="str">
        <f t="shared" si="291"/>
        <v/>
      </c>
      <c r="C1320" s="204" t="str" cm="1">
        <f t="array" ref="C1320">IF(D1320="","",
    IF(AND(ISNUMBER(D1320), D1320=INT(D1320)),
        $V$6 &amp; " " &amp; (IFERROR(MAX($Y$12:$Y1319), 0) + 1),
        IF(ISNUMBER(SEARCH(".", D1320)), "", INDEX($C$12:$C1320, MATCH(2, 1/($C$12:$C1320 &lt;&gt; ""))))
    )
)</f>
        <v/>
      </c>
      <c r="D1320" s="206"/>
      <c r="E1320" s="206" t="str">
        <f>IF(AA1320 = "", "",
    IF(ISNUMBER(SEARCH("Kiện", C1320)),
       " GÓI " &amp; COUNTIF($C$13:C1320, "*Kiện*") &amp; "/" &amp; COUNTIF($C$13:$C$1000, "*Kiện*") &amp; " " &amp; AA1320,
       AA1320)
)</f>
        <v/>
      </c>
      <c r="F1320" s="206"/>
      <c r="G1320" s="206"/>
      <c r="H1320" s="206"/>
      <c r="I1320" s="206"/>
      <c r="J1320" s="206" t="str">
        <f t="shared" si="293"/>
        <v/>
      </c>
      <c r="K1320" s="206" t="str">
        <f t="shared" si="295"/>
        <v/>
      </c>
      <c r="L1320" s="206" t="str">
        <f t="shared" si="296"/>
        <v/>
      </c>
      <c r="M1320" s="206" t="str">
        <f t="shared" si="297"/>
        <v/>
      </c>
      <c r="N1320" s="206" t="str">
        <f t="shared" si="298"/>
        <v/>
      </c>
      <c r="O1320" s="206" t="str">
        <f t="shared" si="299"/>
        <v/>
      </c>
      <c r="P1320" s="84" t="str">
        <f t="shared" si="300"/>
        <v/>
      </c>
      <c r="Q1320" s="205"/>
      <c r="R1320" s="70" t="str">
        <f>IF(S1320="IN",'BOM_Phan II'!$Y$3,"")</f>
        <v/>
      </c>
      <c r="S1320" s="69" t="str">
        <f t="shared" si="292"/>
        <v/>
      </c>
      <c r="T1320">
        <f t="shared" si="301"/>
        <v>3</v>
      </c>
      <c r="U1320" t="str">
        <f t="shared" si="289"/>
        <v>KIỆN 14</v>
      </c>
      <c r="V1320" t="str">
        <f t="shared" si="302"/>
        <v/>
      </c>
      <c r="W1320" s="266"/>
      <c r="X1320" s="266"/>
      <c r="Y1320" s="266" t="str">
        <f t="shared" si="294"/>
        <v/>
      </c>
      <c r="Z1320" s="266"/>
    </row>
    <row r="1321" spans="1:26" ht="27" hidden="1" customHeight="1">
      <c r="A1321" s="70" t="str">
        <f t="shared" si="290"/>
        <v/>
      </c>
      <c r="B1321" s="70" t="str">
        <f t="shared" si="291"/>
        <v/>
      </c>
      <c r="C1321" s="204" t="str" cm="1">
        <f t="array" ref="C1321">IF(D1321="","",
    IF(AND(ISNUMBER(D1321), D1321=INT(D1321)),
        $V$6 &amp; " " &amp; (IFERROR(MAX($Y$12:$Y1320), 0) + 1),
        IF(ISNUMBER(SEARCH(".", D1321)), "", INDEX($C$12:$C1321, MATCH(2, 1/($C$12:$C1321 &lt;&gt; ""))))
    )
)</f>
        <v/>
      </c>
      <c r="D1321" s="206"/>
      <c r="E1321" s="206" t="str">
        <f>IF(AA1321 = "", "",
    IF(ISNUMBER(SEARCH("Kiện", C1321)),
       " GÓI " &amp; COUNTIF($C$13:C1321, "*Kiện*") &amp; "/" &amp; COUNTIF($C$13:$C$1000, "*Kiện*") &amp; " " &amp; AA1321,
       AA1321)
)</f>
        <v/>
      </c>
      <c r="F1321" s="206"/>
      <c r="G1321" s="206"/>
      <c r="H1321" s="206"/>
      <c r="I1321" s="206"/>
      <c r="J1321" s="206" t="str">
        <f t="shared" si="293"/>
        <v/>
      </c>
      <c r="K1321" s="206" t="str">
        <f t="shared" si="295"/>
        <v/>
      </c>
      <c r="L1321" s="206" t="str">
        <f t="shared" si="296"/>
        <v/>
      </c>
      <c r="M1321" s="206" t="str">
        <f t="shared" si="297"/>
        <v/>
      </c>
      <c r="N1321" s="206" t="str">
        <f t="shared" si="298"/>
        <v/>
      </c>
      <c r="O1321" s="206" t="str">
        <f t="shared" si="299"/>
        <v/>
      </c>
      <c r="P1321" s="84" t="str">
        <f t="shared" si="300"/>
        <v/>
      </c>
      <c r="Q1321" s="205"/>
      <c r="R1321" s="70" t="str">
        <f>IF(S1321="IN",'BOM_Phan II'!$Y$3,"")</f>
        <v/>
      </c>
      <c r="S1321" s="69" t="str">
        <f t="shared" si="292"/>
        <v/>
      </c>
      <c r="T1321">
        <f t="shared" si="301"/>
        <v>3</v>
      </c>
      <c r="U1321" t="str">
        <f t="shared" si="289"/>
        <v>KIỆN 14</v>
      </c>
      <c r="V1321" t="str">
        <f t="shared" si="302"/>
        <v/>
      </c>
      <c r="W1321" s="266"/>
      <c r="X1321" s="266"/>
      <c r="Y1321" s="266" t="str">
        <f t="shared" si="294"/>
        <v/>
      </c>
      <c r="Z1321" s="266"/>
    </row>
    <row r="1322" spans="1:26" ht="27" hidden="1" customHeight="1">
      <c r="A1322" s="70" t="str">
        <f t="shared" si="290"/>
        <v/>
      </c>
      <c r="B1322" s="70" t="str">
        <f t="shared" si="291"/>
        <v/>
      </c>
      <c r="C1322" s="204" t="str" cm="1">
        <f t="array" ref="C1322">IF(D1322="","",
    IF(AND(ISNUMBER(D1322), D1322=INT(D1322)),
        $V$6 &amp; " " &amp; (IFERROR(MAX($Y$12:$Y1321), 0) + 1),
        IF(ISNUMBER(SEARCH(".", D1322)), "", INDEX($C$12:$C1322, MATCH(2, 1/($C$12:$C1322 &lt;&gt; ""))))
    )
)</f>
        <v/>
      </c>
      <c r="D1322" s="206"/>
      <c r="E1322" s="206" t="str">
        <f>IF(AA1322 = "", "",
    IF(ISNUMBER(SEARCH("Kiện", C1322)),
       " GÓI " &amp; COUNTIF($C$13:C1322, "*Kiện*") &amp; "/" &amp; COUNTIF($C$13:$C$1000, "*Kiện*") &amp; " " &amp; AA1322,
       AA1322)
)</f>
        <v/>
      </c>
      <c r="F1322" s="206"/>
      <c r="G1322" s="206"/>
      <c r="H1322" s="206"/>
      <c r="I1322" s="206"/>
      <c r="J1322" s="206" t="str">
        <f t="shared" si="293"/>
        <v/>
      </c>
      <c r="K1322" s="206" t="str">
        <f t="shared" si="295"/>
        <v/>
      </c>
      <c r="L1322" s="206" t="str">
        <f t="shared" si="296"/>
        <v/>
      </c>
      <c r="M1322" s="206" t="str">
        <f t="shared" si="297"/>
        <v/>
      </c>
      <c r="N1322" s="206" t="str">
        <f t="shared" si="298"/>
        <v/>
      </c>
      <c r="O1322" s="206" t="str">
        <f t="shared" si="299"/>
        <v/>
      </c>
      <c r="P1322" s="84" t="str">
        <f t="shared" si="300"/>
        <v/>
      </c>
      <c r="Q1322" s="205"/>
      <c r="R1322" s="70" t="str">
        <f>IF(S1322="IN",'BOM_Phan II'!$Y$3,"")</f>
        <v/>
      </c>
      <c r="S1322" s="69" t="str">
        <f t="shared" si="292"/>
        <v/>
      </c>
      <c r="T1322">
        <f t="shared" si="301"/>
        <v>3</v>
      </c>
      <c r="U1322" t="str">
        <f t="shared" si="289"/>
        <v>KIỆN 14</v>
      </c>
      <c r="V1322" t="str">
        <f t="shared" si="302"/>
        <v/>
      </c>
      <c r="W1322" s="266"/>
      <c r="X1322" s="266"/>
      <c r="Y1322" s="266" t="str">
        <f t="shared" si="294"/>
        <v/>
      </c>
      <c r="Z1322" s="266"/>
    </row>
    <row r="1323" spans="1:26" ht="27" hidden="1" customHeight="1">
      <c r="A1323" s="70" t="str">
        <f t="shared" si="290"/>
        <v/>
      </c>
      <c r="B1323" s="70" t="str">
        <f t="shared" si="291"/>
        <v/>
      </c>
      <c r="C1323" s="204" t="str" cm="1">
        <f t="array" ref="C1323">IF(D1323="","",
    IF(AND(ISNUMBER(D1323), D1323=INT(D1323)),
        $V$6 &amp; " " &amp; (IFERROR(MAX($Y$12:$Y1322), 0) + 1),
        IF(ISNUMBER(SEARCH(".", D1323)), "", INDEX($C$12:$C1323, MATCH(2, 1/($C$12:$C1323 &lt;&gt; ""))))
    )
)</f>
        <v/>
      </c>
      <c r="D1323" s="206"/>
      <c r="E1323" s="206" t="str">
        <f>IF(AA1323 = "", "",
    IF(ISNUMBER(SEARCH("Kiện", C1323)),
       " GÓI " &amp; COUNTIF($C$13:C1323, "*Kiện*") &amp; "/" &amp; COUNTIF($C$13:$C$1000, "*Kiện*") &amp; " " &amp; AA1323,
       AA1323)
)</f>
        <v/>
      </c>
      <c r="F1323" s="206"/>
      <c r="G1323" s="206"/>
      <c r="H1323" s="206"/>
      <c r="I1323" s="206"/>
      <c r="J1323" s="206" t="str">
        <f t="shared" si="293"/>
        <v/>
      </c>
      <c r="K1323" s="206" t="str">
        <f t="shared" si="295"/>
        <v/>
      </c>
      <c r="L1323" s="206" t="str">
        <f t="shared" si="296"/>
        <v/>
      </c>
      <c r="M1323" s="206" t="str">
        <f t="shared" si="297"/>
        <v/>
      </c>
      <c r="N1323" s="206" t="str">
        <f t="shared" si="298"/>
        <v/>
      </c>
      <c r="O1323" s="206" t="str">
        <f t="shared" si="299"/>
        <v/>
      </c>
      <c r="P1323" s="84" t="str">
        <f t="shared" si="300"/>
        <v/>
      </c>
      <c r="Q1323" s="205"/>
      <c r="R1323" s="70" t="str">
        <f>IF(S1323="IN",'BOM_Phan II'!$Y$3,"")</f>
        <v/>
      </c>
      <c r="S1323" s="69" t="str">
        <f t="shared" si="292"/>
        <v/>
      </c>
      <c r="T1323">
        <f t="shared" si="301"/>
        <v>3</v>
      </c>
      <c r="U1323" t="str">
        <f t="shared" si="289"/>
        <v>KIỆN 14</v>
      </c>
      <c r="V1323" t="str">
        <f t="shared" si="302"/>
        <v/>
      </c>
      <c r="W1323" s="266"/>
      <c r="X1323" s="266"/>
      <c r="Y1323" s="266" t="str">
        <f t="shared" si="294"/>
        <v/>
      </c>
      <c r="Z1323" s="266"/>
    </row>
    <row r="1324" spans="1:26" ht="27" hidden="1" customHeight="1">
      <c r="A1324" s="70" t="str">
        <f t="shared" si="290"/>
        <v/>
      </c>
      <c r="B1324" s="70" t="str">
        <f t="shared" si="291"/>
        <v/>
      </c>
      <c r="C1324" s="204" t="str" cm="1">
        <f t="array" ref="C1324">IF(D1324="","",
    IF(AND(ISNUMBER(D1324), D1324=INT(D1324)),
        $V$6 &amp; " " &amp; (IFERROR(MAX($Y$12:$Y1323), 0) + 1),
        IF(ISNUMBER(SEARCH(".", D1324)), "", INDEX($C$12:$C1324, MATCH(2, 1/($C$12:$C1324 &lt;&gt; ""))))
    )
)</f>
        <v/>
      </c>
      <c r="D1324" s="206"/>
      <c r="E1324" s="206" t="str">
        <f>IF(AA1324 = "", "",
    IF(ISNUMBER(SEARCH("Kiện", C1324)),
       " GÓI " &amp; COUNTIF($C$13:C1324, "*Kiện*") &amp; "/" &amp; COUNTIF($C$13:$C$1000, "*Kiện*") &amp; " " &amp; AA1324,
       AA1324)
)</f>
        <v/>
      </c>
      <c r="F1324" s="206"/>
      <c r="G1324" s="206"/>
      <c r="H1324" s="206"/>
      <c r="I1324" s="206"/>
      <c r="J1324" s="206" t="str">
        <f t="shared" si="293"/>
        <v/>
      </c>
      <c r="K1324" s="206" t="str">
        <f t="shared" si="295"/>
        <v/>
      </c>
      <c r="L1324" s="206" t="str">
        <f t="shared" si="296"/>
        <v/>
      </c>
      <c r="M1324" s="206" t="str">
        <f t="shared" si="297"/>
        <v/>
      </c>
      <c r="N1324" s="206" t="str">
        <f t="shared" si="298"/>
        <v/>
      </c>
      <c r="O1324" s="206" t="str">
        <f t="shared" si="299"/>
        <v/>
      </c>
      <c r="P1324" s="84" t="str">
        <f t="shared" si="300"/>
        <v/>
      </c>
      <c r="Q1324" s="205"/>
      <c r="R1324" s="70" t="str">
        <f>IF(S1324="IN",'BOM_Phan II'!$Y$3,"")</f>
        <v/>
      </c>
      <c r="S1324" s="69" t="str">
        <f t="shared" si="292"/>
        <v/>
      </c>
      <c r="T1324">
        <f t="shared" si="301"/>
        <v>3</v>
      </c>
      <c r="U1324" t="str">
        <f t="shared" si="289"/>
        <v>KIỆN 14</v>
      </c>
      <c r="V1324" t="str">
        <f t="shared" si="302"/>
        <v/>
      </c>
      <c r="W1324" s="266"/>
      <c r="X1324" s="266"/>
      <c r="Y1324" s="266" t="str">
        <f t="shared" si="294"/>
        <v/>
      </c>
      <c r="Z1324" s="266"/>
    </row>
    <row r="1325" spans="1:26" ht="27" hidden="1" customHeight="1">
      <c r="A1325" s="70" t="str">
        <f t="shared" si="290"/>
        <v/>
      </c>
      <c r="B1325" s="70" t="str">
        <f t="shared" si="291"/>
        <v/>
      </c>
      <c r="C1325" s="204" t="str" cm="1">
        <f t="array" ref="C1325">IF(D1325="","",
    IF(AND(ISNUMBER(D1325), D1325=INT(D1325)),
        $V$6 &amp; " " &amp; (IFERROR(MAX($Y$12:$Y1324), 0) + 1),
        IF(ISNUMBER(SEARCH(".", D1325)), "", INDEX($C$12:$C1325, MATCH(2, 1/($C$12:$C1325 &lt;&gt; ""))))
    )
)</f>
        <v/>
      </c>
      <c r="D1325" s="206"/>
      <c r="E1325" s="206" t="str">
        <f>IF(AA1325 = "", "",
    IF(ISNUMBER(SEARCH("Kiện", C1325)),
       " GÓI " &amp; COUNTIF($C$13:C1325, "*Kiện*") &amp; "/" &amp; COUNTIF($C$13:$C$1000, "*Kiện*") &amp; " " &amp; AA1325,
       AA1325)
)</f>
        <v/>
      </c>
      <c r="F1325" s="206"/>
      <c r="G1325" s="206"/>
      <c r="H1325" s="206"/>
      <c r="I1325" s="206"/>
      <c r="J1325" s="206" t="str">
        <f t="shared" si="293"/>
        <v/>
      </c>
      <c r="K1325" s="206" t="str">
        <f t="shared" si="295"/>
        <v/>
      </c>
      <c r="L1325" s="206" t="str">
        <f t="shared" si="296"/>
        <v/>
      </c>
      <c r="M1325" s="206" t="str">
        <f t="shared" si="297"/>
        <v/>
      </c>
      <c r="N1325" s="206" t="str">
        <f t="shared" si="298"/>
        <v/>
      </c>
      <c r="O1325" s="206" t="str">
        <f t="shared" si="299"/>
        <v/>
      </c>
      <c r="P1325" s="84" t="str">
        <f t="shared" si="300"/>
        <v/>
      </c>
      <c r="Q1325" s="205"/>
      <c r="R1325" s="70" t="str">
        <f>IF(S1325="IN",'BOM_Phan II'!$Y$3,"")</f>
        <v/>
      </c>
      <c r="S1325" s="69" t="str">
        <f t="shared" si="292"/>
        <v/>
      </c>
      <c r="T1325">
        <f t="shared" si="301"/>
        <v>3</v>
      </c>
      <c r="U1325" t="str">
        <f t="shared" si="289"/>
        <v>KIỆN 14</v>
      </c>
      <c r="V1325" t="str">
        <f t="shared" si="302"/>
        <v/>
      </c>
      <c r="W1325" s="266"/>
      <c r="X1325" s="266"/>
      <c r="Y1325" s="266" t="str">
        <f t="shared" si="294"/>
        <v/>
      </c>
      <c r="Z1325" s="266"/>
    </row>
    <row r="1326" spans="1:26" ht="27" hidden="1" customHeight="1">
      <c r="A1326" s="70" t="str">
        <f t="shared" si="290"/>
        <v/>
      </c>
      <c r="B1326" s="70" t="str">
        <f t="shared" si="291"/>
        <v/>
      </c>
      <c r="C1326" s="204" t="str" cm="1">
        <f t="array" ref="C1326">IF(D1326="","",
    IF(AND(ISNUMBER(D1326), D1326=INT(D1326)),
        $V$6 &amp; " " &amp; (IFERROR(MAX($Y$12:$Y1325), 0) + 1),
        IF(ISNUMBER(SEARCH(".", D1326)), "", INDEX($C$12:$C1326, MATCH(2, 1/($C$12:$C1326 &lt;&gt; ""))))
    )
)</f>
        <v/>
      </c>
      <c r="D1326" s="206"/>
      <c r="E1326" s="206" t="str">
        <f>IF(AA1326 = "", "",
    IF(ISNUMBER(SEARCH("Kiện", C1326)),
       " GÓI " &amp; COUNTIF($C$13:C1326, "*Kiện*") &amp; "/" &amp; COUNTIF($C$13:$C$1000, "*Kiện*") &amp; " " &amp; AA1326,
       AA1326)
)</f>
        <v/>
      </c>
      <c r="F1326" s="206"/>
      <c r="G1326" s="206"/>
      <c r="H1326" s="206"/>
      <c r="I1326" s="206"/>
      <c r="J1326" s="206" t="str">
        <f t="shared" si="293"/>
        <v/>
      </c>
      <c r="K1326" s="206" t="str">
        <f t="shared" si="295"/>
        <v/>
      </c>
      <c r="L1326" s="206" t="str">
        <f t="shared" si="296"/>
        <v/>
      </c>
      <c r="M1326" s="206" t="str">
        <f t="shared" si="297"/>
        <v/>
      </c>
      <c r="N1326" s="206" t="str">
        <f t="shared" si="298"/>
        <v/>
      </c>
      <c r="O1326" s="206" t="str">
        <f t="shared" si="299"/>
        <v/>
      </c>
      <c r="P1326" s="84" t="str">
        <f t="shared" si="300"/>
        <v/>
      </c>
      <c r="Q1326" s="205"/>
      <c r="R1326" s="70" t="str">
        <f>IF(S1326="IN",'BOM_Phan II'!$Y$3,"")</f>
        <v/>
      </c>
      <c r="S1326" s="69" t="str">
        <f t="shared" si="292"/>
        <v/>
      </c>
      <c r="T1326">
        <f t="shared" si="301"/>
        <v>3</v>
      </c>
      <c r="U1326" t="str">
        <f t="shared" si="289"/>
        <v>KIỆN 14</v>
      </c>
      <c r="V1326" t="str">
        <f t="shared" si="302"/>
        <v/>
      </c>
      <c r="W1326" s="266"/>
      <c r="X1326" s="266"/>
      <c r="Y1326" s="266" t="str">
        <f t="shared" si="294"/>
        <v/>
      </c>
      <c r="Z1326" s="266"/>
    </row>
    <row r="1327" spans="1:26" ht="27" hidden="1" customHeight="1">
      <c r="A1327" s="70" t="str">
        <f t="shared" si="290"/>
        <v/>
      </c>
      <c r="B1327" s="70" t="str">
        <f t="shared" si="291"/>
        <v/>
      </c>
      <c r="C1327" s="204" t="str" cm="1">
        <f t="array" ref="C1327">IF(D1327="","",
    IF(AND(ISNUMBER(D1327), D1327=INT(D1327)),
        $V$6 &amp; " " &amp; (IFERROR(MAX($Y$12:$Y1326), 0) + 1),
        IF(ISNUMBER(SEARCH(".", D1327)), "", INDEX($C$12:$C1327, MATCH(2, 1/($C$12:$C1327 &lt;&gt; ""))))
    )
)</f>
        <v/>
      </c>
      <c r="D1327" s="206"/>
      <c r="E1327" s="206" t="str">
        <f>IF(AA1327 = "", "",
    IF(ISNUMBER(SEARCH("Kiện", C1327)),
       " GÓI " &amp; COUNTIF($C$13:C1327, "*Kiện*") &amp; "/" &amp; COUNTIF($C$13:$C$1000, "*Kiện*") &amp; " " &amp; AA1327,
       AA1327)
)</f>
        <v/>
      </c>
      <c r="F1327" s="206"/>
      <c r="G1327" s="206"/>
      <c r="H1327" s="206"/>
      <c r="I1327" s="206"/>
      <c r="J1327" s="206" t="str">
        <f t="shared" si="293"/>
        <v/>
      </c>
      <c r="K1327" s="206" t="str">
        <f t="shared" si="295"/>
        <v/>
      </c>
      <c r="L1327" s="206" t="str">
        <f t="shared" si="296"/>
        <v/>
      </c>
      <c r="M1327" s="206" t="str">
        <f t="shared" si="297"/>
        <v/>
      </c>
      <c r="N1327" s="206" t="str">
        <f t="shared" si="298"/>
        <v/>
      </c>
      <c r="O1327" s="206" t="str">
        <f t="shared" si="299"/>
        <v/>
      </c>
      <c r="P1327" s="84" t="str">
        <f t="shared" si="300"/>
        <v/>
      </c>
      <c r="Q1327" s="205"/>
      <c r="R1327" s="70" t="str">
        <f>IF(S1327="IN",'BOM_Phan II'!$Y$3,"")</f>
        <v/>
      </c>
      <c r="S1327" s="69" t="str">
        <f t="shared" si="292"/>
        <v/>
      </c>
      <c r="T1327">
        <f t="shared" si="301"/>
        <v>3</v>
      </c>
      <c r="U1327" t="str">
        <f t="shared" si="289"/>
        <v>KIỆN 14</v>
      </c>
      <c r="V1327" t="str">
        <f t="shared" si="302"/>
        <v/>
      </c>
      <c r="W1327" s="266"/>
      <c r="X1327" s="266"/>
      <c r="Y1327" s="266" t="str">
        <f t="shared" si="294"/>
        <v/>
      </c>
      <c r="Z1327" s="266"/>
    </row>
    <row r="1328" spans="1:26" ht="27" hidden="1" customHeight="1">
      <c r="A1328" s="70" t="str">
        <f t="shared" si="290"/>
        <v/>
      </c>
      <c r="B1328" s="70" t="str">
        <f t="shared" si="291"/>
        <v/>
      </c>
      <c r="C1328" s="204" t="str" cm="1">
        <f t="array" ref="C1328">IF(D1328="","",
    IF(AND(ISNUMBER(D1328), D1328=INT(D1328)),
        $V$6 &amp; " " &amp; (IFERROR(MAX($Y$12:$Y1327), 0) + 1),
        IF(ISNUMBER(SEARCH(".", D1328)), "", INDEX($C$12:$C1328, MATCH(2, 1/($C$12:$C1328 &lt;&gt; ""))))
    )
)</f>
        <v/>
      </c>
      <c r="D1328" s="206"/>
      <c r="E1328" s="206" t="str">
        <f>IF(AA1328 = "", "",
    IF(ISNUMBER(SEARCH("Kiện", C1328)),
       " GÓI " &amp; COUNTIF($C$13:C1328, "*Kiện*") &amp; "/" &amp; COUNTIF($C$13:$C$1000, "*Kiện*") &amp; " " &amp; AA1328,
       AA1328)
)</f>
        <v/>
      </c>
      <c r="F1328" s="206"/>
      <c r="G1328" s="206"/>
      <c r="H1328" s="206"/>
      <c r="I1328" s="206"/>
      <c r="J1328" s="206" t="str">
        <f t="shared" si="293"/>
        <v/>
      </c>
      <c r="K1328" s="206" t="str">
        <f t="shared" si="295"/>
        <v/>
      </c>
      <c r="L1328" s="206" t="str">
        <f t="shared" si="296"/>
        <v/>
      </c>
      <c r="M1328" s="206" t="str">
        <f t="shared" si="297"/>
        <v/>
      </c>
      <c r="N1328" s="206" t="str">
        <f t="shared" si="298"/>
        <v/>
      </c>
      <c r="O1328" s="206" t="str">
        <f t="shared" si="299"/>
        <v/>
      </c>
      <c r="P1328" s="84" t="str">
        <f t="shared" si="300"/>
        <v/>
      </c>
      <c r="Q1328" s="205"/>
      <c r="R1328" s="70" t="str">
        <f>IF(S1328="IN",'BOM_Phan II'!$Y$3,"")</f>
        <v/>
      </c>
      <c r="S1328" s="69" t="str">
        <f t="shared" si="292"/>
        <v/>
      </c>
      <c r="T1328">
        <f t="shared" si="301"/>
        <v>3</v>
      </c>
      <c r="U1328" t="str">
        <f t="shared" si="289"/>
        <v>KIỆN 14</v>
      </c>
      <c r="V1328" t="str">
        <f t="shared" si="302"/>
        <v/>
      </c>
      <c r="W1328" s="266"/>
      <c r="X1328" s="266"/>
      <c r="Y1328" s="266" t="str">
        <f t="shared" si="294"/>
        <v/>
      </c>
      <c r="Z1328" s="266"/>
    </row>
    <row r="1329" spans="1:26" ht="27" hidden="1" customHeight="1">
      <c r="A1329" s="70" t="str">
        <f t="shared" si="290"/>
        <v/>
      </c>
      <c r="B1329" s="70" t="str">
        <f t="shared" si="291"/>
        <v/>
      </c>
      <c r="C1329" s="204" t="str" cm="1">
        <f t="array" ref="C1329">IF(D1329="","",
    IF(AND(ISNUMBER(D1329), D1329=INT(D1329)),
        $V$6 &amp; " " &amp; (IFERROR(MAX($Y$12:$Y1328), 0) + 1),
        IF(ISNUMBER(SEARCH(".", D1329)), "", INDEX($C$12:$C1329, MATCH(2, 1/($C$12:$C1329 &lt;&gt; ""))))
    )
)</f>
        <v/>
      </c>
      <c r="D1329" s="206"/>
      <c r="E1329" s="206" t="str">
        <f>IF(AA1329 = "", "",
    IF(ISNUMBER(SEARCH("Kiện", C1329)),
       " GÓI " &amp; COUNTIF($C$13:C1329, "*Kiện*") &amp; "/" &amp; COUNTIF($C$13:$C$1000, "*Kiện*") &amp; " " &amp; AA1329,
       AA1329)
)</f>
        <v/>
      </c>
      <c r="F1329" s="206"/>
      <c r="G1329" s="206"/>
      <c r="H1329" s="206"/>
      <c r="I1329" s="206"/>
      <c r="J1329" s="206" t="str">
        <f t="shared" si="293"/>
        <v/>
      </c>
      <c r="K1329" s="206" t="str">
        <f t="shared" si="295"/>
        <v/>
      </c>
      <c r="L1329" s="206" t="str">
        <f t="shared" si="296"/>
        <v/>
      </c>
      <c r="M1329" s="206" t="str">
        <f t="shared" si="297"/>
        <v/>
      </c>
      <c r="N1329" s="206" t="str">
        <f t="shared" si="298"/>
        <v/>
      </c>
      <c r="O1329" s="206" t="str">
        <f t="shared" si="299"/>
        <v/>
      </c>
      <c r="P1329" s="84" t="str">
        <f t="shared" si="300"/>
        <v/>
      </c>
      <c r="Q1329" s="205"/>
      <c r="R1329" s="70" t="str">
        <f>IF(S1329="IN",'BOM_Phan II'!$Y$3,"")</f>
        <v/>
      </c>
      <c r="S1329" s="69" t="str">
        <f t="shared" si="292"/>
        <v/>
      </c>
      <c r="T1329">
        <f t="shared" si="301"/>
        <v>3</v>
      </c>
      <c r="U1329" t="str">
        <f t="shared" si="289"/>
        <v>KIỆN 14</v>
      </c>
      <c r="V1329" t="str">
        <f t="shared" si="302"/>
        <v/>
      </c>
      <c r="W1329" s="266"/>
      <c r="X1329" s="266"/>
      <c r="Y1329" s="266" t="str">
        <f t="shared" si="294"/>
        <v/>
      </c>
      <c r="Z1329" s="266"/>
    </row>
    <row r="1330" spans="1:26" ht="27" hidden="1" customHeight="1">
      <c r="A1330" s="70" t="str">
        <f t="shared" si="290"/>
        <v/>
      </c>
      <c r="B1330" s="70" t="str">
        <f t="shared" si="291"/>
        <v/>
      </c>
      <c r="C1330" s="204" t="str" cm="1">
        <f t="array" ref="C1330">IF(D1330="","",
    IF(AND(ISNUMBER(D1330), D1330=INT(D1330)),
        $V$6 &amp; " " &amp; (IFERROR(MAX($Y$12:$Y1329), 0) + 1),
        IF(ISNUMBER(SEARCH(".", D1330)), "", INDEX($C$12:$C1330, MATCH(2, 1/($C$12:$C1330 &lt;&gt; ""))))
    )
)</f>
        <v/>
      </c>
      <c r="D1330" s="206"/>
      <c r="E1330" s="206" t="str">
        <f>IF(AA1330 = "", "",
    IF(ISNUMBER(SEARCH("Kiện", C1330)),
       " GÓI " &amp; COUNTIF($C$13:C1330, "*Kiện*") &amp; "/" &amp; COUNTIF($C$13:$C$1000, "*Kiện*") &amp; " " &amp; AA1330,
       AA1330)
)</f>
        <v/>
      </c>
      <c r="F1330" s="206"/>
      <c r="G1330" s="206"/>
      <c r="H1330" s="206"/>
      <c r="I1330" s="206"/>
      <c r="J1330" s="206" t="str">
        <f t="shared" si="293"/>
        <v/>
      </c>
      <c r="K1330" s="206" t="str">
        <f t="shared" si="295"/>
        <v/>
      </c>
      <c r="L1330" s="206" t="str">
        <f t="shared" si="296"/>
        <v/>
      </c>
      <c r="M1330" s="206" t="str">
        <f t="shared" si="297"/>
        <v/>
      </c>
      <c r="N1330" s="206" t="str">
        <f t="shared" si="298"/>
        <v/>
      </c>
      <c r="O1330" s="206" t="str">
        <f t="shared" si="299"/>
        <v/>
      </c>
      <c r="P1330" s="84" t="str">
        <f t="shared" si="300"/>
        <v/>
      </c>
      <c r="Q1330" s="205"/>
      <c r="R1330" s="70" t="str">
        <f>IF(S1330="IN",'BOM_Phan II'!$Y$3,"")</f>
        <v/>
      </c>
      <c r="S1330" s="69" t="str">
        <f t="shared" si="292"/>
        <v/>
      </c>
      <c r="T1330">
        <f t="shared" si="301"/>
        <v>3</v>
      </c>
      <c r="U1330" t="str">
        <f t="shared" si="289"/>
        <v>KIỆN 14</v>
      </c>
      <c r="V1330" t="str">
        <f t="shared" si="302"/>
        <v/>
      </c>
      <c r="W1330" s="266"/>
      <c r="X1330" s="266"/>
      <c r="Y1330" s="266" t="str">
        <f t="shared" si="294"/>
        <v/>
      </c>
      <c r="Z1330" s="266"/>
    </row>
    <row r="1331" spans="1:26" ht="27" hidden="1" customHeight="1">
      <c r="A1331" s="70" t="str">
        <f t="shared" si="290"/>
        <v/>
      </c>
      <c r="B1331" s="70" t="str">
        <f t="shared" si="291"/>
        <v/>
      </c>
      <c r="C1331" s="204" t="str" cm="1">
        <f t="array" ref="C1331">IF(D1331="","",
    IF(AND(ISNUMBER(D1331), D1331=INT(D1331)),
        $V$6 &amp; " " &amp; (IFERROR(MAX($Y$12:$Y1330), 0) + 1),
        IF(ISNUMBER(SEARCH(".", D1331)), "", INDEX($C$12:$C1331, MATCH(2, 1/($C$12:$C1331 &lt;&gt; ""))))
    )
)</f>
        <v/>
      </c>
      <c r="D1331" s="206"/>
      <c r="E1331" s="206" t="str">
        <f>IF(AA1331 = "", "",
    IF(ISNUMBER(SEARCH("Kiện", C1331)),
       " GÓI " &amp; COUNTIF($C$13:C1331, "*Kiện*") &amp; "/" &amp; COUNTIF($C$13:$C$1000, "*Kiện*") &amp; " " &amp; AA1331,
       AA1331)
)</f>
        <v/>
      </c>
      <c r="F1331" s="206"/>
      <c r="G1331" s="206"/>
      <c r="H1331" s="206"/>
      <c r="I1331" s="206"/>
      <c r="J1331" s="206" t="str">
        <f t="shared" si="293"/>
        <v/>
      </c>
      <c r="K1331" s="206" t="str">
        <f t="shared" si="295"/>
        <v/>
      </c>
      <c r="L1331" s="206" t="str">
        <f t="shared" si="296"/>
        <v/>
      </c>
      <c r="M1331" s="206" t="str">
        <f t="shared" si="297"/>
        <v/>
      </c>
      <c r="N1331" s="206" t="str">
        <f t="shared" si="298"/>
        <v/>
      </c>
      <c r="O1331" s="206" t="str">
        <f t="shared" si="299"/>
        <v/>
      </c>
      <c r="P1331" s="84" t="str">
        <f t="shared" si="300"/>
        <v/>
      </c>
      <c r="Q1331" s="205"/>
      <c r="R1331" s="70" t="str">
        <f>IF(S1331="IN",'BOM_Phan II'!$Y$3,"")</f>
        <v/>
      </c>
      <c r="S1331" s="69" t="str">
        <f t="shared" si="292"/>
        <v/>
      </c>
      <c r="T1331">
        <f t="shared" si="301"/>
        <v>3</v>
      </c>
      <c r="U1331" t="str">
        <f t="shared" si="289"/>
        <v>KIỆN 14</v>
      </c>
      <c r="V1331" t="str">
        <f t="shared" si="302"/>
        <v/>
      </c>
      <c r="W1331" s="266"/>
      <c r="X1331" s="266"/>
      <c r="Y1331" s="266" t="str">
        <f t="shared" si="294"/>
        <v/>
      </c>
      <c r="Z1331" s="266"/>
    </row>
    <row r="1332" spans="1:26" ht="27" hidden="1" customHeight="1">
      <c r="A1332" s="70" t="str">
        <f t="shared" si="290"/>
        <v/>
      </c>
      <c r="B1332" s="70" t="str">
        <f t="shared" si="291"/>
        <v/>
      </c>
      <c r="C1332" s="204" t="str" cm="1">
        <f t="array" ref="C1332">IF(D1332="","",
    IF(AND(ISNUMBER(D1332), D1332=INT(D1332)),
        $V$6 &amp; " " &amp; (IFERROR(MAX($Y$12:$Y1331), 0) + 1),
        IF(ISNUMBER(SEARCH(".", D1332)), "", INDEX($C$12:$C1332, MATCH(2, 1/($C$12:$C1332 &lt;&gt; ""))))
    )
)</f>
        <v/>
      </c>
      <c r="D1332" s="206"/>
      <c r="E1332" s="206" t="str">
        <f>IF(AA1332 = "", "",
    IF(ISNUMBER(SEARCH("Kiện", C1332)),
       " GÓI " &amp; COUNTIF($C$13:C1332, "*Kiện*") &amp; "/" &amp; COUNTIF($C$13:$C$1000, "*Kiện*") &amp; " " &amp; AA1332,
       AA1332)
)</f>
        <v/>
      </c>
      <c r="F1332" s="206"/>
      <c r="G1332" s="206"/>
      <c r="H1332" s="206"/>
      <c r="I1332" s="206"/>
      <c r="J1332" s="206" t="str">
        <f t="shared" si="293"/>
        <v/>
      </c>
      <c r="K1332" s="206" t="str">
        <f t="shared" si="295"/>
        <v/>
      </c>
      <c r="L1332" s="206" t="str">
        <f t="shared" si="296"/>
        <v/>
      </c>
      <c r="M1332" s="206" t="str">
        <f t="shared" si="297"/>
        <v/>
      </c>
      <c r="N1332" s="206" t="str">
        <f t="shared" si="298"/>
        <v/>
      </c>
      <c r="O1332" s="206" t="str">
        <f t="shared" si="299"/>
        <v/>
      </c>
      <c r="P1332" s="84" t="str">
        <f t="shared" si="300"/>
        <v/>
      </c>
      <c r="Q1332" s="205"/>
      <c r="R1332" s="70" t="str">
        <f>IF(S1332="IN",'BOM_Phan II'!$Y$3,"")</f>
        <v/>
      </c>
      <c r="S1332" s="69" t="str">
        <f t="shared" si="292"/>
        <v/>
      </c>
      <c r="T1332">
        <f t="shared" si="301"/>
        <v>3</v>
      </c>
      <c r="U1332" t="str">
        <f t="shared" si="289"/>
        <v>KIỆN 14</v>
      </c>
      <c r="V1332" t="str">
        <f t="shared" si="302"/>
        <v/>
      </c>
      <c r="W1332" s="266"/>
      <c r="X1332" s="266"/>
      <c r="Y1332" s="266" t="str">
        <f t="shared" si="294"/>
        <v/>
      </c>
      <c r="Z1332" s="266"/>
    </row>
    <row r="1333" spans="1:26" ht="27" hidden="1" customHeight="1">
      <c r="A1333" s="70" t="str">
        <f t="shared" si="290"/>
        <v/>
      </c>
      <c r="B1333" s="70" t="str">
        <f t="shared" si="291"/>
        <v/>
      </c>
      <c r="C1333" s="204" t="str" cm="1">
        <f t="array" ref="C1333">IF(D1333="","",
    IF(AND(ISNUMBER(D1333), D1333=INT(D1333)),
        $V$6 &amp; " " &amp; (IFERROR(MAX($Y$12:$Y1332), 0) + 1),
        IF(ISNUMBER(SEARCH(".", D1333)), "", INDEX($C$12:$C1333, MATCH(2, 1/($C$12:$C1333 &lt;&gt; ""))))
    )
)</f>
        <v/>
      </c>
      <c r="D1333" s="206"/>
      <c r="E1333" s="206" t="str">
        <f>IF(AA1333 = "", "",
    IF(ISNUMBER(SEARCH("Kiện", C1333)),
       " GÓI " &amp; COUNTIF($C$13:C1333, "*Kiện*") &amp; "/" &amp; COUNTIF($C$13:$C$1000, "*Kiện*") &amp; " " &amp; AA1333,
       AA1333)
)</f>
        <v/>
      </c>
      <c r="F1333" s="206"/>
      <c r="G1333" s="206"/>
      <c r="H1333" s="206"/>
      <c r="I1333" s="206"/>
      <c r="J1333" s="206" t="str">
        <f t="shared" si="293"/>
        <v/>
      </c>
      <c r="K1333" s="206" t="str">
        <f t="shared" si="295"/>
        <v/>
      </c>
      <c r="L1333" s="206" t="str">
        <f t="shared" si="296"/>
        <v/>
      </c>
      <c r="M1333" s="206" t="str">
        <f t="shared" si="297"/>
        <v/>
      </c>
      <c r="N1333" s="206" t="str">
        <f t="shared" si="298"/>
        <v/>
      </c>
      <c r="O1333" s="206" t="str">
        <f t="shared" si="299"/>
        <v/>
      </c>
      <c r="P1333" s="84" t="str">
        <f t="shared" si="300"/>
        <v/>
      </c>
      <c r="Q1333" s="205"/>
      <c r="R1333" s="70" t="str">
        <f>IF(S1333="IN",'BOM_Phan II'!$Y$3,"")</f>
        <v/>
      </c>
      <c r="S1333" s="69" t="str">
        <f t="shared" si="292"/>
        <v/>
      </c>
      <c r="T1333">
        <f t="shared" si="301"/>
        <v>3</v>
      </c>
      <c r="U1333" t="str">
        <f t="shared" si="289"/>
        <v>KIỆN 14</v>
      </c>
      <c r="V1333" t="str">
        <f t="shared" si="302"/>
        <v/>
      </c>
      <c r="W1333" s="266"/>
      <c r="X1333" s="266"/>
      <c r="Y1333" s="266" t="str">
        <f t="shared" si="294"/>
        <v/>
      </c>
      <c r="Z1333" s="266"/>
    </row>
    <row r="1334" spans="1:26" ht="27" hidden="1" customHeight="1">
      <c r="A1334" s="70" t="str">
        <f t="shared" si="290"/>
        <v/>
      </c>
      <c r="B1334" s="70" t="str">
        <f t="shared" si="291"/>
        <v/>
      </c>
      <c r="C1334" s="204" t="str" cm="1">
        <f t="array" ref="C1334">IF(D1334="","",
    IF(AND(ISNUMBER(D1334), D1334=INT(D1334)),
        $V$6 &amp; " " &amp; (IFERROR(MAX($Y$12:$Y1333), 0) + 1),
        IF(ISNUMBER(SEARCH(".", D1334)), "", INDEX($C$12:$C1334, MATCH(2, 1/($C$12:$C1334 &lt;&gt; ""))))
    )
)</f>
        <v/>
      </c>
      <c r="D1334" s="206"/>
      <c r="E1334" s="206" t="str">
        <f>IF(AA1334 = "", "",
    IF(ISNUMBER(SEARCH("Kiện", C1334)),
       " GÓI " &amp; COUNTIF($C$13:C1334, "*Kiện*") &amp; "/" &amp; COUNTIF($C$13:$C$1000, "*Kiện*") &amp; " " &amp; AA1334,
       AA1334)
)</f>
        <v/>
      </c>
      <c r="F1334" s="206"/>
      <c r="G1334" s="206"/>
      <c r="H1334" s="206"/>
      <c r="I1334" s="206"/>
      <c r="J1334" s="206" t="str">
        <f t="shared" si="293"/>
        <v/>
      </c>
      <c r="K1334" s="206" t="str">
        <f t="shared" si="295"/>
        <v/>
      </c>
      <c r="L1334" s="206" t="str">
        <f t="shared" si="296"/>
        <v/>
      </c>
      <c r="M1334" s="206" t="str">
        <f t="shared" si="297"/>
        <v/>
      </c>
      <c r="N1334" s="206" t="str">
        <f t="shared" si="298"/>
        <v/>
      </c>
      <c r="O1334" s="206" t="str">
        <f t="shared" si="299"/>
        <v/>
      </c>
      <c r="P1334" s="84" t="str">
        <f t="shared" si="300"/>
        <v/>
      </c>
      <c r="Q1334" s="205"/>
      <c r="R1334" s="70" t="str">
        <f>IF(S1334="IN",'BOM_Phan II'!$Y$3,"")</f>
        <v/>
      </c>
      <c r="S1334" s="69" t="str">
        <f t="shared" si="292"/>
        <v/>
      </c>
      <c r="T1334">
        <f t="shared" si="301"/>
        <v>3</v>
      </c>
      <c r="U1334" t="str">
        <f t="shared" si="289"/>
        <v>KIỆN 14</v>
      </c>
      <c r="V1334" t="str">
        <f t="shared" si="302"/>
        <v/>
      </c>
      <c r="W1334" s="266"/>
      <c r="X1334" s="266"/>
      <c r="Y1334" s="266" t="str">
        <f t="shared" si="294"/>
        <v/>
      </c>
      <c r="Z1334" s="266"/>
    </row>
    <row r="1335" spans="1:26" ht="27" hidden="1" customHeight="1">
      <c r="A1335" s="70" t="str">
        <f t="shared" si="290"/>
        <v/>
      </c>
      <c r="B1335" s="70" t="str">
        <f t="shared" si="291"/>
        <v/>
      </c>
      <c r="C1335" s="204" t="str" cm="1">
        <f t="array" ref="C1335">IF(D1335="","",
    IF(AND(ISNUMBER(D1335), D1335=INT(D1335)),
        $V$6 &amp; " " &amp; (IFERROR(MAX($Y$12:$Y1334), 0) + 1),
        IF(ISNUMBER(SEARCH(".", D1335)), "", INDEX($C$12:$C1335, MATCH(2, 1/($C$12:$C1335 &lt;&gt; ""))))
    )
)</f>
        <v/>
      </c>
      <c r="D1335" s="206"/>
      <c r="E1335" s="206" t="str">
        <f>IF(AA1335 = "", "",
    IF(ISNUMBER(SEARCH("Kiện", C1335)),
       " GÓI " &amp; COUNTIF($C$13:C1335, "*Kiện*") &amp; "/" &amp; COUNTIF($C$13:$C$1000, "*Kiện*") &amp; " " &amp; AA1335,
       AA1335)
)</f>
        <v/>
      </c>
      <c r="F1335" s="206"/>
      <c r="G1335" s="206"/>
      <c r="H1335" s="206"/>
      <c r="I1335" s="206"/>
      <c r="J1335" s="206" t="str">
        <f t="shared" si="293"/>
        <v/>
      </c>
      <c r="K1335" s="206" t="str">
        <f t="shared" si="295"/>
        <v/>
      </c>
      <c r="L1335" s="206" t="str">
        <f t="shared" si="296"/>
        <v/>
      </c>
      <c r="M1335" s="206" t="str">
        <f t="shared" si="297"/>
        <v/>
      </c>
      <c r="N1335" s="206" t="str">
        <f t="shared" si="298"/>
        <v/>
      </c>
      <c r="O1335" s="206" t="str">
        <f t="shared" si="299"/>
        <v/>
      </c>
      <c r="P1335" s="84" t="str">
        <f t="shared" si="300"/>
        <v/>
      </c>
      <c r="Q1335" s="205"/>
      <c r="R1335" s="70" t="str">
        <f>IF(S1335="IN",'BOM_Phan II'!$Y$3,"")</f>
        <v/>
      </c>
      <c r="S1335" s="69" t="str">
        <f t="shared" si="292"/>
        <v/>
      </c>
      <c r="T1335">
        <f t="shared" si="301"/>
        <v>3</v>
      </c>
      <c r="U1335" t="str">
        <f t="shared" si="289"/>
        <v>KIỆN 14</v>
      </c>
      <c r="V1335" t="str">
        <f t="shared" si="302"/>
        <v/>
      </c>
      <c r="W1335" s="266"/>
      <c r="X1335" s="266"/>
      <c r="Y1335" s="266" t="str">
        <f t="shared" si="294"/>
        <v/>
      </c>
      <c r="Z1335" s="266"/>
    </row>
    <row r="1336" spans="1:26" ht="27" hidden="1" customHeight="1">
      <c r="A1336" s="70" t="str">
        <f t="shared" si="290"/>
        <v/>
      </c>
      <c r="B1336" s="70" t="str">
        <f t="shared" si="291"/>
        <v/>
      </c>
      <c r="C1336" s="204" t="str" cm="1">
        <f t="array" ref="C1336">IF(D1336="","",
    IF(AND(ISNUMBER(D1336), D1336=INT(D1336)),
        $V$6 &amp; " " &amp; (IFERROR(MAX($Y$12:$Y1335), 0) + 1),
        IF(ISNUMBER(SEARCH(".", D1336)), "", INDEX($C$12:$C1336, MATCH(2, 1/($C$12:$C1336 &lt;&gt; ""))))
    )
)</f>
        <v/>
      </c>
      <c r="D1336" s="206"/>
      <c r="E1336" s="206" t="str">
        <f>IF(AA1336 = "", "",
    IF(ISNUMBER(SEARCH("Kiện", C1336)),
       " GÓI " &amp; COUNTIF($C$13:C1336, "*Kiện*") &amp; "/" &amp; COUNTIF($C$13:$C$1000, "*Kiện*") &amp; " " &amp; AA1336,
       AA1336)
)</f>
        <v/>
      </c>
      <c r="F1336" s="206"/>
      <c r="G1336" s="206"/>
      <c r="H1336" s="206"/>
      <c r="I1336" s="206"/>
      <c r="J1336" s="206" t="str">
        <f t="shared" si="293"/>
        <v/>
      </c>
      <c r="K1336" s="206" t="str">
        <f t="shared" si="295"/>
        <v/>
      </c>
      <c r="L1336" s="206" t="str">
        <f t="shared" si="296"/>
        <v/>
      </c>
      <c r="M1336" s="206" t="str">
        <f t="shared" si="297"/>
        <v/>
      </c>
      <c r="N1336" s="206" t="str">
        <f t="shared" si="298"/>
        <v/>
      </c>
      <c r="O1336" s="206" t="str">
        <f t="shared" si="299"/>
        <v/>
      </c>
      <c r="P1336" s="84" t="str">
        <f t="shared" si="300"/>
        <v/>
      </c>
      <c r="Q1336" s="205"/>
      <c r="R1336" s="70" t="str">
        <f>IF(S1336="IN",'BOM_Phan II'!$Y$3,"")</f>
        <v/>
      </c>
      <c r="S1336" s="69" t="str">
        <f t="shared" si="292"/>
        <v/>
      </c>
      <c r="T1336">
        <f t="shared" si="301"/>
        <v>3</v>
      </c>
      <c r="U1336" t="str">
        <f t="shared" si="289"/>
        <v>KIỆN 14</v>
      </c>
      <c r="V1336" t="str">
        <f t="shared" si="302"/>
        <v/>
      </c>
      <c r="W1336" s="266"/>
      <c r="X1336" s="266"/>
      <c r="Y1336" s="266" t="str">
        <f t="shared" si="294"/>
        <v/>
      </c>
      <c r="Z1336" s="266"/>
    </row>
    <row r="1337" spans="1:26" ht="27" hidden="1" customHeight="1">
      <c r="A1337" s="70" t="str">
        <f t="shared" si="290"/>
        <v/>
      </c>
      <c r="B1337" s="70" t="str">
        <f t="shared" si="291"/>
        <v/>
      </c>
      <c r="C1337" s="204" t="str" cm="1">
        <f t="array" ref="C1337">IF(D1337="","",
    IF(AND(ISNUMBER(D1337), D1337=INT(D1337)),
        $V$6 &amp; " " &amp; (IFERROR(MAX($Y$12:$Y1336), 0) + 1),
        IF(ISNUMBER(SEARCH(".", D1337)), "", INDEX($C$12:$C1337, MATCH(2, 1/($C$12:$C1337 &lt;&gt; ""))))
    )
)</f>
        <v/>
      </c>
      <c r="D1337" s="206"/>
      <c r="E1337" s="206" t="str">
        <f>IF(AA1337 = "", "",
    IF(ISNUMBER(SEARCH("Kiện", C1337)),
       " GÓI " &amp; COUNTIF($C$13:C1337, "*Kiện*") &amp; "/" &amp; COUNTIF($C$13:$C$1000, "*Kiện*") &amp; " " &amp; AA1337,
       AA1337)
)</f>
        <v/>
      </c>
      <c r="F1337" s="206"/>
      <c r="G1337" s="206"/>
      <c r="H1337" s="206"/>
      <c r="I1337" s="206"/>
      <c r="J1337" s="206" t="str">
        <f t="shared" si="293"/>
        <v/>
      </c>
      <c r="K1337" s="206" t="str">
        <f t="shared" si="295"/>
        <v/>
      </c>
      <c r="L1337" s="206" t="str">
        <f t="shared" si="296"/>
        <v/>
      </c>
      <c r="M1337" s="206" t="str">
        <f t="shared" si="297"/>
        <v/>
      </c>
      <c r="N1337" s="206" t="str">
        <f t="shared" si="298"/>
        <v/>
      </c>
      <c r="O1337" s="206" t="str">
        <f t="shared" si="299"/>
        <v/>
      </c>
      <c r="P1337" s="84" t="str">
        <f t="shared" si="300"/>
        <v/>
      </c>
      <c r="Q1337" s="205"/>
      <c r="R1337" s="70" t="str">
        <f>IF(S1337="IN",'BOM_Phan II'!$Y$3,"")</f>
        <v/>
      </c>
      <c r="S1337" s="69" t="str">
        <f t="shared" si="292"/>
        <v/>
      </c>
      <c r="T1337">
        <f t="shared" si="301"/>
        <v>3</v>
      </c>
      <c r="U1337" t="str">
        <f t="shared" si="289"/>
        <v>KIỆN 14</v>
      </c>
      <c r="V1337" t="str">
        <f t="shared" si="302"/>
        <v/>
      </c>
      <c r="W1337" s="266"/>
      <c r="X1337" s="266"/>
      <c r="Y1337" s="266" t="str">
        <f t="shared" si="294"/>
        <v/>
      </c>
      <c r="Z1337" s="266"/>
    </row>
    <row r="1338" spans="1:26" ht="27" hidden="1" customHeight="1">
      <c r="A1338" s="70" t="str">
        <f t="shared" si="290"/>
        <v/>
      </c>
      <c r="B1338" s="70" t="str">
        <f t="shared" si="291"/>
        <v/>
      </c>
      <c r="C1338" s="204" t="str" cm="1">
        <f t="array" ref="C1338">IF(D1338="","",
    IF(AND(ISNUMBER(D1338), D1338=INT(D1338)),
        $V$6 &amp; " " &amp; (IFERROR(MAX($Y$12:$Y1337), 0) + 1),
        IF(ISNUMBER(SEARCH(".", D1338)), "", INDEX($C$12:$C1338, MATCH(2, 1/($C$12:$C1338 &lt;&gt; ""))))
    )
)</f>
        <v/>
      </c>
      <c r="D1338" s="206"/>
      <c r="E1338" s="206" t="str">
        <f>IF(AA1338 = "", "",
    IF(ISNUMBER(SEARCH("Kiện", C1338)),
       " GÓI " &amp; COUNTIF($C$13:C1338, "*Kiện*") &amp; "/" &amp; COUNTIF($C$13:$C$1000, "*Kiện*") &amp; " " &amp; AA1338,
       AA1338)
)</f>
        <v/>
      </c>
      <c r="F1338" s="206"/>
      <c r="G1338" s="206"/>
      <c r="H1338" s="206"/>
      <c r="I1338" s="206"/>
      <c r="J1338" s="206" t="str">
        <f t="shared" si="293"/>
        <v/>
      </c>
      <c r="K1338" s="206" t="str">
        <f t="shared" si="295"/>
        <v/>
      </c>
      <c r="L1338" s="206" t="str">
        <f t="shared" si="296"/>
        <v/>
      </c>
      <c r="M1338" s="206" t="str">
        <f t="shared" si="297"/>
        <v/>
      </c>
      <c r="N1338" s="206" t="str">
        <f t="shared" si="298"/>
        <v/>
      </c>
      <c r="O1338" s="206" t="str">
        <f t="shared" si="299"/>
        <v/>
      </c>
      <c r="P1338" s="84" t="str">
        <f t="shared" si="300"/>
        <v/>
      </c>
      <c r="Q1338" s="205"/>
      <c r="R1338" s="70" t="str">
        <f>IF(S1338="IN",'BOM_Phan II'!$Y$3,"")</f>
        <v/>
      </c>
      <c r="S1338" s="69" t="str">
        <f t="shared" si="292"/>
        <v/>
      </c>
      <c r="T1338">
        <f t="shared" si="301"/>
        <v>3</v>
      </c>
      <c r="U1338" t="str">
        <f t="shared" si="289"/>
        <v>KIỆN 14</v>
      </c>
      <c r="V1338" t="str">
        <f t="shared" si="302"/>
        <v/>
      </c>
      <c r="W1338" s="266"/>
      <c r="X1338" s="266"/>
      <c r="Y1338" s="266" t="str">
        <f t="shared" si="294"/>
        <v/>
      </c>
      <c r="Z1338" s="266"/>
    </row>
    <row r="1339" spans="1:26" ht="27" hidden="1" customHeight="1">
      <c r="A1339" s="70" t="str">
        <f t="shared" si="290"/>
        <v/>
      </c>
      <c r="B1339" s="70" t="str">
        <f t="shared" si="291"/>
        <v/>
      </c>
      <c r="C1339" s="204" t="str" cm="1">
        <f t="array" ref="C1339">IF(D1339="","",
    IF(AND(ISNUMBER(D1339), D1339=INT(D1339)),
        $V$6 &amp; " " &amp; (IFERROR(MAX($Y$12:$Y1338), 0) + 1),
        IF(ISNUMBER(SEARCH(".", D1339)), "", INDEX($C$12:$C1339, MATCH(2, 1/($C$12:$C1339 &lt;&gt; ""))))
    )
)</f>
        <v/>
      </c>
      <c r="D1339" s="206"/>
      <c r="E1339" s="206" t="str">
        <f>IF(AA1339 = "", "",
    IF(ISNUMBER(SEARCH("Kiện", C1339)),
       " GÓI " &amp; COUNTIF($C$13:C1339, "*Kiện*") &amp; "/" &amp; COUNTIF($C$13:$C$1000, "*Kiện*") &amp; " " &amp; AA1339,
       AA1339)
)</f>
        <v/>
      </c>
      <c r="F1339" s="206"/>
      <c r="G1339" s="206"/>
      <c r="H1339" s="206"/>
      <c r="I1339" s="206"/>
      <c r="J1339" s="206" t="str">
        <f t="shared" si="293"/>
        <v/>
      </c>
      <c r="K1339" s="206" t="str">
        <f t="shared" si="295"/>
        <v/>
      </c>
      <c r="L1339" s="206" t="str">
        <f t="shared" si="296"/>
        <v/>
      </c>
      <c r="M1339" s="206" t="str">
        <f t="shared" si="297"/>
        <v/>
      </c>
      <c r="N1339" s="206" t="str">
        <f t="shared" si="298"/>
        <v/>
      </c>
      <c r="O1339" s="206" t="str">
        <f t="shared" si="299"/>
        <v/>
      </c>
      <c r="P1339" s="84" t="str">
        <f t="shared" si="300"/>
        <v/>
      </c>
      <c r="Q1339" s="205"/>
      <c r="R1339" s="70" t="str">
        <f>IF(S1339="IN",'BOM_Phan II'!$Y$3,"")</f>
        <v/>
      </c>
      <c r="S1339" s="69" t="str">
        <f t="shared" si="292"/>
        <v/>
      </c>
      <c r="T1339">
        <f t="shared" si="301"/>
        <v>3</v>
      </c>
      <c r="U1339" t="str">
        <f t="shared" si="289"/>
        <v>KIỆN 14</v>
      </c>
      <c r="V1339" t="str">
        <f t="shared" si="302"/>
        <v/>
      </c>
      <c r="W1339" s="266"/>
      <c r="X1339" s="266"/>
      <c r="Y1339" s="266" t="str">
        <f t="shared" si="294"/>
        <v/>
      </c>
      <c r="Z1339" s="266"/>
    </row>
    <row r="1340" spans="1:26" ht="27" hidden="1" customHeight="1">
      <c r="A1340" s="70" t="str">
        <f t="shared" si="290"/>
        <v/>
      </c>
      <c r="B1340" s="70" t="str">
        <f t="shared" si="291"/>
        <v/>
      </c>
      <c r="C1340" s="204" t="str" cm="1">
        <f t="array" ref="C1340">IF(D1340="","",
    IF(AND(ISNUMBER(D1340), D1340=INT(D1340)),
        $V$6 &amp; " " &amp; (IFERROR(MAX($Y$12:$Y1339), 0) + 1),
        IF(ISNUMBER(SEARCH(".", D1340)), "", INDEX($C$12:$C1340, MATCH(2, 1/($C$12:$C1340 &lt;&gt; ""))))
    )
)</f>
        <v/>
      </c>
      <c r="D1340" s="206"/>
      <c r="E1340" s="206" t="str">
        <f>IF(AA1340 = "", "",
    IF(ISNUMBER(SEARCH("Kiện", C1340)),
       " GÓI " &amp; COUNTIF($C$13:C1340, "*Kiện*") &amp; "/" &amp; COUNTIF($C$13:$C$1000, "*Kiện*") &amp; " " &amp; AA1340,
       AA1340)
)</f>
        <v/>
      </c>
      <c r="F1340" s="206"/>
      <c r="G1340" s="206"/>
      <c r="H1340" s="206"/>
      <c r="I1340" s="206"/>
      <c r="J1340" s="206" t="str">
        <f t="shared" si="293"/>
        <v/>
      </c>
      <c r="K1340" s="206" t="str">
        <f t="shared" si="295"/>
        <v/>
      </c>
      <c r="L1340" s="206" t="str">
        <f t="shared" si="296"/>
        <v/>
      </c>
      <c r="M1340" s="206" t="str">
        <f t="shared" si="297"/>
        <v/>
      </c>
      <c r="N1340" s="206" t="str">
        <f t="shared" si="298"/>
        <v/>
      </c>
      <c r="O1340" s="206" t="str">
        <f t="shared" si="299"/>
        <v/>
      </c>
      <c r="P1340" s="84" t="str">
        <f t="shared" si="300"/>
        <v/>
      </c>
      <c r="Q1340" s="205"/>
      <c r="R1340" s="70" t="str">
        <f>IF(S1340="IN",'BOM_Phan II'!$Y$3,"")</f>
        <v/>
      </c>
      <c r="S1340" s="69" t="str">
        <f t="shared" si="292"/>
        <v/>
      </c>
      <c r="T1340">
        <f t="shared" si="301"/>
        <v>3</v>
      </c>
      <c r="U1340" t="str">
        <f t="shared" si="289"/>
        <v>KIỆN 14</v>
      </c>
      <c r="V1340" t="str">
        <f t="shared" si="302"/>
        <v/>
      </c>
      <c r="W1340" s="266"/>
      <c r="X1340" s="266"/>
      <c r="Y1340" s="266" t="str">
        <f t="shared" si="294"/>
        <v/>
      </c>
      <c r="Z1340" s="266"/>
    </row>
    <row r="1341" spans="1:26" ht="27" hidden="1" customHeight="1">
      <c r="A1341" s="70" t="str">
        <f t="shared" si="290"/>
        <v/>
      </c>
      <c r="B1341" s="70" t="str">
        <f t="shared" si="291"/>
        <v/>
      </c>
      <c r="C1341" s="204" t="str" cm="1">
        <f t="array" ref="C1341">IF(D1341="","",
    IF(AND(ISNUMBER(D1341), D1341=INT(D1341)),
        $V$6 &amp; " " &amp; (IFERROR(MAX($Y$12:$Y1340), 0) + 1),
        IF(ISNUMBER(SEARCH(".", D1341)), "", INDEX($C$12:$C1341, MATCH(2, 1/($C$12:$C1341 &lt;&gt; ""))))
    )
)</f>
        <v/>
      </c>
      <c r="D1341" s="206"/>
      <c r="E1341" s="206" t="str">
        <f>IF(AA1341 = "", "",
    IF(ISNUMBER(SEARCH("Kiện", C1341)),
       " GÓI " &amp; COUNTIF($C$13:C1341, "*Kiện*") &amp; "/" &amp; COUNTIF($C$13:$C$1000, "*Kiện*") &amp; " " &amp; AA1341,
       AA1341)
)</f>
        <v/>
      </c>
      <c r="F1341" s="206"/>
      <c r="G1341" s="206"/>
      <c r="H1341" s="206"/>
      <c r="I1341" s="206"/>
      <c r="J1341" s="206" t="str">
        <f t="shared" si="293"/>
        <v/>
      </c>
      <c r="K1341" s="206" t="str">
        <f t="shared" si="295"/>
        <v/>
      </c>
      <c r="L1341" s="206" t="str">
        <f t="shared" si="296"/>
        <v/>
      </c>
      <c r="M1341" s="206" t="str">
        <f t="shared" si="297"/>
        <v/>
      </c>
      <c r="N1341" s="206" t="str">
        <f t="shared" si="298"/>
        <v/>
      </c>
      <c r="O1341" s="206" t="str">
        <f t="shared" si="299"/>
        <v/>
      </c>
      <c r="P1341" s="84" t="str">
        <f t="shared" si="300"/>
        <v/>
      </c>
      <c r="Q1341" s="205"/>
      <c r="R1341" s="70" t="str">
        <f>IF(S1341="IN",'BOM_Phan II'!$Y$3,"")</f>
        <v/>
      </c>
      <c r="S1341" s="69" t="str">
        <f t="shared" si="292"/>
        <v/>
      </c>
      <c r="T1341">
        <f t="shared" si="301"/>
        <v>3</v>
      </c>
      <c r="U1341" t="str">
        <f t="shared" si="289"/>
        <v>KIỆN 14</v>
      </c>
      <c r="V1341" t="str">
        <f t="shared" si="302"/>
        <v/>
      </c>
      <c r="W1341" s="266"/>
      <c r="X1341" s="266"/>
      <c r="Y1341" s="266" t="str">
        <f t="shared" si="294"/>
        <v/>
      </c>
      <c r="Z1341" s="266"/>
    </row>
    <row r="1342" spans="1:26" ht="27" hidden="1" customHeight="1">
      <c r="A1342" s="70" t="str">
        <f t="shared" si="290"/>
        <v/>
      </c>
      <c r="B1342" s="70" t="str">
        <f t="shared" si="291"/>
        <v/>
      </c>
      <c r="C1342" s="204" t="str" cm="1">
        <f t="array" ref="C1342">IF(D1342="","",
    IF(AND(ISNUMBER(D1342), D1342=INT(D1342)),
        $V$6 &amp; " " &amp; (IFERROR(MAX($Y$12:$Y1341), 0) + 1),
        IF(ISNUMBER(SEARCH(".", D1342)), "", INDEX($C$12:$C1342, MATCH(2, 1/($C$12:$C1342 &lt;&gt; ""))))
    )
)</f>
        <v/>
      </c>
      <c r="D1342" s="206"/>
      <c r="E1342" s="206" t="str">
        <f>IF(AA1342 = "", "",
    IF(ISNUMBER(SEARCH("Kiện", C1342)),
       " GÓI " &amp; COUNTIF($C$13:C1342, "*Kiện*") &amp; "/" &amp; COUNTIF($C$13:$C$1000, "*Kiện*") &amp; " " &amp; AA1342,
       AA1342)
)</f>
        <v/>
      </c>
      <c r="F1342" s="206"/>
      <c r="G1342" s="206"/>
      <c r="H1342" s="206"/>
      <c r="I1342" s="206"/>
      <c r="J1342" s="206" t="str">
        <f t="shared" si="293"/>
        <v/>
      </c>
      <c r="K1342" s="206" t="str">
        <f t="shared" si="295"/>
        <v/>
      </c>
      <c r="L1342" s="206" t="str">
        <f t="shared" si="296"/>
        <v/>
      </c>
      <c r="M1342" s="206" t="str">
        <f t="shared" si="297"/>
        <v/>
      </c>
      <c r="N1342" s="206" t="str">
        <f t="shared" si="298"/>
        <v/>
      </c>
      <c r="O1342" s="206" t="str">
        <f t="shared" si="299"/>
        <v/>
      </c>
      <c r="P1342" s="84" t="str">
        <f t="shared" si="300"/>
        <v/>
      </c>
      <c r="Q1342" s="205"/>
      <c r="R1342" s="70" t="str">
        <f>IF(S1342="IN",'BOM_Phan II'!$Y$3,"")</f>
        <v/>
      </c>
      <c r="S1342" s="69" t="str">
        <f t="shared" si="292"/>
        <v/>
      </c>
      <c r="T1342">
        <f t="shared" si="301"/>
        <v>3</v>
      </c>
      <c r="U1342" t="str">
        <f t="shared" si="289"/>
        <v>KIỆN 14</v>
      </c>
      <c r="V1342" t="str">
        <f t="shared" si="302"/>
        <v/>
      </c>
      <c r="W1342" s="266"/>
      <c r="X1342" s="266"/>
      <c r="Y1342" s="266" t="str">
        <f t="shared" si="294"/>
        <v/>
      </c>
      <c r="Z1342" s="266"/>
    </row>
    <row r="1343" spans="1:26" ht="27" hidden="1" customHeight="1">
      <c r="A1343" s="70" t="str">
        <f t="shared" si="290"/>
        <v/>
      </c>
      <c r="B1343" s="70" t="str">
        <f t="shared" si="291"/>
        <v/>
      </c>
      <c r="C1343" s="204" t="str" cm="1">
        <f t="array" ref="C1343">IF(D1343="","",
    IF(AND(ISNUMBER(D1343), D1343=INT(D1343)),
        $V$6 &amp; " " &amp; (IFERROR(MAX($Y$12:$Y1342), 0) + 1),
        IF(ISNUMBER(SEARCH(".", D1343)), "", INDEX($C$12:$C1343, MATCH(2, 1/($C$12:$C1343 &lt;&gt; ""))))
    )
)</f>
        <v/>
      </c>
      <c r="D1343" s="206"/>
      <c r="E1343" s="206" t="str">
        <f>IF(AA1343 = "", "",
    IF(ISNUMBER(SEARCH("Kiện", C1343)),
       " GÓI " &amp; COUNTIF($C$13:C1343, "*Kiện*") &amp; "/" &amp; COUNTIF($C$13:$C$1000, "*Kiện*") &amp; " " &amp; AA1343,
       AA1343)
)</f>
        <v/>
      </c>
      <c r="F1343" s="206"/>
      <c r="G1343" s="206"/>
      <c r="H1343" s="206"/>
      <c r="I1343" s="206"/>
      <c r="J1343" s="206" t="str">
        <f t="shared" si="293"/>
        <v/>
      </c>
      <c r="K1343" s="206" t="str">
        <f t="shared" si="295"/>
        <v/>
      </c>
      <c r="L1343" s="206" t="str">
        <f t="shared" si="296"/>
        <v/>
      </c>
      <c r="M1343" s="206" t="str">
        <f t="shared" si="297"/>
        <v/>
      </c>
      <c r="N1343" s="206" t="str">
        <f t="shared" si="298"/>
        <v/>
      </c>
      <c r="O1343" s="206" t="str">
        <f t="shared" si="299"/>
        <v/>
      </c>
      <c r="P1343" s="84" t="str">
        <f t="shared" si="300"/>
        <v/>
      </c>
      <c r="Q1343" s="205"/>
      <c r="R1343" s="70" t="str">
        <f>IF(S1343="IN",'BOM_Phan II'!$Y$3,"")</f>
        <v/>
      </c>
      <c r="S1343" s="69" t="str">
        <f t="shared" si="292"/>
        <v/>
      </c>
      <c r="T1343">
        <f t="shared" si="301"/>
        <v>3</v>
      </c>
      <c r="U1343" t="str">
        <f t="shared" si="289"/>
        <v>KIỆN 14</v>
      </c>
      <c r="V1343" t="str">
        <f t="shared" si="302"/>
        <v/>
      </c>
      <c r="W1343" s="266"/>
      <c r="X1343" s="266"/>
      <c r="Y1343" s="266" t="str">
        <f t="shared" si="294"/>
        <v/>
      </c>
      <c r="Z1343" s="266"/>
    </row>
    <row r="1344" spans="1:26" ht="27" hidden="1" customHeight="1">
      <c r="A1344" s="70" t="str">
        <f t="shared" si="290"/>
        <v/>
      </c>
      <c r="B1344" s="70" t="str">
        <f t="shared" si="291"/>
        <v/>
      </c>
      <c r="C1344" s="204" t="str" cm="1">
        <f t="array" ref="C1344">IF(D1344="","",
    IF(AND(ISNUMBER(D1344), D1344=INT(D1344)),
        $V$6 &amp; " " &amp; (IFERROR(MAX($Y$12:$Y1343), 0) + 1),
        IF(ISNUMBER(SEARCH(".", D1344)), "", INDEX($C$12:$C1344, MATCH(2, 1/($C$12:$C1344 &lt;&gt; ""))))
    )
)</f>
        <v/>
      </c>
      <c r="D1344" s="206"/>
      <c r="E1344" s="206" t="str">
        <f>IF(AA1344 = "", "",
    IF(ISNUMBER(SEARCH("Kiện", C1344)),
       " GÓI " &amp; COUNTIF($C$13:C1344, "*Kiện*") &amp; "/" &amp; COUNTIF($C$13:$C$1000, "*Kiện*") &amp; " " &amp; AA1344,
       AA1344)
)</f>
        <v/>
      </c>
      <c r="F1344" s="206"/>
      <c r="G1344" s="206"/>
      <c r="H1344" s="206"/>
      <c r="I1344" s="206"/>
      <c r="J1344" s="206" t="str">
        <f t="shared" si="293"/>
        <v/>
      </c>
      <c r="K1344" s="206" t="str">
        <f t="shared" si="295"/>
        <v/>
      </c>
      <c r="L1344" s="206" t="str">
        <f t="shared" si="296"/>
        <v/>
      </c>
      <c r="M1344" s="206" t="str">
        <f t="shared" si="297"/>
        <v/>
      </c>
      <c r="N1344" s="206" t="str">
        <f t="shared" si="298"/>
        <v/>
      </c>
      <c r="O1344" s="206" t="str">
        <f t="shared" si="299"/>
        <v/>
      </c>
      <c r="P1344" s="84" t="str">
        <f t="shared" si="300"/>
        <v/>
      </c>
      <c r="Q1344" s="205"/>
      <c r="R1344" s="70" t="str">
        <f>IF(S1344="IN",'BOM_Phan II'!$Y$3,"")</f>
        <v/>
      </c>
      <c r="S1344" s="69" t="str">
        <f t="shared" si="292"/>
        <v/>
      </c>
      <c r="T1344">
        <f t="shared" si="301"/>
        <v>3</v>
      </c>
      <c r="U1344" t="str">
        <f t="shared" si="289"/>
        <v>KIỆN 14</v>
      </c>
      <c r="V1344" t="str">
        <f t="shared" si="302"/>
        <v/>
      </c>
      <c r="W1344" s="266"/>
      <c r="X1344" s="266"/>
      <c r="Y1344" s="266" t="str">
        <f t="shared" si="294"/>
        <v/>
      </c>
      <c r="Z1344" s="266"/>
    </row>
    <row r="1345" spans="1:26" ht="27" hidden="1" customHeight="1">
      <c r="A1345" s="70" t="str">
        <f t="shared" si="290"/>
        <v/>
      </c>
      <c r="B1345" s="70" t="str">
        <f t="shared" si="291"/>
        <v/>
      </c>
      <c r="C1345" s="204" t="str" cm="1">
        <f t="array" ref="C1345">IF(D1345="","",
    IF(AND(ISNUMBER(D1345), D1345=INT(D1345)),
        $V$6 &amp; " " &amp; (IFERROR(MAX($Y$12:$Y1344), 0) + 1),
        IF(ISNUMBER(SEARCH(".", D1345)), "", INDEX($C$12:$C1345, MATCH(2, 1/($C$12:$C1345 &lt;&gt; ""))))
    )
)</f>
        <v/>
      </c>
      <c r="D1345" s="206"/>
      <c r="E1345" s="206" t="str">
        <f>IF(AA1345 = "", "",
    IF(ISNUMBER(SEARCH("Kiện", C1345)),
       " GÓI " &amp; COUNTIF($C$13:C1345, "*Kiện*") &amp; "/" &amp; COUNTIF($C$13:$C$1000, "*Kiện*") &amp; " " &amp; AA1345,
       AA1345)
)</f>
        <v/>
      </c>
      <c r="F1345" s="206"/>
      <c r="G1345" s="206"/>
      <c r="H1345" s="206"/>
      <c r="I1345" s="206"/>
      <c r="J1345" s="206" t="str">
        <f t="shared" si="293"/>
        <v/>
      </c>
      <c r="K1345" s="206" t="str">
        <f t="shared" si="295"/>
        <v/>
      </c>
      <c r="L1345" s="206" t="str">
        <f t="shared" si="296"/>
        <v/>
      </c>
      <c r="M1345" s="206" t="str">
        <f t="shared" si="297"/>
        <v/>
      </c>
      <c r="N1345" s="206" t="str">
        <f t="shared" si="298"/>
        <v/>
      </c>
      <c r="O1345" s="206" t="str">
        <f t="shared" si="299"/>
        <v/>
      </c>
      <c r="P1345" s="84" t="str">
        <f t="shared" si="300"/>
        <v/>
      </c>
      <c r="Q1345" s="205"/>
      <c r="R1345" s="70" t="str">
        <f>IF(S1345="IN",'BOM_Phan II'!$Y$3,"")</f>
        <v/>
      </c>
      <c r="S1345" s="69" t="str">
        <f t="shared" si="292"/>
        <v/>
      </c>
      <c r="T1345">
        <f t="shared" si="301"/>
        <v>3</v>
      </c>
      <c r="U1345" t="str">
        <f t="shared" si="289"/>
        <v>KIỆN 14</v>
      </c>
      <c r="V1345" t="str">
        <f t="shared" si="302"/>
        <v/>
      </c>
      <c r="W1345" s="266"/>
      <c r="X1345" s="266"/>
      <c r="Y1345" s="266" t="str">
        <f t="shared" si="294"/>
        <v/>
      </c>
      <c r="Z1345" s="266"/>
    </row>
    <row r="1346" spans="1:26" ht="27" hidden="1" customHeight="1">
      <c r="A1346" s="70" t="str">
        <f t="shared" si="290"/>
        <v/>
      </c>
      <c r="B1346" s="70" t="str">
        <f t="shared" si="291"/>
        <v/>
      </c>
      <c r="C1346" s="204" t="str" cm="1">
        <f t="array" ref="C1346">IF(D1346="","",
    IF(AND(ISNUMBER(D1346), D1346=INT(D1346)),
        $V$6 &amp; " " &amp; (IFERROR(MAX($Y$12:$Y1345), 0) + 1),
        IF(ISNUMBER(SEARCH(".", D1346)), "", INDEX($C$12:$C1346, MATCH(2, 1/($C$12:$C1346 &lt;&gt; ""))))
    )
)</f>
        <v/>
      </c>
      <c r="D1346" s="206"/>
      <c r="E1346" s="206" t="str">
        <f>IF(AA1346 = "", "",
    IF(ISNUMBER(SEARCH("Kiện", C1346)),
       " GÓI " &amp; COUNTIF($C$13:C1346, "*Kiện*") &amp; "/" &amp; COUNTIF($C$13:$C$1000, "*Kiện*") &amp; " " &amp; AA1346,
       AA1346)
)</f>
        <v/>
      </c>
      <c r="F1346" s="206"/>
      <c r="G1346" s="206"/>
      <c r="H1346" s="206"/>
      <c r="I1346" s="206"/>
      <c r="J1346" s="206" t="str">
        <f t="shared" si="293"/>
        <v/>
      </c>
      <c r="K1346" s="206" t="str">
        <f t="shared" si="295"/>
        <v/>
      </c>
      <c r="L1346" s="206" t="str">
        <f t="shared" si="296"/>
        <v/>
      </c>
      <c r="M1346" s="206" t="str">
        <f t="shared" si="297"/>
        <v/>
      </c>
      <c r="N1346" s="206" t="str">
        <f t="shared" si="298"/>
        <v/>
      </c>
      <c r="O1346" s="206" t="str">
        <f t="shared" si="299"/>
        <v/>
      </c>
      <c r="P1346" s="84" t="str">
        <f t="shared" si="300"/>
        <v/>
      </c>
      <c r="Q1346" s="205"/>
      <c r="R1346" s="70" t="str">
        <f>IF(S1346="IN",'BOM_Phan II'!$Y$3,"")</f>
        <v/>
      </c>
      <c r="S1346" s="69" t="str">
        <f t="shared" si="292"/>
        <v/>
      </c>
      <c r="T1346">
        <f t="shared" si="301"/>
        <v>3</v>
      </c>
      <c r="U1346" t="str">
        <f t="shared" si="289"/>
        <v>KIỆN 14</v>
      </c>
      <c r="V1346" t="str">
        <f t="shared" si="302"/>
        <v/>
      </c>
      <c r="W1346" s="266"/>
      <c r="X1346" s="266"/>
      <c r="Y1346" s="266" t="str">
        <f t="shared" si="294"/>
        <v/>
      </c>
      <c r="Z1346" s="266"/>
    </row>
    <row r="1347" spans="1:26" ht="27" hidden="1" customHeight="1">
      <c r="A1347" s="70" t="str">
        <f t="shared" si="290"/>
        <v/>
      </c>
      <c r="B1347" s="70" t="str">
        <f t="shared" si="291"/>
        <v/>
      </c>
      <c r="C1347" s="204" t="str" cm="1">
        <f t="array" ref="C1347">IF(D1347="","",
    IF(AND(ISNUMBER(D1347), D1347=INT(D1347)),
        $V$6 &amp; " " &amp; (IFERROR(MAX($Y$12:$Y1346), 0) + 1),
        IF(ISNUMBER(SEARCH(".", D1347)), "", INDEX($C$12:$C1347, MATCH(2, 1/($C$12:$C1347 &lt;&gt; ""))))
    )
)</f>
        <v/>
      </c>
      <c r="D1347" s="206"/>
      <c r="E1347" s="206" t="str">
        <f>IF(AA1347 = "", "",
    IF(ISNUMBER(SEARCH("Kiện", C1347)),
       " GÓI " &amp; COUNTIF($C$13:C1347, "*Kiện*") &amp; "/" &amp; COUNTIF($C$13:$C$1000, "*Kiện*") &amp; " " &amp; AA1347,
       AA1347)
)</f>
        <v/>
      </c>
      <c r="F1347" s="206"/>
      <c r="G1347" s="206"/>
      <c r="H1347" s="206"/>
      <c r="I1347" s="206"/>
      <c r="J1347" s="206" t="str">
        <f t="shared" si="293"/>
        <v/>
      </c>
      <c r="K1347" s="206" t="str">
        <f t="shared" si="295"/>
        <v/>
      </c>
      <c r="L1347" s="206" t="str">
        <f t="shared" si="296"/>
        <v/>
      </c>
      <c r="M1347" s="206" t="str">
        <f t="shared" si="297"/>
        <v/>
      </c>
      <c r="N1347" s="206" t="str">
        <f t="shared" si="298"/>
        <v/>
      </c>
      <c r="O1347" s="206" t="str">
        <f t="shared" si="299"/>
        <v/>
      </c>
      <c r="P1347" s="84" t="str">
        <f t="shared" si="300"/>
        <v/>
      </c>
      <c r="Q1347" s="205"/>
      <c r="R1347" s="70" t="str">
        <f>IF(S1347="IN",'BOM_Phan II'!$Y$3,"")</f>
        <v/>
      </c>
      <c r="S1347" s="69" t="str">
        <f t="shared" si="292"/>
        <v/>
      </c>
      <c r="T1347">
        <f t="shared" si="301"/>
        <v>3</v>
      </c>
      <c r="U1347" t="str">
        <f t="shared" ref="U1347:U1400" si="303">IF(C1347="",U1346,C1347)</f>
        <v>KIỆN 14</v>
      </c>
      <c r="V1347" t="str">
        <f t="shared" si="302"/>
        <v/>
      </c>
      <c r="W1347" s="266"/>
      <c r="X1347" s="266"/>
      <c r="Y1347" s="266" t="str">
        <f t="shared" si="294"/>
        <v/>
      </c>
      <c r="Z1347" s="266"/>
    </row>
    <row r="1348" spans="1:26" ht="27" hidden="1" customHeight="1">
      <c r="A1348" s="70" t="str">
        <f t="shared" si="290"/>
        <v/>
      </c>
      <c r="B1348" s="70" t="str">
        <f t="shared" si="291"/>
        <v/>
      </c>
      <c r="C1348" s="204" t="str" cm="1">
        <f t="array" ref="C1348">IF(D1348="","",
    IF(AND(ISNUMBER(D1348), D1348=INT(D1348)),
        $V$6 &amp; " " &amp; (IFERROR(MAX($Y$12:$Y1347), 0) + 1),
        IF(ISNUMBER(SEARCH(".", D1348)), "", INDEX($C$12:$C1348, MATCH(2, 1/($C$12:$C1348 &lt;&gt; ""))))
    )
)</f>
        <v/>
      </c>
      <c r="D1348" s="206"/>
      <c r="E1348" s="206" t="str">
        <f>IF(AA1348 = "", "",
    IF(ISNUMBER(SEARCH("Kiện", C1348)),
       " GÓI " &amp; COUNTIF($C$13:C1348, "*Kiện*") &amp; "/" &amp; COUNTIF($C$13:$C$1000, "*Kiện*") &amp; " " &amp; AA1348,
       AA1348)
)</f>
        <v/>
      </c>
      <c r="F1348" s="206"/>
      <c r="G1348" s="206"/>
      <c r="H1348" s="206"/>
      <c r="I1348" s="206"/>
      <c r="J1348" s="206" t="str">
        <f t="shared" si="293"/>
        <v/>
      </c>
      <c r="K1348" s="206" t="str">
        <f t="shared" si="295"/>
        <v/>
      </c>
      <c r="L1348" s="206" t="str">
        <f t="shared" si="296"/>
        <v/>
      </c>
      <c r="M1348" s="206" t="str">
        <f t="shared" si="297"/>
        <v/>
      </c>
      <c r="N1348" s="206" t="str">
        <f t="shared" si="298"/>
        <v/>
      </c>
      <c r="O1348" s="206" t="str">
        <f t="shared" si="299"/>
        <v/>
      </c>
      <c r="P1348" s="84" t="str">
        <f t="shared" si="300"/>
        <v/>
      </c>
      <c r="Q1348" s="205"/>
      <c r="R1348" s="70" t="str">
        <f>IF(S1348="IN",'BOM_Phan II'!$Y$3,"")</f>
        <v/>
      </c>
      <c r="S1348" s="69" t="str">
        <f t="shared" si="292"/>
        <v/>
      </c>
      <c r="T1348">
        <f t="shared" si="301"/>
        <v>3</v>
      </c>
      <c r="U1348" t="str">
        <f t="shared" si="303"/>
        <v>KIỆN 14</v>
      </c>
      <c r="V1348" t="str">
        <f t="shared" si="302"/>
        <v/>
      </c>
      <c r="W1348" s="266"/>
      <c r="X1348" s="266"/>
      <c r="Y1348" s="266" t="str">
        <f t="shared" si="294"/>
        <v/>
      </c>
      <c r="Z1348" s="266"/>
    </row>
    <row r="1349" spans="1:26" ht="27" hidden="1" customHeight="1">
      <c r="A1349" s="70" t="str">
        <f t="shared" si="290"/>
        <v/>
      </c>
      <c r="B1349" s="70" t="str">
        <f t="shared" si="291"/>
        <v/>
      </c>
      <c r="C1349" s="204" t="str" cm="1">
        <f t="array" ref="C1349">IF(D1349="","",
    IF(AND(ISNUMBER(D1349), D1349=INT(D1349)),
        $V$6 &amp; " " &amp; (IFERROR(MAX($Y$12:$Y1348), 0) + 1),
        IF(ISNUMBER(SEARCH(".", D1349)), "", INDEX($C$12:$C1349, MATCH(2, 1/($C$12:$C1349 &lt;&gt; ""))))
    )
)</f>
        <v/>
      </c>
      <c r="D1349" s="206"/>
      <c r="E1349" s="206" t="str">
        <f>IF(AA1349 = "", "",
    IF(ISNUMBER(SEARCH("Kiện", C1349)),
       " GÓI " &amp; COUNTIF($C$13:C1349, "*Kiện*") &amp; "/" &amp; COUNTIF($C$13:$C$1000, "*Kiện*") &amp; " " &amp; AA1349,
       AA1349)
)</f>
        <v/>
      </c>
      <c r="F1349" s="206"/>
      <c r="G1349" s="206"/>
      <c r="H1349" s="206"/>
      <c r="I1349" s="206"/>
      <c r="J1349" s="206" t="str">
        <f t="shared" si="293"/>
        <v/>
      </c>
      <c r="K1349" s="206" t="str">
        <f t="shared" si="295"/>
        <v/>
      </c>
      <c r="L1349" s="206" t="str">
        <f t="shared" si="296"/>
        <v/>
      </c>
      <c r="M1349" s="206" t="str">
        <f t="shared" si="297"/>
        <v/>
      </c>
      <c r="N1349" s="206" t="str">
        <f t="shared" si="298"/>
        <v/>
      </c>
      <c r="O1349" s="206" t="str">
        <f t="shared" si="299"/>
        <v/>
      </c>
      <c r="P1349" s="84" t="str">
        <f t="shared" si="300"/>
        <v/>
      </c>
      <c r="Q1349" s="205"/>
      <c r="R1349" s="70" t="str">
        <f>IF(S1349="IN",'BOM_Phan II'!$Y$3,"")</f>
        <v/>
      </c>
      <c r="S1349" s="69" t="str">
        <f t="shared" si="292"/>
        <v/>
      </c>
      <c r="T1349">
        <f t="shared" si="301"/>
        <v>3</v>
      </c>
      <c r="U1349" t="str">
        <f t="shared" si="303"/>
        <v>KIỆN 14</v>
      </c>
      <c r="V1349" t="str">
        <f t="shared" si="302"/>
        <v/>
      </c>
      <c r="W1349" s="266"/>
      <c r="X1349" s="266"/>
      <c r="Y1349" s="266" t="str">
        <f t="shared" si="294"/>
        <v/>
      </c>
      <c r="Z1349" s="266"/>
    </row>
    <row r="1350" spans="1:26" ht="27" hidden="1" customHeight="1">
      <c r="A1350" s="70" t="str">
        <f t="shared" si="290"/>
        <v/>
      </c>
      <c r="B1350" s="70" t="str">
        <f t="shared" si="291"/>
        <v/>
      </c>
      <c r="C1350" s="204" t="str" cm="1">
        <f t="array" ref="C1350">IF(D1350="","",
    IF(AND(ISNUMBER(D1350), D1350=INT(D1350)),
        $V$6 &amp; " " &amp; (IFERROR(MAX($Y$12:$Y1349), 0) + 1),
        IF(ISNUMBER(SEARCH(".", D1350)), "", INDEX($C$12:$C1350, MATCH(2, 1/($C$12:$C1350 &lt;&gt; ""))))
    )
)</f>
        <v/>
      </c>
      <c r="D1350" s="206"/>
      <c r="E1350" s="206" t="str">
        <f>IF(AA1350 = "", "",
    IF(ISNUMBER(SEARCH("Kiện", C1350)),
       " GÓI " &amp; COUNTIF($C$13:C1350, "*Kiện*") &amp; "/" &amp; COUNTIF($C$13:$C$1000, "*Kiện*") &amp; " " &amp; AA1350,
       AA1350)
)</f>
        <v/>
      </c>
      <c r="F1350" s="206"/>
      <c r="G1350" s="206"/>
      <c r="H1350" s="206"/>
      <c r="I1350" s="206"/>
      <c r="J1350" s="206" t="str">
        <f t="shared" si="293"/>
        <v/>
      </c>
      <c r="K1350" s="206" t="str">
        <f t="shared" si="295"/>
        <v/>
      </c>
      <c r="L1350" s="206" t="str">
        <f t="shared" si="296"/>
        <v/>
      </c>
      <c r="M1350" s="206" t="str">
        <f t="shared" si="297"/>
        <v/>
      </c>
      <c r="N1350" s="206" t="str">
        <f t="shared" si="298"/>
        <v/>
      </c>
      <c r="O1350" s="206" t="str">
        <f t="shared" si="299"/>
        <v/>
      </c>
      <c r="P1350" s="84" t="str">
        <f t="shared" si="300"/>
        <v/>
      </c>
      <c r="Q1350" s="205"/>
      <c r="R1350" s="70" t="str">
        <f>IF(S1350="IN",'BOM_Phan II'!$Y$3,"")</f>
        <v/>
      </c>
      <c r="S1350" s="69" t="str">
        <f t="shared" si="292"/>
        <v/>
      </c>
      <c r="T1350">
        <f t="shared" si="301"/>
        <v>3</v>
      </c>
      <c r="U1350" t="str">
        <f t="shared" si="303"/>
        <v>KIỆN 14</v>
      </c>
      <c r="V1350" t="str">
        <f t="shared" si="302"/>
        <v/>
      </c>
      <c r="W1350" s="266"/>
      <c r="X1350" s="266"/>
      <c r="Y1350" s="266" t="str">
        <f t="shared" si="294"/>
        <v/>
      </c>
      <c r="Z1350" s="266"/>
    </row>
    <row r="1351" spans="1:26" ht="27" hidden="1" customHeight="1">
      <c r="A1351" s="70" t="str">
        <f t="shared" si="290"/>
        <v/>
      </c>
      <c r="B1351" s="70" t="str">
        <f t="shared" si="291"/>
        <v/>
      </c>
      <c r="C1351" s="204" t="str" cm="1">
        <f t="array" ref="C1351">IF(D1351="","",
    IF(AND(ISNUMBER(D1351), D1351=INT(D1351)),
        $V$6 &amp; " " &amp; (IFERROR(MAX($Y$12:$Y1350), 0) + 1),
        IF(ISNUMBER(SEARCH(".", D1351)), "", INDEX($C$12:$C1351, MATCH(2, 1/($C$12:$C1351 &lt;&gt; ""))))
    )
)</f>
        <v/>
      </c>
      <c r="D1351" s="206"/>
      <c r="E1351" s="206" t="str">
        <f>IF(AA1351 = "", "",
    IF(ISNUMBER(SEARCH("Kiện", C1351)),
       " GÓI " &amp; COUNTIF($C$13:C1351, "*Kiện*") &amp; "/" &amp; COUNTIF($C$13:$C$1000, "*Kiện*") &amp; " " &amp; AA1351,
       AA1351)
)</f>
        <v/>
      </c>
      <c r="F1351" s="206"/>
      <c r="G1351" s="206"/>
      <c r="H1351" s="206"/>
      <c r="I1351" s="206"/>
      <c r="J1351" s="206" t="str">
        <f t="shared" si="293"/>
        <v/>
      </c>
      <c r="K1351" s="206" t="str">
        <f t="shared" si="295"/>
        <v/>
      </c>
      <c r="L1351" s="206" t="str">
        <f t="shared" si="296"/>
        <v/>
      </c>
      <c r="M1351" s="206" t="str">
        <f t="shared" si="297"/>
        <v/>
      </c>
      <c r="N1351" s="206" t="str">
        <f t="shared" si="298"/>
        <v/>
      </c>
      <c r="O1351" s="206" t="str">
        <f t="shared" si="299"/>
        <v/>
      </c>
      <c r="P1351" s="84" t="str">
        <f t="shared" si="300"/>
        <v/>
      </c>
      <c r="Q1351" s="205"/>
      <c r="R1351" s="70" t="str">
        <f>IF(S1351="IN",'BOM_Phan II'!$Y$3,"")</f>
        <v/>
      </c>
      <c r="S1351" s="69" t="str">
        <f t="shared" si="292"/>
        <v/>
      </c>
      <c r="T1351">
        <f t="shared" si="301"/>
        <v>3</v>
      </c>
      <c r="U1351" t="str">
        <f t="shared" si="303"/>
        <v>KIỆN 14</v>
      </c>
      <c r="V1351" t="str">
        <f t="shared" si="302"/>
        <v/>
      </c>
      <c r="W1351" s="266"/>
      <c r="X1351" s="266"/>
      <c r="Y1351" s="266" t="str">
        <f t="shared" si="294"/>
        <v/>
      </c>
      <c r="Z1351" s="266"/>
    </row>
    <row r="1352" spans="1:26" ht="27" hidden="1" customHeight="1">
      <c r="A1352" s="70" t="str">
        <f t="shared" si="290"/>
        <v/>
      </c>
      <c r="B1352" s="70" t="str">
        <f t="shared" si="291"/>
        <v/>
      </c>
      <c r="C1352" s="204" t="str" cm="1">
        <f t="array" ref="C1352">IF(D1352="","",
    IF(AND(ISNUMBER(D1352), D1352=INT(D1352)),
        $V$6 &amp; " " &amp; (IFERROR(MAX($Y$12:$Y1351), 0) + 1),
        IF(ISNUMBER(SEARCH(".", D1352)), "", INDEX($C$12:$C1352, MATCH(2, 1/($C$12:$C1352 &lt;&gt; ""))))
    )
)</f>
        <v/>
      </c>
      <c r="D1352" s="206"/>
      <c r="E1352" s="206" t="str">
        <f>IF(AA1352 = "", "",
    IF(ISNUMBER(SEARCH("Kiện", C1352)),
       " GÓI " &amp; COUNTIF($C$13:C1352, "*Kiện*") &amp; "/" &amp; COUNTIF($C$13:$C$1000, "*Kiện*") &amp; " " &amp; AA1352,
       AA1352)
)</f>
        <v/>
      </c>
      <c r="F1352" s="206"/>
      <c r="G1352" s="206"/>
      <c r="H1352" s="206"/>
      <c r="I1352" s="206"/>
      <c r="J1352" s="206" t="str">
        <f t="shared" si="293"/>
        <v/>
      </c>
      <c r="K1352" s="206" t="str">
        <f t="shared" si="295"/>
        <v/>
      </c>
      <c r="L1352" s="206" t="str">
        <f t="shared" si="296"/>
        <v/>
      </c>
      <c r="M1352" s="206" t="str">
        <f t="shared" si="297"/>
        <v/>
      </c>
      <c r="N1352" s="206" t="str">
        <f t="shared" si="298"/>
        <v/>
      </c>
      <c r="O1352" s="206" t="str">
        <f t="shared" si="299"/>
        <v/>
      </c>
      <c r="P1352" s="84" t="str">
        <f t="shared" si="300"/>
        <v/>
      </c>
      <c r="Q1352" s="205"/>
      <c r="R1352" s="70" t="str">
        <f>IF(S1352="IN",'BOM_Phan II'!$Y$3,"")</f>
        <v/>
      </c>
      <c r="S1352" s="69" t="str">
        <f t="shared" si="292"/>
        <v/>
      </c>
      <c r="T1352">
        <f t="shared" si="301"/>
        <v>3</v>
      </c>
      <c r="U1352" t="str">
        <f t="shared" si="303"/>
        <v>KIỆN 14</v>
      </c>
      <c r="V1352" t="str">
        <f t="shared" si="302"/>
        <v/>
      </c>
      <c r="W1352" s="266"/>
      <c r="X1352" s="266"/>
      <c r="Y1352" s="266" t="str">
        <f t="shared" si="294"/>
        <v/>
      </c>
      <c r="Z1352" s="266"/>
    </row>
    <row r="1353" spans="1:26" ht="27" hidden="1" customHeight="1">
      <c r="A1353" s="70" t="str">
        <f t="shared" si="290"/>
        <v/>
      </c>
      <c r="B1353" s="70" t="str">
        <f t="shared" si="291"/>
        <v/>
      </c>
      <c r="C1353" s="204" t="str" cm="1">
        <f t="array" ref="C1353">IF(D1353="","",
    IF(AND(ISNUMBER(D1353), D1353=INT(D1353)),
        $V$6 &amp; " " &amp; (IFERROR(MAX($Y$12:$Y1352), 0) + 1),
        IF(ISNUMBER(SEARCH(".", D1353)), "", INDEX($C$12:$C1353, MATCH(2, 1/($C$12:$C1353 &lt;&gt; ""))))
    )
)</f>
        <v/>
      </c>
      <c r="D1353" s="206"/>
      <c r="E1353" s="206" t="str">
        <f>IF(AA1353 = "", "",
    IF(ISNUMBER(SEARCH("Kiện", C1353)),
       " GÓI " &amp; COUNTIF($C$13:C1353, "*Kiện*") &amp; "/" &amp; COUNTIF($C$13:$C$1000, "*Kiện*") &amp; " " &amp; AA1353,
       AA1353)
)</f>
        <v/>
      </c>
      <c r="F1353" s="206"/>
      <c r="G1353" s="206"/>
      <c r="H1353" s="206"/>
      <c r="I1353" s="206"/>
      <c r="J1353" s="206" t="str">
        <f t="shared" si="293"/>
        <v/>
      </c>
      <c r="K1353" s="206" t="str">
        <f t="shared" si="295"/>
        <v/>
      </c>
      <c r="L1353" s="206" t="str">
        <f t="shared" si="296"/>
        <v/>
      </c>
      <c r="M1353" s="206" t="str">
        <f t="shared" si="297"/>
        <v/>
      </c>
      <c r="N1353" s="206" t="str">
        <f t="shared" si="298"/>
        <v/>
      </c>
      <c r="O1353" s="206" t="str">
        <f t="shared" si="299"/>
        <v/>
      </c>
      <c r="P1353" s="84" t="str">
        <f t="shared" si="300"/>
        <v/>
      </c>
      <c r="Q1353" s="205"/>
      <c r="R1353" s="70" t="str">
        <f>IF(S1353="IN",'BOM_Phan II'!$Y$3,"")</f>
        <v/>
      </c>
      <c r="S1353" s="69" t="str">
        <f t="shared" si="292"/>
        <v/>
      </c>
      <c r="T1353">
        <f t="shared" si="301"/>
        <v>3</v>
      </c>
      <c r="U1353" t="str">
        <f t="shared" si="303"/>
        <v>KIỆN 14</v>
      </c>
      <c r="V1353" t="str">
        <f t="shared" si="302"/>
        <v/>
      </c>
      <c r="W1353" s="266"/>
      <c r="X1353" s="266"/>
      <c r="Y1353" s="266" t="str">
        <f t="shared" si="294"/>
        <v/>
      </c>
      <c r="Z1353" s="266"/>
    </row>
    <row r="1354" spans="1:26" ht="27" hidden="1" customHeight="1">
      <c r="A1354" s="70" t="str">
        <f t="shared" si="290"/>
        <v/>
      </c>
      <c r="B1354" s="70" t="str">
        <f t="shared" si="291"/>
        <v/>
      </c>
      <c r="C1354" s="204" t="str" cm="1">
        <f t="array" ref="C1354">IF(D1354="","",
    IF(AND(ISNUMBER(D1354), D1354=INT(D1354)),
        $V$6 &amp; " " &amp; (IFERROR(MAX($Y$12:$Y1353), 0) + 1),
        IF(ISNUMBER(SEARCH(".", D1354)), "", INDEX($C$12:$C1354, MATCH(2, 1/($C$12:$C1354 &lt;&gt; ""))))
    )
)</f>
        <v/>
      </c>
      <c r="D1354" s="206"/>
      <c r="E1354" s="206" t="str">
        <f>IF(AA1354 = "", "",
    IF(ISNUMBER(SEARCH("Kiện", C1354)),
       " GÓI " &amp; COUNTIF($C$13:C1354, "*Kiện*") &amp; "/" &amp; COUNTIF($C$13:$C$1000, "*Kiện*") &amp; " " &amp; AA1354,
       AA1354)
)</f>
        <v/>
      </c>
      <c r="F1354" s="206"/>
      <c r="G1354" s="206"/>
      <c r="H1354" s="206"/>
      <c r="I1354" s="206"/>
      <c r="J1354" s="206" t="str">
        <f t="shared" si="293"/>
        <v/>
      </c>
      <c r="K1354" s="206" t="str">
        <f t="shared" si="295"/>
        <v/>
      </c>
      <c r="L1354" s="206" t="str">
        <f t="shared" si="296"/>
        <v/>
      </c>
      <c r="M1354" s="206" t="str">
        <f t="shared" si="297"/>
        <v/>
      </c>
      <c r="N1354" s="206" t="str">
        <f t="shared" si="298"/>
        <v/>
      </c>
      <c r="O1354" s="206" t="str">
        <f t="shared" si="299"/>
        <v/>
      </c>
      <c r="P1354" s="84" t="str">
        <f t="shared" si="300"/>
        <v/>
      </c>
      <c r="Q1354" s="205"/>
      <c r="R1354" s="70" t="str">
        <f>IF(S1354="IN",'BOM_Phan II'!$Y$3,"")</f>
        <v/>
      </c>
      <c r="S1354" s="69" t="str">
        <f t="shared" si="292"/>
        <v/>
      </c>
      <c r="T1354">
        <f t="shared" si="301"/>
        <v>3</v>
      </c>
      <c r="U1354" t="str">
        <f t="shared" si="303"/>
        <v>KIỆN 14</v>
      </c>
      <c r="V1354" t="str">
        <f t="shared" si="302"/>
        <v/>
      </c>
      <c r="W1354" s="266"/>
      <c r="X1354" s="266"/>
      <c r="Y1354" s="266" t="str">
        <f t="shared" si="294"/>
        <v/>
      </c>
      <c r="Z1354" s="266"/>
    </row>
    <row r="1355" spans="1:26" ht="27" hidden="1" customHeight="1">
      <c r="A1355" s="70" t="str">
        <f t="shared" si="290"/>
        <v/>
      </c>
      <c r="B1355" s="70" t="str">
        <f t="shared" si="291"/>
        <v/>
      </c>
      <c r="C1355" s="204" t="str" cm="1">
        <f t="array" ref="C1355">IF(D1355="","",
    IF(AND(ISNUMBER(D1355), D1355=INT(D1355)),
        $V$6 &amp; " " &amp; (IFERROR(MAX($Y$12:$Y1354), 0) + 1),
        IF(ISNUMBER(SEARCH(".", D1355)), "", INDEX($C$12:$C1355, MATCH(2, 1/($C$12:$C1355 &lt;&gt; ""))))
    )
)</f>
        <v/>
      </c>
      <c r="D1355" s="206"/>
      <c r="E1355" s="206" t="str">
        <f>IF(AA1355 = "", "",
    IF(ISNUMBER(SEARCH("Kiện", C1355)),
       " GÓI " &amp; COUNTIF($C$13:C1355, "*Kiện*") &amp; "/" &amp; COUNTIF($C$13:$C$1000, "*Kiện*") &amp; " " &amp; AA1355,
       AA1355)
)</f>
        <v/>
      </c>
      <c r="F1355" s="206"/>
      <c r="G1355" s="206"/>
      <c r="H1355" s="206"/>
      <c r="I1355" s="206"/>
      <c r="J1355" s="206" t="str">
        <f t="shared" si="293"/>
        <v/>
      </c>
      <c r="K1355" s="206" t="str">
        <f t="shared" si="295"/>
        <v/>
      </c>
      <c r="L1355" s="206" t="str">
        <f t="shared" si="296"/>
        <v/>
      </c>
      <c r="M1355" s="206" t="str">
        <f t="shared" si="297"/>
        <v/>
      </c>
      <c r="N1355" s="206" t="str">
        <f t="shared" si="298"/>
        <v/>
      </c>
      <c r="O1355" s="206" t="str">
        <f t="shared" si="299"/>
        <v/>
      </c>
      <c r="P1355" s="84" t="str">
        <f t="shared" si="300"/>
        <v/>
      </c>
      <c r="Q1355" s="205"/>
      <c r="R1355" s="70" t="str">
        <f>IF(S1355="IN",'BOM_Phan II'!$Y$3,"")</f>
        <v/>
      </c>
      <c r="S1355" s="69" t="str">
        <f t="shared" si="292"/>
        <v/>
      </c>
      <c r="T1355">
        <f t="shared" si="301"/>
        <v>3</v>
      </c>
      <c r="U1355" t="str">
        <f t="shared" si="303"/>
        <v>KIỆN 14</v>
      </c>
      <c r="V1355" t="str">
        <f t="shared" si="302"/>
        <v/>
      </c>
      <c r="W1355" s="266"/>
      <c r="X1355" s="266"/>
      <c r="Y1355" s="266" t="str">
        <f t="shared" si="294"/>
        <v/>
      </c>
      <c r="Z1355" s="266"/>
    </row>
    <row r="1356" spans="1:26" ht="27" hidden="1" customHeight="1">
      <c r="A1356" s="70" t="str">
        <f t="shared" ref="A1356:A1400" si="304">IF(S1356="IN",$E$6,"")</f>
        <v/>
      </c>
      <c r="B1356" s="70" t="str">
        <f t="shared" ref="B1356:B1400" si="305">IF(S1356="IN","Muc "&amp;$E$7,"")</f>
        <v/>
      </c>
      <c r="C1356" s="204" t="str" cm="1">
        <f t="array" ref="C1356">IF(D1356="","",
    IF(AND(ISNUMBER(D1356), D1356=INT(D1356)),
        $V$6 &amp; " " &amp; (IFERROR(MAX($Y$12:$Y1355), 0) + 1),
        IF(ISNUMBER(SEARCH(".", D1356)), "", INDEX($C$12:$C1356, MATCH(2, 1/($C$12:$C1356 &lt;&gt; ""))))
    )
)</f>
        <v/>
      </c>
      <c r="D1356" s="206"/>
      <c r="E1356" s="206" t="str">
        <f>IF(AA1356 = "", "",
    IF(ISNUMBER(SEARCH("Kiện", C1356)),
       " GÓI " &amp; COUNTIF($C$13:C1356, "*Kiện*") &amp; "/" &amp; COUNTIF($C$13:$C$1000, "*Kiện*") &amp; " " &amp; AA1356,
       AA1356)
)</f>
        <v/>
      </c>
      <c r="F1356" s="206"/>
      <c r="G1356" s="206"/>
      <c r="H1356" s="206"/>
      <c r="I1356" s="206"/>
      <c r="J1356" s="206" t="str">
        <f t="shared" si="293"/>
        <v/>
      </c>
      <c r="K1356" s="206" t="str">
        <f t="shared" si="295"/>
        <v/>
      </c>
      <c r="L1356" s="206" t="str">
        <f t="shared" si="296"/>
        <v/>
      </c>
      <c r="M1356" s="206" t="str">
        <f t="shared" si="297"/>
        <v/>
      </c>
      <c r="N1356" s="206" t="str">
        <f t="shared" si="298"/>
        <v/>
      </c>
      <c r="O1356" s="206" t="str">
        <f t="shared" si="299"/>
        <v/>
      </c>
      <c r="P1356" s="84" t="str">
        <f t="shared" si="300"/>
        <v/>
      </c>
      <c r="Q1356" s="205"/>
      <c r="R1356" s="70" t="str">
        <f>IF(S1356="IN",'BOM_Phan II'!$Y$3,"")</f>
        <v/>
      </c>
      <c r="S1356" s="69" t="str">
        <f t="shared" ref="S1356:S1400" si="306">IF(OR(E1356&lt;&gt;"",D1356&lt;&gt;""),"IN","")</f>
        <v/>
      </c>
      <c r="T1356">
        <f t="shared" si="301"/>
        <v>3</v>
      </c>
      <c r="U1356" t="str">
        <f t="shared" si="303"/>
        <v>KIỆN 14</v>
      </c>
      <c r="V1356" t="str">
        <f t="shared" si="302"/>
        <v/>
      </c>
      <c r="W1356" s="266"/>
      <c r="X1356" s="266"/>
      <c r="Y1356" s="266" t="str">
        <f t="shared" si="294"/>
        <v/>
      </c>
      <c r="Z1356" s="266"/>
    </row>
    <row r="1357" spans="1:26" ht="27" hidden="1" customHeight="1">
      <c r="A1357" s="70" t="str">
        <f t="shared" si="304"/>
        <v/>
      </c>
      <c r="B1357" s="70" t="str">
        <f t="shared" si="305"/>
        <v/>
      </c>
      <c r="C1357" s="204" t="str" cm="1">
        <f t="array" ref="C1357">IF(D1357="","",
    IF(AND(ISNUMBER(D1357), D1357=INT(D1357)),
        $V$6 &amp; " " &amp; (IFERROR(MAX($Y$12:$Y1356), 0) + 1),
        IF(ISNUMBER(SEARCH(".", D1357)), "", INDEX($C$12:$C1357, MATCH(2, 1/($C$12:$C1357 &lt;&gt; ""))))
    )
)</f>
        <v/>
      </c>
      <c r="D1357" s="206"/>
      <c r="E1357" s="206" t="str">
        <f>IF(AA1357 = "", "",
    IF(ISNUMBER(SEARCH("Kiện", C1357)),
       " GÓI " &amp; COUNTIF($C$13:C1357, "*Kiện*") &amp; "/" &amp; COUNTIF($C$13:$C$1000, "*Kiện*") &amp; " " &amp; AA1357,
       AA1357)
)</f>
        <v/>
      </c>
      <c r="F1357" s="206"/>
      <c r="G1357" s="206"/>
      <c r="H1357" s="206"/>
      <c r="I1357" s="206"/>
      <c r="J1357" s="206" t="str">
        <f t="shared" ref="J1357:J1400" si="307">IF(C1357&lt;&gt;"",C1357&amp;"_"&amp;$E$6,"")</f>
        <v/>
      </c>
      <c r="K1357" s="206" t="str">
        <f t="shared" si="295"/>
        <v/>
      </c>
      <c r="L1357" s="206" t="str">
        <f t="shared" si="296"/>
        <v/>
      </c>
      <c r="M1357" s="206" t="str">
        <f t="shared" si="297"/>
        <v/>
      </c>
      <c r="N1357" s="206" t="str">
        <f t="shared" si="298"/>
        <v/>
      </c>
      <c r="O1357" s="206" t="str">
        <f t="shared" si="299"/>
        <v/>
      </c>
      <c r="P1357" s="84" t="str">
        <f t="shared" si="300"/>
        <v/>
      </c>
      <c r="Q1357" s="205"/>
      <c r="R1357" s="70" t="str">
        <f>IF(S1357="IN",'BOM_Phan II'!$Y$3,"")</f>
        <v/>
      </c>
      <c r="S1357" s="69" t="str">
        <f t="shared" si="306"/>
        <v/>
      </c>
      <c r="T1357">
        <f t="shared" si="301"/>
        <v>3</v>
      </c>
      <c r="U1357" t="str">
        <f t="shared" si="303"/>
        <v>KIỆN 14</v>
      </c>
      <c r="V1357" t="str">
        <f t="shared" si="302"/>
        <v/>
      </c>
      <c r="W1357" s="266"/>
      <c r="X1357" s="266"/>
      <c r="Y1357" s="266" t="str">
        <f t="shared" ref="Y1357:Y1400" si="308">IFERROR(VALUE(RIGHT(C1357,LEN(C1357)-5)),"")</f>
        <v/>
      </c>
      <c r="Z1357" s="266"/>
    </row>
    <row r="1358" spans="1:26" ht="27" hidden="1" customHeight="1">
      <c r="A1358" s="70" t="str">
        <f t="shared" si="304"/>
        <v/>
      </c>
      <c r="B1358" s="70" t="str">
        <f t="shared" si="305"/>
        <v/>
      </c>
      <c r="C1358" s="204" t="str" cm="1">
        <f t="array" ref="C1358">IF(D1358="","",
    IF(AND(ISNUMBER(D1358), D1358=INT(D1358)),
        $V$6 &amp; " " &amp; (IFERROR(MAX($Y$12:$Y1357), 0) + 1),
        IF(ISNUMBER(SEARCH(".", D1358)), "", INDEX($C$12:$C1358, MATCH(2, 1/($C$12:$C1358 &lt;&gt; ""))))
    )
)</f>
        <v/>
      </c>
      <c r="D1358" s="206"/>
      <c r="E1358" s="206" t="str">
        <f>IF(AA1358 = "", "",
    IF(ISNUMBER(SEARCH("Kiện", C1358)),
       " GÓI " &amp; COUNTIF($C$13:C1358, "*Kiện*") &amp; "/" &amp; COUNTIF($C$13:$C$1000, "*Kiện*") &amp; " " &amp; AA1358,
       AA1358)
)</f>
        <v/>
      </c>
      <c r="F1358" s="206"/>
      <c r="G1358" s="206"/>
      <c r="H1358" s="206"/>
      <c r="I1358" s="206"/>
      <c r="J1358" s="206" t="str">
        <f t="shared" si="307"/>
        <v/>
      </c>
      <c r="K1358" s="206" t="str">
        <f t="shared" ref="K1358:K1400" si="309">IFERROR(IF($C1358&lt;&gt;"",IF($T$13=1,F1358+20,IF($T$13=2,F1358+20,IF($T$13=3,F1358+50,IF($T$13=4,F1358+40,IF($T$13=5,F1358+50,IF($T$13=51,F1358+50,IF($T$13=6,F1358+50,IF($T$13=7,F1358+50,"")))))))),""),"")</f>
        <v/>
      </c>
      <c r="L1358" s="206" t="str">
        <f t="shared" ref="L1358:L1400" si="310">IFERROR(IF($C1358&lt;&gt;"",IF($T$13=1,G1358+20,IF($T$13=2,G1358+20,IF($T$13=3,G1358+50,IF($T$13=4,G1358+40,IF($T$13=5,G1358+50,IF($T$13=51,G1358+50,IF($T$13=6,G1358+50,IF($T$13=7,G1358+50,"")))))))),""),"")</f>
        <v/>
      </c>
      <c r="M1358" s="206" t="str">
        <f t="shared" ref="M1358:M1400" si="311">IFERROR(IF($C1358&lt;&gt;"",IF($T$13=1,H1358+20,IF($T$13=2,H1358+20,IF($T$13=3,H1358+70,IF($T$13=4,H1358+40,IF($T$13=5,H1358+50,IF($T$13=51,H1358+150,IF($T$13=6,H1358+50,IF($T$13=7,H1358+50,"")))))))),""),"")</f>
        <v/>
      </c>
      <c r="N1358" s="206" t="str">
        <f t="shared" ref="N1358:N1400" si="312">IF(C1358&lt;&gt;"",I1358,"")</f>
        <v/>
      </c>
      <c r="O1358" s="206" t="str">
        <f t="shared" ref="O1358:O1400" si="313">IF(C1358&lt;&gt;"",$O$13,"")</f>
        <v/>
      </c>
      <c r="P1358" s="84" t="str">
        <f t="shared" ref="P1358:P1400" si="314">IFERROR(IF(C1358&lt;&gt;"",SUMIFS($V$13:$V$969,$U$13:$U$969,C1358)*$S$6,V1358*$S$6),"")</f>
        <v/>
      </c>
      <c r="Q1358" s="205"/>
      <c r="R1358" s="70" t="str">
        <f>IF(S1358="IN",'BOM_Phan II'!$Y$3,"")</f>
        <v/>
      </c>
      <c r="S1358" s="69" t="str">
        <f t="shared" si="306"/>
        <v/>
      </c>
      <c r="T1358">
        <f t="shared" ref="T1358:T1400" si="315">IF($O$13="XK_CHUẨN 1",1,IF($O$13="XK_CHUẨN 2",2,IF($O$13="XK_CHUẨN 3",3,IF($O$13="XK_CHUẨN 4-ĐI CONT",4,IF($O$13="XK_CHUẨN 5-ĐI AIR",5,IF($O$13="XK_CHUẨN 5-AIR PALLET",51,IF($O$13="TIÊU CHUẨN DỰ ÁN",6,IF($O$13="TC_CUA",7,IF($O$13="TC_KH",8,"")))))))))</f>
        <v>3</v>
      </c>
      <c r="U1358" t="str">
        <f t="shared" si="303"/>
        <v>KIỆN 14</v>
      </c>
      <c r="V1358" t="str">
        <f t="shared" ref="V1358:V1404" si="316">IFERROR(IF(AND(C1358="", OR($W1358="1", $W1358="2")), IF(I1358="", "", F1358*G1358*H1358*I1358/10^9), ""), "")</f>
        <v/>
      </c>
      <c r="W1358" s="266"/>
      <c r="X1358" s="266"/>
      <c r="Y1358" s="266" t="str">
        <f t="shared" si="308"/>
        <v/>
      </c>
      <c r="Z1358" s="266"/>
    </row>
    <row r="1359" spans="1:26" ht="27" hidden="1" customHeight="1">
      <c r="A1359" s="70" t="str">
        <f t="shared" si="304"/>
        <v/>
      </c>
      <c r="B1359" s="70" t="str">
        <f t="shared" si="305"/>
        <v/>
      </c>
      <c r="C1359" s="204" t="str" cm="1">
        <f t="array" ref="C1359">IF(D1359="","",
    IF(AND(ISNUMBER(D1359), D1359=INT(D1359)),
        $V$6 &amp; " " &amp; (IFERROR(MAX($Y$12:$Y1358), 0) + 1),
        IF(ISNUMBER(SEARCH(".", D1359)), "", INDEX($C$12:$C1359, MATCH(2, 1/($C$12:$C1359 &lt;&gt; ""))))
    )
)</f>
        <v/>
      </c>
      <c r="D1359" s="206"/>
      <c r="E1359" s="206" t="str">
        <f>IF(AA1359 = "", "",
    IF(ISNUMBER(SEARCH("Kiện", C1359)),
       " GÓI " &amp; COUNTIF($C$13:C1359, "*Kiện*") &amp; "/" &amp; COUNTIF($C$13:$C$1000, "*Kiện*") &amp; " " &amp; AA1359,
       AA1359)
)</f>
        <v/>
      </c>
      <c r="F1359" s="206"/>
      <c r="G1359" s="206"/>
      <c r="H1359" s="206"/>
      <c r="I1359" s="206"/>
      <c r="J1359" s="206" t="str">
        <f t="shared" si="307"/>
        <v/>
      </c>
      <c r="K1359" s="206" t="str">
        <f t="shared" si="309"/>
        <v/>
      </c>
      <c r="L1359" s="206" t="str">
        <f t="shared" si="310"/>
        <v/>
      </c>
      <c r="M1359" s="206" t="str">
        <f t="shared" si="311"/>
        <v/>
      </c>
      <c r="N1359" s="206" t="str">
        <f t="shared" si="312"/>
        <v/>
      </c>
      <c r="O1359" s="206" t="str">
        <f t="shared" si="313"/>
        <v/>
      </c>
      <c r="P1359" s="84" t="str">
        <f t="shared" si="314"/>
        <v/>
      </c>
      <c r="Q1359" s="205"/>
      <c r="R1359" s="70" t="str">
        <f>IF(S1359="IN",'BOM_Phan II'!$Y$3,"")</f>
        <v/>
      </c>
      <c r="S1359" s="69" t="str">
        <f t="shared" si="306"/>
        <v/>
      </c>
      <c r="T1359">
        <f t="shared" si="315"/>
        <v>3</v>
      </c>
      <c r="U1359" t="str">
        <f t="shared" si="303"/>
        <v>KIỆN 14</v>
      </c>
      <c r="V1359" t="str">
        <f t="shared" si="316"/>
        <v/>
      </c>
      <c r="W1359" s="266"/>
      <c r="X1359" s="266"/>
      <c r="Y1359" s="266" t="str">
        <f t="shared" si="308"/>
        <v/>
      </c>
      <c r="Z1359" s="266"/>
    </row>
    <row r="1360" spans="1:26" ht="27" hidden="1" customHeight="1">
      <c r="A1360" s="70" t="str">
        <f t="shared" si="304"/>
        <v/>
      </c>
      <c r="B1360" s="70" t="str">
        <f t="shared" si="305"/>
        <v/>
      </c>
      <c r="C1360" s="204" t="str" cm="1">
        <f t="array" ref="C1360">IF(D1360="","",
    IF(AND(ISNUMBER(D1360), D1360=INT(D1360)),
        $V$6 &amp; " " &amp; (IFERROR(MAX($Y$12:$Y1359), 0) + 1),
        IF(ISNUMBER(SEARCH(".", D1360)), "", INDEX($C$12:$C1360, MATCH(2, 1/($C$12:$C1360 &lt;&gt; ""))))
    )
)</f>
        <v/>
      </c>
      <c r="D1360" s="206"/>
      <c r="E1360" s="206" t="str">
        <f>IF(AA1360 = "", "",
    IF(ISNUMBER(SEARCH("Kiện", C1360)),
       " GÓI " &amp; COUNTIF($C$13:C1360, "*Kiện*") &amp; "/" &amp; COUNTIF($C$13:$C$1000, "*Kiện*") &amp; " " &amp; AA1360,
       AA1360)
)</f>
        <v/>
      </c>
      <c r="F1360" s="206"/>
      <c r="G1360" s="206"/>
      <c r="H1360" s="206"/>
      <c r="I1360" s="206"/>
      <c r="J1360" s="206" t="str">
        <f t="shared" si="307"/>
        <v/>
      </c>
      <c r="K1360" s="206" t="str">
        <f t="shared" si="309"/>
        <v/>
      </c>
      <c r="L1360" s="206" t="str">
        <f t="shared" si="310"/>
        <v/>
      </c>
      <c r="M1360" s="206" t="str">
        <f t="shared" si="311"/>
        <v/>
      </c>
      <c r="N1360" s="206" t="str">
        <f t="shared" si="312"/>
        <v/>
      </c>
      <c r="O1360" s="206" t="str">
        <f t="shared" si="313"/>
        <v/>
      </c>
      <c r="P1360" s="84" t="str">
        <f t="shared" si="314"/>
        <v/>
      </c>
      <c r="Q1360" s="205"/>
      <c r="R1360" s="70" t="str">
        <f>IF(S1360="IN",'BOM_Phan II'!$Y$3,"")</f>
        <v/>
      </c>
      <c r="S1360" s="69" t="str">
        <f t="shared" si="306"/>
        <v/>
      </c>
      <c r="T1360">
        <f t="shared" si="315"/>
        <v>3</v>
      </c>
      <c r="U1360" t="str">
        <f t="shared" si="303"/>
        <v>KIỆN 14</v>
      </c>
      <c r="V1360" t="str">
        <f t="shared" si="316"/>
        <v/>
      </c>
      <c r="W1360" s="266"/>
      <c r="X1360" s="266"/>
      <c r="Y1360" s="266" t="str">
        <f t="shared" si="308"/>
        <v/>
      </c>
      <c r="Z1360" s="266"/>
    </row>
    <row r="1361" spans="1:26" ht="27" hidden="1" customHeight="1">
      <c r="A1361" s="70" t="str">
        <f t="shared" si="304"/>
        <v/>
      </c>
      <c r="B1361" s="70" t="str">
        <f t="shared" si="305"/>
        <v/>
      </c>
      <c r="C1361" s="204" t="str" cm="1">
        <f t="array" ref="C1361">IF(D1361="","",
    IF(AND(ISNUMBER(D1361), D1361=INT(D1361)),
        $V$6 &amp; " " &amp; (IFERROR(MAX($Y$12:$Y1360), 0) + 1),
        IF(ISNUMBER(SEARCH(".", D1361)), "", INDEX($C$12:$C1361, MATCH(2, 1/($C$12:$C1361 &lt;&gt; ""))))
    )
)</f>
        <v/>
      </c>
      <c r="D1361" s="206"/>
      <c r="E1361" s="206" t="str">
        <f>IF(AA1361 = "", "",
    IF(ISNUMBER(SEARCH("Kiện", C1361)),
       " GÓI " &amp; COUNTIF($C$13:C1361, "*Kiện*") &amp; "/" &amp; COUNTIF($C$13:$C$1000, "*Kiện*") &amp; " " &amp; AA1361,
       AA1361)
)</f>
        <v/>
      </c>
      <c r="F1361" s="206"/>
      <c r="G1361" s="206"/>
      <c r="H1361" s="206"/>
      <c r="I1361" s="206"/>
      <c r="J1361" s="206" t="str">
        <f t="shared" si="307"/>
        <v/>
      </c>
      <c r="K1361" s="206" t="str">
        <f t="shared" si="309"/>
        <v/>
      </c>
      <c r="L1361" s="206" t="str">
        <f t="shared" si="310"/>
        <v/>
      </c>
      <c r="M1361" s="206" t="str">
        <f t="shared" si="311"/>
        <v/>
      </c>
      <c r="N1361" s="206" t="str">
        <f t="shared" si="312"/>
        <v/>
      </c>
      <c r="O1361" s="206" t="str">
        <f t="shared" si="313"/>
        <v/>
      </c>
      <c r="P1361" s="84" t="str">
        <f t="shared" si="314"/>
        <v/>
      </c>
      <c r="Q1361" s="205"/>
      <c r="R1361" s="70" t="str">
        <f>IF(S1361="IN",'BOM_Phan II'!$Y$3,"")</f>
        <v/>
      </c>
      <c r="S1361" s="69" t="str">
        <f t="shared" si="306"/>
        <v/>
      </c>
      <c r="T1361">
        <f t="shared" si="315"/>
        <v>3</v>
      </c>
      <c r="U1361" t="str">
        <f t="shared" si="303"/>
        <v>KIỆN 14</v>
      </c>
      <c r="V1361" t="str">
        <f t="shared" si="316"/>
        <v/>
      </c>
      <c r="W1361" s="266"/>
      <c r="X1361" s="266"/>
      <c r="Y1361" s="266" t="str">
        <f t="shared" si="308"/>
        <v/>
      </c>
      <c r="Z1361" s="266"/>
    </row>
    <row r="1362" spans="1:26" ht="27" hidden="1" customHeight="1">
      <c r="A1362" s="70" t="str">
        <f t="shared" si="304"/>
        <v/>
      </c>
      <c r="B1362" s="70" t="str">
        <f t="shared" si="305"/>
        <v/>
      </c>
      <c r="C1362" s="204" t="str" cm="1">
        <f t="array" ref="C1362">IF(D1362="","",
    IF(AND(ISNUMBER(D1362), D1362=INT(D1362)),
        $V$6 &amp; " " &amp; (IFERROR(MAX($Y$12:$Y1361), 0) + 1),
        IF(ISNUMBER(SEARCH(".", D1362)), "", INDEX($C$12:$C1362, MATCH(2, 1/($C$12:$C1362 &lt;&gt; ""))))
    )
)</f>
        <v/>
      </c>
      <c r="D1362" s="206"/>
      <c r="E1362" s="206" t="str">
        <f>IF(AA1362 = "", "",
    IF(ISNUMBER(SEARCH("Kiện", C1362)),
       " GÓI " &amp; COUNTIF($C$13:C1362, "*Kiện*") &amp; "/" &amp; COUNTIF($C$13:$C$1000, "*Kiện*") &amp; " " &amp; AA1362,
       AA1362)
)</f>
        <v/>
      </c>
      <c r="F1362" s="206"/>
      <c r="G1362" s="206"/>
      <c r="H1362" s="206"/>
      <c r="I1362" s="206"/>
      <c r="J1362" s="206" t="str">
        <f t="shared" si="307"/>
        <v/>
      </c>
      <c r="K1362" s="206" t="str">
        <f t="shared" si="309"/>
        <v/>
      </c>
      <c r="L1362" s="206" t="str">
        <f t="shared" si="310"/>
        <v/>
      </c>
      <c r="M1362" s="206" t="str">
        <f t="shared" si="311"/>
        <v/>
      </c>
      <c r="N1362" s="206" t="str">
        <f t="shared" si="312"/>
        <v/>
      </c>
      <c r="O1362" s="206" t="str">
        <f t="shared" si="313"/>
        <v/>
      </c>
      <c r="P1362" s="84" t="str">
        <f t="shared" si="314"/>
        <v/>
      </c>
      <c r="Q1362" s="205"/>
      <c r="R1362" s="70" t="str">
        <f>IF(S1362="IN",'BOM_Phan II'!$Y$3,"")</f>
        <v/>
      </c>
      <c r="S1362" s="69" t="str">
        <f t="shared" si="306"/>
        <v/>
      </c>
      <c r="T1362">
        <f t="shared" si="315"/>
        <v>3</v>
      </c>
      <c r="U1362" t="str">
        <f t="shared" si="303"/>
        <v>KIỆN 14</v>
      </c>
      <c r="V1362" t="str">
        <f t="shared" si="316"/>
        <v/>
      </c>
      <c r="W1362" s="266"/>
      <c r="X1362" s="266"/>
      <c r="Y1362" s="266" t="str">
        <f t="shared" si="308"/>
        <v/>
      </c>
      <c r="Z1362" s="266"/>
    </row>
    <row r="1363" spans="1:26" ht="27" hidden="1" customHeight="1">
      <c r="A1363" s="70" t="str">
        <f t="shared" si="304"/>
        <v/>
      </c>
      <c r="B1363" s="70" t="str">
        <f t="shared" si="305"/>
        <v/>
      </c>
      <c r="C1363" s="204" t="str" cm="1">
        <f t="array" ref="C1363">IF(D1363="","",
    IF(AND(ISNUMBER(D1363), D1363=INT(D1363)),
        $V$6 &amp; " " &amp; (IFERROR(MAX($Y$12:$Y1362), 0) + 1),
        IF(ISNUMBER(SEARCH(".", D1363)), "", INDEX($C$12:$C1363, MATCH(2, 1/($C$12:$C1363 &lt;&gt; ""))))
    )
)</f>
        <v/>
      </c>
      <c r="D1363" s="206"/>
      <c r="E1363" s="206" t="str">
        <f>IF(AA1363 = "", "",
    IF(ISNUMBER(SEARCH("Kiện", C1363)),
       " GÓI " &amp; COUNTIF($C$13:C1363, "*Kiện*") &amp; "/" &amp; COUNTIF($C$13:$C$1000, "*Kiện*") &amp; " " &amp; AA1363,
       AA1363)
)</f>
        <v/>
      </c>
      <c r="F1363" s="206"/>
      <c r="G1363" s="206"/>
      <c r="H1363" s="206"/>
      <c r="I1363" s="206"/>
      <c r="J1363" s="206" t="str">
        <f t="shared" si="307"/>
        <v/>
      </c>
      <c r="K1363" s="206" t="str">
        <f t="shared" si="309"/>
        <v/>
      </c>
      <c r="L1363" s="206" t="str">
        <f t="shared" si="310"/>
        <v/>
      </c>
      <c r="M1363" s="206" t="str">
        <f t="shared" si="311"/>
        <v/>
      </c>
      <c r="N1363" s="206" t="str">
        <f t="shared" si="312"/>
        <v/>
      </c>
      <c r="O1363" s="206" t="str">
        <f t="shared" si="313"/>
        <v/>
      </c>
      <c r="P1363" s="84" t="str">
        <f t="shared" si="314"/>
        <v/>
      </c>
      <c r="Q1363" s="205"/>
      <c r="R1363" s="70" t="str">
        <f>IF(S1363="IN",'BOM_Phan II'!$Y$3,"")</f>
        <v/>
      </c>
      <c r="S1363" s="69" t="str">
        <f t="shared" si="306"/>
        <v/>
      </c>
      <c r="T1363">
        <f t="shared" si="315"/>
        <v>3</v>
      </c>
      <c r="U1363" t="str">
        <f t="shared" si="303"/>
        <v>KIỆN 14</v>
      </c>
      <c r="V1363" t="str">
        <f t="shared" si="316"/>
        <v/>
      </c>
      <c r="W1363" s="266"/>
      <c r="X1363" s="266"/>
      <c r="Y1363" s="266" t="str">
        <f t="shared" si="308"/>
        <v/>
      </c>
      <c r="Z1363" s="266"/>
    </row>
    <row r="1364" spans="1:26" ht="27" hidden="1" customHeight="1">
      <c r="A1364" s="70" t="str">
        <f t="shared" si="304"/>
        <v/>
      </c>
      <c r="B1364" s="70" t="str">
        <f t="shared" si="305"/>
        <v/>
      </c>
      <c r="C1364" s="204" t="str" cm="1">
        <f t="array" ref="C1364">IF(D1364="","",
    IF(AND(ISNUMBER(D1364), D1364=INT(D1364)),
        $V$6 &amp; " " &amp; (IFERROR(MAX($Y$12:$Y1363), 0) + 1),
        IF(ISNUMBER(SEARCH(".", D1364)), "", INDEX($C$12:$C1364, MATCH(2, 1/($C$12:$C1364 &lt;&gt; ""))))
    )
)</f>
        <v/>
      </c>
      <c r="D1364" s="206"/>
      <c r="E1364" s="206" t="str">
        <f>IF(AA1364 = "", "",
    IF(ISNUMBER(SEARCH("Kiện", C1364)),
       " GÓI " &amp; COUNTIF($C$13:C1364, "*Kiện*") &amp; "/" &amp; COUNTIF($C$13:$C$1000, "*Kiện*") &amp; " " &amp; AA1364,
       AA1364)
)</f>
        <v/>
      </c>
      <c r="F1364" s="206"/>
      <c r="G1364" s="206"/>
      <c r="H1364" s="206"/>
      <c r="I1364" s="206"/>
      <c r="J1364" s="206" t="str">
        <f t="shared" si="307"/>
        <v/>
      </c>
      <c r="K1364" s="206" t="str">
        <f t="shared" si="309"/>
        <v/>
      </c>
      <c r="L1364" s="206" t="str">
        <f t="shared" si="310"/>
        <v/>
      </c>
      <c r="M1364" s="206" t="str">
        <f t="shared" si="311"/>
        <v/>
      </c>
      <c r="N1364" s="206" t="str">
        <f t="shared" si="312"/>
        <v/>
      </c>
      <c r="O1364" s="206" t="str">
        <f t="shared" si="313"/>
        <v/>
      </c>
      <c r="P1364" s="84" t="str">
        <f t="shared" si="314"/>
        <v/>
      </c>
      <c r="Q1364" s="205"/>
      <c r="R1364" s="70" t="str">
        <f>IF(S1364="IN",'BOM_Phan II'!$Y$3,"")</f>
        <v/>
      </c>
      <c r="S1364" s="69" t="str">
        <f t="shared" si="306"/>
        <v/>
      </c>
      <c r="T1364">
        <f t="shared" si="315"/>
        <v>3</v>
      </c>
      <c r="U1364" t="str">
        <f t="shared" si="303"/>
        <v>KIỆN 14</v>
      </c>
      <c r="V1364" t="str">
        <f t="shared" si="316"/>
        <v/>
      </c>
      <c r="W1364" s="266"/>
      <c r="X1364" s="266"/>
      <c r="Y1364" s="266" t="str">
        <f t="shared" si="308"/>
        <v/>
      </c>
      <c r="Z1364" s="266"/>
    </row>
    <row r="1365" spans="1:26" ht="27" hidden="1" customHeight="1">
      <c r="A1365" s="70" t="str">
        <f t="shared" si="304"/>
        <v/>
      </c>
      <c r="B1365" s="70" t="str">
        <f t="shared" si="305"/>
        <v/>
      </c>
      <c r="C1365" s="204" t="str" cm="1">
        <f t="array" ref="C1365">IF(D1365="","",
    IF(AND(ISNUMBER(D1365), D1365=INT(D1365)),
        $V$6 &amp; " " &amp; (IFERROR(MAX($Y$12:$Y1364), 0) + 1),
        IF(ISNUMBER(SEARCH(".", D1365)), "", INDEX($C$12:$C1365, MATCH(2, 1/($C$12:$C1365 &lt;&gt; ""))))
    )
)</f>
        <v/>
      </c>
      <c r="D1365" s="206"/>
      <c r="E1365" s="206" t="str">
        <f>IF(AA1365 = "", "",
    IF(ISNUMBER(SEARCH("Kiện", C1365)),
       " GÓI " &amp; COUNTIF($C$13:C1365, "*Kiện*") &amp; "/" &amp; COUNTIF($C$13:$C$1000, "*Kiện*") &amp; " " &amp; AA1365,
       AA1365)
)</f>
        <v/>
      </c>
      <c r="F1365" s="206"/>
      <c r="G1365" s="206"/>
      <c r="H1365" s="206"/>
      <c r="I1365" s="206"/>
      <c r="J1365" s="206" t="str">
        <f t="shared" si="307"/>
        <v/>
      </c>
      <c r="K1365" s="206" t="str">
        <f t="shared" si="309"/>
        <v/>
      </c>
      <c r="L1365" s="206" t="str">
        <f t="shared" si="310"/>
        <v/>
      </c>
      <c r="M1365" s="206" t="str">
        <f t="shared" si="311"/>
        <v/>
      </c>
      <c r="N1365" s="206" t="str">
        <f t="shared" si="312"/>
        <v/>
      </c>
      <c r="O1365" s="206" t="str">
        <f t="shared" si="313"/>
        <v/>
      </c>
      <c r="P1365" s="84" t="str">
        <f t="shared" si="314"/>
        <v/>
      </c>
      <c r="Q1365" s="205"/>
      <c r="R1365" s="70" t="str">
        <f>IF(S1365="IN",'BOM_Phan II'!$Y$3,"")</f>
        <v/>
      </c>
      <c r="S1365" s="69" t="str">
        <f t="shared" si="306"/>
        <v/>
      </c>
      <c r="T1365">
        <f t="shared" si="315"/>
        <v>3</v>
      </c>
      <c r="U1365" t="str">
        <f t="shared" si="303"/>
        <v>KIỆN 14</v>
      </c>
      <c r="V1365" t="str">
        <f t="shared" si="316"/>
        <v/>
      </c>
      <c r="W1365" s="266"/>
      <c r="X1365" s="266"/>
      <c r="Y1365" s="266" t="str">
        <f t="shared" si="308"/>
        <v/>
      </c>
      <c r="Z1365" s="266"/>
    </row>
    <row r="1366" spans="1:26" ht="27" hidden="1" customHeight="1">
      <c r="A1366" s="70" t="str">
        <f t="shared" si="304"/>
        <v/>
      </c>
      <c r="B1366" s="70" t="str">
        <f t="shared" si="305"/>
        <v/>
      </c>
      <c r="C1366" s="204" t="str" cm="1">
        <f t="array" ref="C1366">IF(D1366="","",
    IF(AND(ISNUMBER(D1366), D1366=INT(D1366)),
        $V$6 &amp; " " &amp; (IFERROR(MAX($Y$12:$Y1365), 0) + 1),
        IF(ISNUMBER(SEARCH(".", D1366)), "", INDEX($C$12:$C1366, MATCH(2, 1/($C$12:$C1366 &lt;&gt; ""))))
    )
)</f>
        <v/>
      </c>
      <c r="D1366" s="206"/>
      <c r="E1366" s="206" t="str">
        <f>IF(AA1366 = "", "",
    IF(ISNUMBER(SEARCH("Kiện", C1366)),
       " GÓI " &amp; COUNTIF($C$13:C1366, "*Kiện*") &amp; "/" &amp; COUNTIF($C$13:$C$1000, "*Kiện*") &amp; " " &amp; AA1366,
       AA1366)
)</f>
        <v/>
      </c>
      <c r="F1366" s="206"/>
      <c r="G1366" s="206"/>
      <c r="H1366" s="206"/>
      <c r="I1366" s="206"/>
      <c r="J1366" s="206" t="str">
        <f t="shared" si="307"/>
        <v/>
      </c>
      <c r="K1366" s="206" t="str">
        <f t="shared" si="309"/>
        <v/>
      </c>
      <c r="L1366" s="206" t="str">
        <f t="shared" si="310"/>
        <v/>
      </c>
      <c r="M1366" s="206" t="str">
        <f t="shared" si="311"/>
        <v/>
      </c>
      <c r="N1366" s="206" t="str">
        <f t="shared" si="312"/>
        <v/>
      </c>
      <c r="O1366" s="206" t="str">
        <f t="shared" si="313"/>
        <v/>
      </c>
      <c r="P1366" s="84" t="str">
        <f t="shared" si="314"/>
        <v/>
      </c>
      <c r="Q1366" s="205"/>
      <c r="R1366" s="70" t="str">
        <f>IF(S1366="IN",'BOM_Phan II'!$Y$3,"")</f>
        <v/>
      </c>
      <c r="S1366" s="69" t="str">
        <f t="shared" si="306"/>
        <v/>
      </c>
      <c r="T1366">
        <f t="shared" si="315"/>
        <v>3</v>
      </c>
      <c r="U1366" t="str">
        <f t="shared" si="303"/>
        <v>KIỆN 14</v>
      </c>
      <c r="V1366" t="str">
        <f t="shared" si="316"/>
        <v/>
      </c>
      <c r="W1366" s="266"/>
      <c r="X1366" s="266"/>
      <c r="Y1366" s="266" t="str">
        <f t="shared" si="308"/>
        <v/>
      </c>
      <c r="Z1366" s="266"/>
    </row>
    <row r="1367" spans="1:26" ht="27" hidden="1" customHeight="1">
      <c r="A1367" s="70" t="str">
        <f t="shared" si="304"/>
        <v/>
      </c>
      <c r="B1367" s="70" t="str">
        <f t="shared" si="305"/>
        <v/>
      </c>
      <c r="C1367" s="204" t="str" cm="1">
        <f t="array" ref="C1367">IF(D1367="","",
    IF(AND(ISNUMBER(D1367), D1367=INT(D1367)),
        $V$6 &amp; " " &amp; (IFERROR(MAX($Y$12:$Y1366), 0) + 1),
        IF(ISNUMBER(SEARCH(".", D1367)), "", INDEX($C$12:$C1367, MATCH(2, 1/($C$12:$C1367 &lt;&gt; ""))))
    )
)</f>
        <v/>
      </c>
      <c r="D1367" s="206"/>
      <c r="E1367" s="206" t="str">
        <f>IF(AA1367 = "", "",
    IF(ISNUMBER(SEARCH("Kiện", C1367)),
       " GÓI " &amp; COUNTIF($C$13:C1367, "*Kiện*") &amp; "/" &amp; COUNTIF($C$13:$C$1000, "*Kiện*") &amp; " " &amp; AA1367,
       AA1367)
)</f>
        <v/>
      </c>
      <c r="F1367" s="206"/>
      <c r="G1367" s="206"/>
      <c r="H1367" s="206"/>
      <c r="I1367" s="206"/>
      <c r="J1367" s="206" t="str">
        <f t="shared" si="307"/>
        <v/>
      </c>
      <c r="K1367" s="206" t="str">
        <f t="shared" si="309"/>
        <v/>
      </c>
      <c r="L1367" s="206" t="str">
        <f t="shared" si="310"/>
        <v/>
      </c>
      <c r="M1367" s="206" t="str">
        <f t="shared" si="311"/>
        <v/>
      </c>
      <c r="N1367" s="206" t="str">
        <f t="shared" si="312"/>
        <v/>
      </c>
      <c r="O1367" s="206" t="str">
        <f t="shared" si="313"/>
        <v/>
      </c>
      <c r="P1367" s="84" t="str">
        <f t="shared" si="314"/>
        <v/>
      </c>
      <c r="Q1367" s="205"/>
      <c r="R1367" s="70" t="str">
        <f>IF(S1367="IN",'BOM_Phan II'!$Y$3,"")</f>
        <v/>
      </c>
      <c r="S1367" s="69" t="str">
        <f t="shared" si="306"/>
        <v/>
      </c>
      <c r="T1367">
        <f t="shared" si="315"/>
        <v>3</v>
      </c>
      <c r="U1367" t="str">
        <f t="shared" si="303"/>
        <v>KIỆN 14</v>
      </c>
      <c r="V1367" t="str">
        <f t="shared" si="316"/>
        <v/>
      </c>
      <c r="W1367" s="266"/>
      <c r="X1367" s="266"/>
      <c r="Y1367" s="266" t="str">
        <f t="shared" si="308"/>
        <v/>
      </c>
      <c r="Z1367" s="266"/>
    </row>
    <row r="1368" spans="1:26" ht="27" hidden="1" customHeight="1">
      <c r="A1368" s="70" t="str">
        <f t="shared" si="304"/>
        <v/>
      </c>
      <c r="B1368" s="70" t="str">
        <f t="shared" si="305"/>
        <v/>
      </c>
      <c r="C1368" s="204" t="str" cm="1">
        <f t="array" ref="C1368">IF(D1368="","",
    IF(AND(ISNUMBER(D1368), D1368=INT(D1368)),
        $V$6 &amp; " " &amp; (IFERROR(MAX($Y$12:$Y1367), 0) + 1),
        IF(ISNUMBER(SEARCH(".", D1368)), "", INDEX($C$12:$C1368, MATCH(2, 1/($C$12:$C1368 &lt;&gt; ""))))
    )
)</f>
        <v/>
      </c>
      <c r="D1368" s="206"/>
      <c r="E1368" s="206" t="str">
        <f>IF(AA1368 = "", "",
    IF(ISNUMBER(SEARCH("Kiện", C1368)),
       " GÓI " &amp; COUNTIF($C$13:C1368, "*Kiện*") &amp; "/" &amp; COUNTIF($C$13:$C$1000, "*Kiện*") &amp; " " &amp; AA1368,
       AA1368)
)</f>
        <v/>
      </c>
      <c r="F1368" s="206"/>
      <c r="G1368" s="206"/>
      <c r="H1368" s="206"/>
      <c r="I1368" s="206"/>
      <c r="J1368" s="206" t="str">
        <f t="shared" si="307"/>
        <v/>
      </c>
      <c r="K1368" s="206" t="str">
        <f t="shared" si="309"/>
        <v/>
      </c>
      <c r="L1368" s="206" t="str">
        <f t="shared" si="310"/>
        <v/>
      </c>
      <c r="M1368" s="206" t="str">
        <f t="shared" si="311"/>
        <v/>
      </c>
      <c r="N1368" s="206" t="str">
        <f t="shared" si="312"/>
        <v/>
      </c>
      <c r="O1368" s="206" t="str">
        <f t="shared" si="313"/>
        <v/>
      </c>
      <c r="P1368" s="84" t="str">
        <f t="shared" si="314"/>
        <v/>
      </c>
      <c r="Q1368" s="205"/>
      <c r="R1368" s="70" t="str">
        <f>IF(S1368="IN",'BOM_Phan II'!$Y$3,"")</f>
        <v/>
      </c>
      <c r="S1368" s="69" t="str">
        <f t="shared" si="306"/>
        <v/>
      </c>
      <c r="T1368">
        <f t="shared" si="315"/>
        <v>3</v>
      </c>
      <c r="U1368" t="str">
        <f t="shared" si="303"/>
        <v>KIỆN 14</v>
      </c>
      <c r="V1368" t="str">
        <f t="shared" si="316"/>
        <v/>
      </c>
      <c r="W1368" s="266"/>
      <c r="X1368" s="266"/>
      <c r="Y1368" s="266" t="str">
        <f t="shared" si="308"/>
        <v/>
      </c>
      <c r="Z1368" s="266"/>
    </row>
    <row r="1369" spans="1:26" ht="27" hidden="1" customHeight="1">
      <c r="A1369" s="70" t="str">
        <f t="shared" si="304"/>
        <v/>
      </c>
      <c r="B1369" s="70" t="str">
        <f t="shared" si="305"/>
        <v/>
      </c>
      <c r="C1369" s="204" t="str" cm="1">
        <f t="array" ref="C1369">IF(D1369="","",
    IF(AND(ISNUMBER(D1369), D1369=INT(D1369)),
        $V$6 &amp; " " &amp; (IFERROR(MAX($Y$12:$Y1368), 0) + 1),
        IF(ISNUMBER(SEARCH(".", D1369)), "", INDEX($C$12:$C1369, MATCH(2, 1/($C$12:$C1369 &lt;&gt; ""))))
    )
)</f>
        <v/>
      </c>
      <c r="D1369" s="206"/>
      <c r="E1369" s="206" t="str">
        <f>IF(AA1369 = "", "",
    IF(ISNUMBER(SEARCH("Kiện", C1369)),
       " GÓI " &amp; COUNTIF($C$13:C1369, "*Kiện*") &amp; "/" &amp; COUNTIF($C$13:$C$1000, "*Kiện*") &amp; " " &amp; AA1369,
       AA1369)
)</f>
        <v/>
      </c>
      <c r="F1369" s="206"/>
      <c r="G1369" s="206"/>
      <c r="H1369" s="206"/>
      <c r="I1369" s="206"/>
      <c r="J1369" s="206" t="str">
        <f t="shared" si="307"/>
        <v/>
      </c>
      <c r="K1369" s="206" t="str">
        <f t="shared" si="309"/>
        <v/>
      </c>
      <c r="L1369" s="206" t="str">
        <f t="shared" si="310"/>
        <v/>
      </c>
      <c r="M1369" s="206" t="str">
        <f t="shared" si="311"/>
        <v/>
      </c>
      <c r="N1369" s="206" t="str">
        <f t="shared" si="312"/>
        <v/>
      </c>
      <c r="O1369" s="206" t="str">
        <f t="shared" si="313"/>
        <v/>
      </c>
      <c r="P1369" s="84" t="str">
        <f t="shared" si="314"/>
        <v/>
      </c>
      <c r="Q1369" s="205"/>
      <c r="R1369" s="70" t="str">
        <f>IF(S1369="IN",'BOM_Phan II'!$Y$3,"")</f>
        <v/>
      </c>
      <c r="S1369" s="69" t="str">
        <f t="shared" si="306"/>
        <v/>
      </c>
      <c r="T1369">
        <f t="shared" si="315"/>
        <v>3</v>
      </c>
      <c r="U1369" t="str">
        <f t="shared" si="303"/>
        <v>KIỆN 14</v>
      </c>
      <c r="V1369" t="str">
        <f t="shared" si="316"/>
        <v/>
      </c>
      <c r="W1369" s="266"/>
      <c r="X1369" s="266"/>
      <c r="Y1369" s="266" t="str">
        <f t="shared" si="308"/>
        <v/>
      </c>
      <c r="Z1369" s="266"/>
    </row>
    <row r="1370" spans="1:26" ht="27" hidden="1" customHeight="1">
      <c r="A1370" s="70" t="str">
        <f t="shared" si="304"/>
        <v/>
      </c>
      <c r="B1370" s="70" t="str">
        <f t="shared" si="305"/>
        <v/>
      </c>
      <c r="C1370" s="204" t="str" cm="1">
        <f t="array" ref="C1370">IF(D1370="","",
    IF(AND(ISNUMBER(D1370), D1370=INT(D1370)),
        $V$6 &amp; " " &amp; (IFERROR(MAX($Y$12:$Y1369), 0) + 1),
        IF(ISNUMBER(SEARCH(".", D1370)), "", INDEX($C$12:$C1370, MATCH(2, 1/($C$12:$C1370 &lt;&gt; ""))))
    )
)</f>
        <v/>
      </c>
      <c r="D1370" s="206"/>
      <c r="E1370" s="206" t="str">
        <f>IF(AA1370 = "", "",
    IF(ISNUMBER(SEARCH("Kiện", C1370)),
       " GÓI " &amp; COUNTIF($C$13:C1370, "*Kiện*") &amp; "/" &amp; COUNTIF($C$13:$C$1000, "*Kiện*") &amp; " " &amp; AA1370,
       AA1370)
)</f>
        <v/>
      </c>
      <c r="F1370" s="206"/>
      <c r="G1370" s="206"/>
      <c r="H1370" s="206"/>
      <c r="I1370" s="206"/>
      <c r="J1370" s="206" t="str">
        <f t="shared" si="307"/>
        <v/>
      </c>
      <c r="K1370" s="206" t="str">
        <f t="shared" si="309"/>
        <v/>
      </c>
      <c r="L1370" s="206" t="str">
        <f t="shared" si="310"/>
        <v/>
      </c>
      <c r="M1370" s="206" t="str">
        <f t="shared" si="311"/>
        <v/>
      </c>
      <c r="N1370" s="206" t="str">
        <f t="shared" si="312"/>
        <v/>
      </c>
      <c r="O1370" s="206" t="str">
        <f t="shared" si="313"/>
        <v/>
      </c>
      <c r="P1370" s="84" t="str">
        <f t="shared" si="314"/>
        <v/>
      </c>
      <c r="Q1370" s="205"/>
      <c r="R1370" s="70" t="str">
        <f>IF(S1370="IN",'BOM_Phan II'!$Y$3,"")</f>
        <v/>
      </c>
      <c r="S1370" s="69" t="str">
        <f t="shared" si="306"/>
        <v/>
      </c>
      <c r="T1370">
        <f t="shared" si="315"/>
        <v>3</v>
      </c>
      <c r="U1370" t="str">
        <f t="shared" si="303"/>
        <v>KIỆN 14</v>
      </c>
      <c r="V1370" t="str">
        <f t="shared" si="316"/>
        <v/>
      </c>
      <c r="W1370" s="266"/>
      <c r="X1370" s="266"/>
      <c r="Y1370" s="266" t="str">
        <f t="shared" si="308"/>
        <v/>
      </c>
      <c r="Z1370" s="266"/>
    </row>
    <row r="1371" spans="1:26" ht="27" hidden="1" customHeight="1">
      <c r="A1371" s="70" t="str">
        <f t="shared" si="304"/>
        <v/>
      </c>
      <c r="B1371" s="70" t="str">
        <f t="shared" si="305"/>
        <v/>
      </c>
      <c r="C1371" s="204" t="str" cm="1">
        <f t="array" ref="C1371">IF(D1371="","",
    IF(AND(ISNUMBER(D1371), D1371=INT(D1371)),
        $V$6 &amp; " " &amp; (IFERROR(MAX($Y$12:$Y1370), 0) + 1),
        IF(ISNUMBER(SEARCH(".", D1371)), "", INDEX($C$12:$C1371, MATCH(2, 1/($C$12:$C1371 &lt;&gt; ""))))
    )
)</f>
        <v/>
      </c>
      <c r="D1371" s="206"/>
      <c r="E1371" s="206" t="str">
        <f>IF(AA1371 = "", "",
    IF(ISNUMBER(SEARCH("Kiện", C1371)),
       " GÓI " &amp; COUNTIF($C$13:C1371, "*Kiện*") &amp; "/" &amp; COUNTIF($C$13:$C$1000, "*Kiện*") &amp; " " &amp; AA1371,
       AA1371)
)</f>
        <v/>
      </c>
      <c r="F1371" s="206"/>
      <c r="G1371" s="206"/>
      <c r="H1371" s="206"/>
      <c r="I1371" s="206"/>
      <c r="J1371" s="206" t="str">
        <f t="shared" si="307"/>
        <v/>
      </c>
      <c r="K1371" s="206" t="str">
        <f t="shared" si="309"/>
        <v/>
      </c>
      <c r="L1371" s="206" t="str">
        <f t="shared" si="310"/>
        <v/>
      </c>
      <c r="M1371" s="206" t="str">
        <f t="shared" si="311"/>
        <v/>
      </c>
      <c r="N1371" s="206" t="str">
        <f t="shared" si="312"/>
        <v/>
      </c>
      <c r="O1371" s="206" t="str">
        <f t="shared" si="313"/>
        <v/>
      </c>
      <c r="P1371" s="84" t="str">
        <f t="shared" si="314"/>
        <v/>
      </c>
      <c r="Q1371" s="205"/>
      <c r="R1371" s="70" t="str">
        <f>IF(S1371="IN",'BOM_Phan II'!$Y$3,"")</f>
        <v/>
      </c>
      <c r="S1371" s="69" t="str">
        <f t="shared" si="306"/>
        <v/>
      </c>
      <c r="T1371">
        <f t="shared" si="315"/>
        <v>3</v>
      </c>
      <c r="U1371" t="str">
        <f t="shared" si="303"/>
        <v>KIỆN 14</v>
      </c>
      <c r="V1371" t="str">
        <f t="shared" si="316"/>
        <v/>
      </c>
      <c r="W1371" s="266"/>
      <c r="X1371" s="266"/>
      <c r="Y1371" s="266" t="str">
        <f t="shared" si="308"/>
        <v/>
      </c>
      <c r="Z1371" s="266"/>
    </row>
    <row r="1372" spans="1:26" ht="27" hidden="1" customHeight="1">
      <c r="A1372" s="70" t="str">
        <f t="shared" si="304"/>
        <v/>
      </c>
      <c r="B1372" s="70" t="str">
        <f t="shared" si="305"/>
        <v/>
      </c>
      <c r="C1372" s="204" t="str" cm="1">
        <f t="array" ref="C1372">IF(D1372="","",
    IF(AND(ISNUMBER(D1372), D1372=INT(D1372)),
        $V$6 &amp; " " &amp; (IFERROR(MAX($Y$12:$Y1371), 0) + 1),
        IF(ISNUMBER(SEARCH(".", D1372)), "", INDEX($C$12:$C1372, MATCH(2, 1/($C$12:$C1372 &lt;&gt; ""))))
    )
)</f>
        <v/>
      </c>
      <c r="D1372" s="206"/>
      <c r="E1372" s="206" t="str">
        <f>IF(AA1372 = "", "",
    IF(ISNUMBER(SEARCH("Kiện", C1372)),
       " GÓI " &amp; COUNTIF($C$13:C1372, "*Kiện*") &amp; "/" &amp; COUNTIF($C$13:$C$1000, "*Kiện*") &amp; " " &amp; AA1372,
       AA1372)
)</f>
        <v/>
      </c>
      <c r="F1372" s="206"/>
      <c r="G1372" s="206"/>
      <c r="H1372" s="206"/>
      <c r="I1372" s="206"/>
      <c r="J1372" s="206" t="str">
        <f t="shared" si="307"/>
        <v/>
      </c>
      <c r="K1372" s="206" t="str">
        <f t="shared" si="309"/>
        <v/>
      </c>
      <c r="L1372" s="206" t="str">
        <f t="shared" si="310"/>
        <v/>
      </c>
      <c r="M1372" s="206" t="str">
        <f t="shared" si="311"/>
        <v/>
      </c>
      <c r="N1372" s="206" t="str">
        <f t="shared" si="312"/>
        <v/>
      </c>
      <c r="O1372" s="206" t="str">
        <f t="shared" si="313"/>
        <v/>
      </c>
      <c r="P1372" s="84" t="str">
        <f t="shared" si="314"/>
        <v/>
      </c>
      <c r="Q1372" s="205"/>
      <c r="R1372" s="70" t="str">
        <f>IF(S1372="IN",'BOM_Phan II'!$Y$3,"")</f>
        <v/>
      </c>
      <c r="S1372" s="69" t="str">
        <f t="shared" si="306"/>
        <v/>
      </c>
      <c r="T1372">
        <f t="shared" si="315"/>
        <v>3</v>
      </c>
      <c r="U1372" t="str">
        <f t="shared" si="303"/>
        <v>KIỆN 14</v>
      </c>
      <c r="V1372" t="str">
        <f t="shared" si="316"/>
        <v/>
      </c>
      <c r="W1372" s="266"/>
      <c r="X1372" s="266"/>
      <c r="Y1372" s="266" t="str">
        <f t="shared" si="308"/>
        <v/>
      </c>
      <c r="Z1372" s="266"/>
    </row>
    <row r="1373" spans="1:26" ht="27" hidden="1" customHeight="1">
      <c r="A1373" s="70" t="str">
        <f t="shared" si="304"/>
        <v/>
      </c>
      <c r="B1373" s="70" t="str">
        <f t="shared" si="305"/>
        <v/>
      </c>
      <c r="C1373" s="204" t="str" cm="1">
        <f t="array" ref="C1373">IF(D1373="","",
    IF(AND(ISNUMBER(D1373), D1373=INT(D1373)),
        $V$6 &amp; " " &amp; (IFERROR(MAX($Y$12:$Y1372), 0) + 1),
        IF(ISNUMBER(SEARCH(".", D1373)), "", INDEX($C$12:$C1373, MATCH(2, 1/($C$12:$C1373 &lt;&gt; ""))))
    )
)</f>
        <v/>
      </c>
      <c r="D1373" s="206"/>
      <c r="E1373" s="206" t="str">
        <f>IF(AA1373 = "", "",
    IF(ISNUMBER(SEARCH("Kiện", C1373)),
       " GÓI " &amp; COUNTIF($C$13:C1373, "*Kiện*") &amp; "/" &amp; COUNTIF($C$13:$C$1000, "*Kiện*") &amp; " " &amp; AA1373,
       AA1373)
)</f>
        <v/>
      </c>
      <c r="F1373" s="206"/>
      <c r="G1373" s="206"/>
      <c r="H1373" s="206"/>
      <c r="I1373" s="206"/>
      <c r="J1373" s="206" t="str">
        <f t="shared" si="307"/>
        <v/>
      </c>
      <c r="K1373" s="206" t="str">
        <f t="shared" si="309"/>
        <v/>
      </c>
      <c r="L1373" s="206" t="str">
        <f t="shared" si="310"/>
        <v/>
      </c>
      <c r="M1373" s="206" t="str">
        <f t="shared" si="311"/>
        <v/>
      </c>
      <c r="N1373" s="206" t="str">
        <f t="shared" si="312"/>
        <v/>
      </c>
      <c r="O1373" s="206" t="str">
        <f t="shared" si="313"/>
        <v/>
      </c>
      <c r="P1373" s="84" t="str">
        <f t="shared" si="314"/>
        <v/>
      </c>
      <c r="Q1373" s="205"/>
      <c r="R1373" s="70" t="str">
        <f>IF(S1373="IN",'BOM_Phan II'!$Y$3,"")</f>
        <v/>
      </c>
      <c r="S1373" s="69" t="str">
        <f t="shared" si="306"/>
        <v/>
      </c>
      <c r="T1373">
        <f t="shared" si="315"/>
        <v>3</v>
      </c>
      <c r="U1373" t="str">
        <f t="shared" si="303"/>
        <v>KIỆN 14</v>
      </c>
      <c r="V1373" t="str">
        <f t="shared" si="316"/>
        <v/>
      </c>
      <c r="W1373" s="266"/>
      <c r="X1373" s="266"/>
      <c r="Y1373" s="266" t="str">
        <f t="shared" si="308"/>
        <v/>
      </c>
      <c r="Z1373" s="266"/>
    </row>
    <row r="1374" spans="1:26" ht="27" hidden="1" customHeight="1">
      <c r="A1374" s="70" t="str">
        <f t="shared" si="304"/>
        <v/>
      </c>
      <c r="B1374" s="70" t="str">
        <f t="shared" si="305"/>
        <v/>
      </c>
      <c r="C1374" s="204" t="str" cm="1">
        <f t="array" ref="C1374">IF(D1374="","",
    IF(AND(ISNUMBER(D1374), D1374=INT(D1374)),
        $V$6 &amp; " " &amp; (IFERROR(MAX($Y$12:$Y1373), 0) + 1),
        IF(ISNUMBER(SEARCH(".", D1374)), "", INDEX($C$12:$C1374, MATCH(2, 1/($C$12:$C1374 &lt;&gt; ""))))
    )
)</f>
        <v/>
      </c>
      <c r="D1374" s="206"/>
      <c r="E1374" s="206" t="str">
        <f>IF(AA1374 = "", "",
    IF(ISNUMBER(SEARCH("Kiện", C1374)),
       " GÓI " &amp; COUNTIF($C$13:C1374, "*Kiện*") &amp; "/" &amp; COUNTIF($C$13:$C$1000, "*Kiện*") &amp; " " &amp; AA1374,
       AA1374)
)</f>
        <v/>
      </c>
      <c r="F1374" s="206"/>
      <c r="G1374" s="206"/>
      <c r="H1374" s="206"/>
      <c r="I1374" s="206"/>
      <c r="J1374" s="206" t="str">
        <f t="shared" si="307"/>
        <v/>
      </c>
      <c r="K1374" s="206" t="str">
        <f t="shared" si="309"/>
        <v/>
      </c>
      <c r="L1374" s="206" t="str">
        <f t="shared" si="310"/>
        <v/>
      </c>
      <c r="M1374" s="206" t="str">
        <f t="shared" si="311"/>
        <v/>
      </c>
      <c r="N1374" s="206" t="str">
        <f t="shared" si="312"/>
        <v/>
      </c>
      <c r="O1374" s="206" t="str">
        <f t="shared" si="313"/>
        <v/>
      </c>
      <c r="P1374" s="84" t="str">
        <f t="shared" si="314"/>
        <v/>
      </c>
      <c r="Q1374" s="205"/>
      <c r="R1374" s="70" t="str">
        <f>IF(S1374="IN",'BOM_Phan II'!$Y$3,"")</f>
        <v/>
      </c>
      <c r="S1374" s="69" t="str">
        <f t="shared" si="306"/>
        <v/>
      </c>
      <c r="T1374">
        <f t="shared" si="315"/>
        <v>3</v>
      </c>
      <c r="U1374" t="str">
        <f t="shared" si="303"/>
        <v>KIỆN 14</v>
      </c>
      <c r="V1374" t="str">
        <f t="shared" si="316"/>
        <v/>
      </c>
      <c r="W1374" s="266"/>
      <c r="X1374" s="266"/>
      <c r="Y1374" s="266" t="str">
        <f t="shared" si="308"/>
        <v/>
      </c>
      <c r="Z1374" s="266"/>
    </row>
    <row r="1375" spans="1:26" ht="27" hidden="1" customHeight="1">
      <c r="A1375" s="70" t="str">
        <f t="shared" si="304"/>
        <v/>
      </c>
      <c r="B1375" s="70" t="str">
        <f t="shared" si="305"/>
        <v/>
      </c>
      <c r="C1375" s="204" t="str" cm="1">
        <f t="array" ref="C1375">IF(D1375="","",
    IF(AND(ISNUMBER(D1375), D1375=INT(D1375)),
        $V$6 &amp; " " &amp; (IFERROR(MAX($Y$12:$Y1374), 0) + 1),
        IF(ISNUMBER(SEARCH(".", D1375)), "", INDEX($C$12:$C1375, MATCH(2, 1/($C$12:$C1375 &lt;&gt; ""))))
    )
)</f>
        <v/>
      </c>
      <c r="D1375" s="206"/>
      <c r="E1375" s="206" t="str">
        <f>IF(AA1375 = "", "",
    IF(ISNUMBER(SEARCH("Kiện", C1375)),
       " GÓI " &amp; COUNTIF($C$13:C1375, "*Kiện*") &amp; "/" &amp; COUNTIF($C$13:$C$1000, "*Kiện*") &amp; " " &amp; AA1375,
       AA1375)
)</f>
        <v/>
      </c>
      <c r="F1375" s="206"/>
      <c r="G1375" s="206"/>
      <c r="H1375" s="206"/>
      <c r="I1375" s="206"/>
      <c r="J1375" s="206" t="str">
        <f t="shared" si="307"/>
        <v/>
      </c>
      <c r="K1375" s="206" t="str">
        <f t="shared" si="309"/>
        <v/>
      </c>
      <c r="L1375" s="206" t="str">
        <f t="shared" si="310"/>
        <v/>
      </c>
      <c r="M1375" s="206" t="str">
        <f t="shared" si="311"/>
        <v/>
      </c>
      <c r="N1375" s="206" t="str">
        <f t="shared" si="312"/>
        <v/>
      </c>
      <c r="O1375" s="206" t="str">
        <f t="shared" si="313"/>
        <v/>
      </c>
      <c r="P1375" s="84" t="str">
        <f t="shared" si="314"/>
        <v/>
      </c>
      <c r="Q1375" s="205"/>
      <c r="R1375" s="70" t="str">
        <f>IF(S1375="IN",'BOM_Phan II'!$Y$3,"")</f>
        <v/>
      </c>
      <c r="S1375" s="69" t="str">
        <f t="shared" si="306"/>
        <v/>
      </c>
      <c r="T1375">
        <f t="shared" si="315"/>
        <v>3</v>
      </c>
      <c r="U1375" t="str">
        <f t="shared" si="303"/>
        <v>KIỆN 14</v>
      </c>
      <c r="V1375" t="str">
        <f t="shared" si="316"/>
        <v/>
      </c>
      <c r="W1375" s="266"/>
      <c r="X1375" s="266"/>
      <c r="Y1375" s="266" t="str">
        <f t="shared" si="308"/>
        <v/>
      </c>
      <c r="Z1375" s="266"/>
    </row>
    <row r="1376" spans="1:26" ht="27" hidden="1" customHeight="1">
      <c r="A1376" s="70" t="str">
        <f t="shared" si="304"/>
        <v/>
      </c>
      <c r="B1376" s="70" t="str">
        <f t="shared" si="305"/>
        <v/>
      </c>
      <c r="C1376" s="204" t="str" cm="1">
        <f t="array" ref="C1376">IF(D1376="","",
    IF(AND(ISNUMBER(D1376), D1376=INT(D1376)),
        $V$6 &amp; " " &amp; (IFERROR(MAX($Y$12:$Y1375), 0) + 1),
        IF(ISNUMBER(SEARCH(".", D1376)), "", INDEX($C$12:$C1376, MATCH(2, 1/($C$12:$C1376 &lt;&gt; ""))))
    )
)</f>
        <v/>
      </c>
      <c r="D1376" s="206"/>
      <c r="E1376" s="206" t="str">
        <f>IF(AA1376 = "", "",
    IF(ISNUMBER(SEARCH("Kiện", C1376)),
       " GÓI " &amp; COUNTIF($C$13:C1376, "*Kiện*") &amp; "/" &amp; COUNTIF($C$13:$C$1000, "*Kiện*") &amp; " " &amp; AA1376,
       AA1376)
)</f>
        <v/>
      </c>
      <c r="F1376" s="206"/>
      <c r="G1376" s="206"/>
      <c r="H1376" s="206"/>
      <c r="I1376" s="206"/>
      <c r="J1376" s="206" t="str">
        <f t="shared" si="307"/>
        <v/>
      </c>
      <c r="K1376" s="206" t="str">
        <f t="shared" si="309"/>
        <v/>
      </c>
      <c r="L1376" s="206" t="str">
        <f t="shared" si="310"/>
        <v/>
      </c>
      <c r="M1376" s="206" t="str">
        <f t="shared" si="311"/>
        <v/>
      </c>
      <c r="N1376" s="206" t="str">
        <f t="shared" si="312"/>
        <v/>
      </c>
      <c r="O1376" s="206" t="str">
        <f t="shared" si="313"/>
        <v/>
      </c>
      <c r="P1376" s="84" t="str">
        <f t="shared" si="314"/>
        <v/>
      </c>
      <c r="Q1376" s="205"/>
      <c r="R1376" s="70" t="str">
        <f>IF(S1376="IN",'BOM_Phan II'!$Y$3,"")</f>
        <v/>
      </c>
      <c r="S1376" s="69" t="str">
        <f t="shared" si="306"/>
        <v/>
      </c>
      <c r="T1376">
        <f t="shared" si="315"/>
        <v>3</v>
      </c>
      <c r="U1376" t="str">
        <f t="shared" si="303"/>
        <v>KIỆN 14</v>
      </c>
      <c r="V1376" t="str">
        <f t="shared" si="316"/>
        <v/>
      </c>
      <c r="W1376" s="266"/>
      <c r="X1376" s="266"/>
      <c r="Y1376" s="266" t="str">
        <f t="shared" si="308"/>
        <v/>
      </c>
      <c r="Z1376" s="266"/>
    </row>
    <row r="1377" spans="1:26" ht="27" hidden="1" customHeight="1">
      <c r="A1377" s="70" t="str">
        <f t="shared" si="304"/>
        <v/>
      </c>
      <c r="B1377" s="70" t="str">
        <f t="shared" si="305"/>
        <v/>
      </c>
      <c r="C1377" s="204" t="str" cm="1">
        <f t="array" ref="C1377">IF(D1377="","",
    IF(AND(ISNUMBER(D1377), D1377=INT(D1377)),
        $V$6 &amp; " " &amp; (IFERROR(MAX($Y$12:$Y1376), 0) + 1),
        IF(ISNUMBER(SEARCH(".", D1377)), "", INDEX($C$12:$C1377, MATCH(2, 1/($C$12:$C1377 &lt;&gt; ""))))
    )
)</f>
        <v/>
      </c>
      <c r="D1377" s="206"/>
      <c r="E1377" s="206" t="str">
        <f>IF(AA1377 = "", "",
    IF(ISNUMBER(SEARCH("Kiện", C1377)),
       " GÓI " &amp; COUNTIF($C$13:C1377, "*Kiện*") &amp; "/" &amp; COUNTIF($C$13:$C$1000, "*Kiện*") &amp; " " &amp; AA1377,
       AA1377)
)</f>
        <v/>
      </c>
      <c r="F1377" s="206"/>
      <c r="G1377" s="206"/>
      <c r="H1377" s="206"/>
      <c r="I1377" s="206"/>
      <c r="J1377" s="206" t="str">
        <f t="shared" si="307"/>
        <v/>
      </c>
      <c r="K1377" s="206" t="str">
        <f t="shared" si="309"/>
        <v/>
      </c>
      <c r="L1377" s="206" t="str">
        <f t="shared" si="310"/>
        <v/>
      </c>
      <c r="M1377" s="206" t="str">
        <f t="shared" si="311"/>
        <v/>
      </c>
      <c r="N1377" s="206" t="str">
        <f t="shared" si="312"/>
        <v/>
      </c>
      <c r="O1377" s="206" t="str">
        <f t="shared" si="313"/>
        <v/>
      </c>
      <c r="P1377" s="84" t="str">
        <f t="shared" si="314"/>
        <v/>
      </c>
      <c r="Q1377" s="205"/>
      <c r="R1377" s="70" t="str">
        <f>IF(S1377="IN",'BOM_Phan II'!$Y$3,"")</f>
        <v/>
      </c>
      <c r="S1377" s="69" t="str">
        <f t="shared" si="306"/>
        <v/>
      </c>
      <c r="T1377">
        <f t="shared" si="315"/>
        <v>3</v>
      </c>
      <c r="U1377" t="str">
        <f t="shared" si="303"/>
        <v>KIỆN 14</v>
      </c>
      <c r="V1377" t="str">
        <f t="shared" si="316"/>
        <v/>
      </c>
      <c r="W1377" s="266"/>
      <c r="X1377" s="266"/>
      <c r="Y1377" s="266" t="str">
        <f t="shared" si="308"/>
        <v/>
      </c>
      <c r="Z1377" s="266"/>
    </row>
    <row r="1378" spans="1:26" ht="27" hidden="1" customHeight="1">
      <c r="A1378" s="70" t="str">
        <f t="shared" si="304"/>
        <v/>
      </c>
      <c r="B1378" s="70" t="str">
        <f t="shared" si="305"/>
        <v/>
      </c>
      <c r="C1378" s="204" t="str" cm="1">
        <f t="array" ref="C1378">IF(D1378="","",
    IF(AND(ISNUMBER(D1378), D1378=INT(D1378)),
        $V$6 &amp; " " &amp; (IFERROR(MAX($Y$12:$Y1377), 0) + 1),
        IF(ISNUMBER(SEARCH(".", D1378)), "", INDEX($C$12:$C1378, MATCH(2, 1/($C$12:$C1378 &lt;&gt; ""))))
    )
)</f>
        <v/>
      </c>
      <c r="D1378" s="206"/>
      <c r="E1378" s="206" t="str">
        <f>IF(AA1378 = "", "",
    IF(ISNUMBER(SEARCH("Kiện", C1378)),
       " GÓI " &amp; COUNTIF($C$13:C1378, "*Kiện*") &amp; "/" &amp; COUNTIF($C$13:$C$1000, "*Kiện*") &amp; " " &amp; AA1378,
       AA1378)
)</f>
        <v/>
      </c>
      <c r="F1378" s="206"/>
      <c r="G1378" s="206"/>
      <c r="H1378" s="206"/>
      <c r="I1378" s="206"/>
      <c r="J1378" s="206" t="str">
        <f t="shared" si="307"/>
        <v/>
      </c>
      <c r="K1378" s="206" t="str">
        <f t="shared" si="309"/>
        <v/>
      </c>
      <c r="L1378" s="206" t="str">
        <f t="shared" si="310"/>
        <v/>
      </c>
      <c r="M1378" s="206" t="str">
        <f t="shared" si="311"/>
        <v/>
      </c>
      <c r="N1378" s="206" t="str">
        <f t="shared" si="312"/>
        <v/>
      </c>
      <c r="O1378" s="206" t="str">
        <f t="shared" si="313"/>
        <v/>
      </c>
      <c r="P1378" s="84" t="str">
        <f t="shared" si="314"/>
        <v/>
      </c>
      <c r="Q1378" s="205"/>
      <c r="R1378" s="70" t="str">
        <f>IF(S1378="IN",'BOM_Phan II'!$Y$3,"")</f>
        <v/>
      </c>
      <c r="S1378" s="69" t="str">
        <f t="shared" si="306"/>
        <v/>
      </c>
      <c r="T1378">
        <f t="shared" si="315"/>
        <v>3</v>
      </c>
      <c r="U1378" t="str">
        <f t="shared" si="303"/>
        <v>KIỆN 14</v>
      </c>
      <c r="V1378" t="str">
        <f t="shared" si="316"/>
        <v/>
      </c>
      <c r="W1378" s="266"/>
      <c r="X1378" s="266"/>
      <c r="Y1378" s="266" t="str">
        <f t="shared" si="308"/>
        <v/>
      </c>
      <c r="Z1378" s="266"/>
    </row>
    <row r="1379" spans="1:26" ht="27" hidden="1" customHeight="1">
      <c r="A1379" s="70" t="str">
        <f t="shared" si="304"/>
        <v/>
      </c>
      <c r="B1379" s="70" t="str">
        <f t="shared" si="305"/>
        <v/>
      </c>
      <c r="C1379" s="204" t="str" cm="1">
        <f t="array" ref="C1379">IF(D1379="","",
    IF(AND(ISNUMBER(D1379), D1379=INT(D1379)),
        $V$6 &amp; " " &amp; (IFERROR(MAX($Y$12:$Y1378), 0) + 1),
        IF(ISNUMBER(SEARCH(".", D1379)), "", INDEX($C$12:$C1379, MATCH(2, 1/($C$12:$C1379 &lt;&gt; ""))))
    )
)</f>
        <v/>
      </c>
      <c r="D1379" s="206"/>
      <c r="E1379" s="206" t="str">
        <f>IF(AA1379 = "", "",
    IF(ISNUMBER(SEARCH("Kiện", C1379)),
       " GÓI " &amp; COUNTIF($C$13:C1379, "*Kiện*") &amp; "/" &amp; COUNTIF($C$13:$C$1000, "*Kiện*") &amp; " " &amp; AA1379,
       AA1379)
)</f>
        <v/>
      </c>
      <c r="F1379" s="206"/>
      <c r="G1379" s="206"/>
      <c r="H1379" s="206"/>
      <c r="I1379" s="206"/>
      <c r="J1379" s="206" t="str">
        <f t="shared" si="307"/>
        <v/>
      </c>
      <c r="K1379" s="206" t="str">
        <f t="shared" si="309"/>
        <v/>
      </c>
      <c r="L1379" s="206" t="str">
        <f t="shared" si="310"/>
        <v/>
      </c>
      <c r="M1379" s="206" t="str">
        <f t="shared" si="311"/>
        <v/>
      </c>
      <c r="N1379" s="206" t="str">
        <f t="shared" si="312"/>
        <v/>
      </c>
      <c r="O1379" s="206" t="str">
        <f t="shared" si="313"/>
        <v/>
      </c>
      <c r="P1379" s="84" t="str">
        <f t="shared" si="314"/>
        <v/>
      </c>
      <c r="Q1379" s="205"/>
      <c r="R1379" s="70" t="str">
        <f>IF(S1379="IN",'BOM_Phan II'!$Y$3,"")</f>
        <v/>
      </c>
      <c r="S1379" s="69" t="str">
        <f t="shared" si="306"/>
        <v/>
      </c>
      <c r="T1379">
        <f t="shared" si="315"/>
        <v>3</v>
      </c>
      <c r="U1379" t="str">
        <f t="shared" si="303"/>
        <v>KIỆN 14</v>
      </c>
      <c r="V1379" t="str">
        <f t="shared" si="316"/>
        <v/>
      </c>
      <c r="W1379" s="266"/>
      <c r="X1379" s="266"/>
      <c r="Y1379" s="266" t="str">
        <f t="shared" si="308"/>
        <v/>
      </c>
      <c r="Z1379" s="266"/>
    </row>
    <row r="1380" spans="1:26" ht="27" hidden="1" customHeight="1">
      <c r="A1380" s="70" t="str">
        <f t="shared" ref="A1380:A1388" si="317">IF(S1380="IN",$E$6,"")</f>
        <v/>
      </c>
      <c r="B1380" s="70" t="str">
        <f t="shared" ref="B1380:B1388" si="318">IF(S1380="IN","Muc "&amp;$E$7,"")</f>
        <v/>
      </c>
      <c r="C1380" s="204" t="str" cm="1">
        <f t="array" ref="C1380">IF(D1380="","",
    IF(AND(ISNUMBER(D1380), D1380=INT(D1380)),
        $V$6 &amp; " " &amp; (IFERROR(MAX($Y$12:$Y1370), 0) + 1),
        IF(ISNUMBER(SEARCH(".", D1380)), "", INDEX($C$12:$C1380, MATCH(2, 1/($C$12:$C1380 &lt;&gt; ""))))
    )
)</f>
        <v/>
      </c>
      <c r="D1380" s="206"/>
      <c r="E1380" s="206" t="str">
        <f>IF(AA1380 = "", "",
    IF(ISNUMBER(SEARCH("Kiện", C1380)),
       " GÓI " &amp; COUNTIF($C$13:C1380, "*Kiện*") &amp; "/" &amp; COUNTIF($C$13:$C$1000, "*Kiện*") &amp; " " &amp; AA1380,
       AA1380)
)</f>
        <v/>
      </c>
      <c r="F1380" s="206"/>
      <c r="G1380" s="206"/>
      <c r="H1380" s="206"/>
      <c r="I1380" s="206"/>
      <c r="J1380" s="206" t="str">
        <f t="shared" si="307"/>
        <v/>
      </c>
      <c r="K1380" s="206" t="str">
        <f t="shared" si="309"/>
        <v/>
      </c>
      <c r="L1380" s="206" t="str">
        <f t="shared" si="310"/>
        <v/>
      </c>
      <c r="M1380" s="206" t="str">
        <f t="shared" si="311"/>
        <v/>
      </c>
      <c r="N1380" s="206" t="str">
        <f t="shared" si="312"/>
        <v/>
      </c>
      <c r="O1380" s="206" t="str">
        <f t="shared" si="313"/>
        <v/>
      </c>
      <c r="P1380" s="84" t="str">
        <f t="shared" si="314"/>
        <v/>
      </c>
      <c r="Q1380" s="205"/>
      <c r="R1380" s="70" t="str">
        <f>IF(S1380="IN",'BOM_Phan II'!$Y$3,"")</f>
        <v/>
      </c>
      <c r="S1380" s="69" t="str">
        <f t="shared" ref="S1380:S1388" si="319">IF(OR(E1380&lt;&gt;"",D1380&lt;&gt;""),"IN","")</f>
        <v/>
      </c>
      <c r="T1380">
        <f t="shared" si="315"/>
        <v>3</v>
      </c>
      <c r="U1380" t="str">
        <f t="shared" si="303"/>
        <v>KIỆN 14</v>
      </c>
      <c r="V1380" t="str">
        <f t="shared" ref="V1380:V1388" si="320">IFERROR(IF(AND(C1380="", OR($W1380="1", $W1380="2")), IF(I1380="", "", F1380*G1380*H1380*I1380/10^9), ""), "")</f>
        <v/>
      </c>
      <c r="W1380" s="266"/>
      <c r="X1380" s="266"/>
      <c r="Y1380" s="266" t="str">
        <f t="shared" ref="Y1380:Y1388" si="321">IFERROR(VALUE(RIGHT(C1380,LEN(C1380)-5)),"")</f>
        <v/>
      </c>
      <c r="Z1380" s="266"/>
    </row>
    <row r="1381" spans="1:26" ht="27" hidden="1" customHeight="1">
      <c r="A1381" s="70" t="str">
        <f t="shared" si="317"/>
        <v/>
      </c>
      <c r="B1381" s="70" t="str">
        <f t="shared" si="318"/>
        <v/>
      </c>
      <c r="C1381" s="204" t="str" cm="1">
        <f t="array" ref="C1381">IF(D1381="","",
    IF(AND(ISNUMBER(D1381), D1381=INT(D1381)),
        $V$6 &amp; " " &amp; (IFERROR(MAX($Y$12:$Y1380), 0) + 1),
        IF(ISNUMBER(SEARCH(".", D1381)), "", INDEX($C$12:$C1381, MATCH(2, 1/($C$12:$C1381 &lt;&gt; ""))))
    )
)</f>
        <v/>
      </c>
      <c r="D1381" s="206"/>
      <c r="E1381" s="206" t="str">
        <f>IF(AA1381 = "", "",
    IF(ISNUMBER(SEARCH("Kiện", C1381)),
       " GÓI " &amp; COUNTIF($C$13:C1381, "*Kiện*") &amp; "/" &amp; COUNTIF($C$13:$C$1000, "*Kiện*") &amp; " " &amp; AA1381,
       AA1381)
)</f>
        <v/>
      </c>
      <c r="F1381" s="206"/>
      <c r="G1381" s="206"/>
      <c r="H1381" s="206"/>
      <c r="I1381" s="206"/>
      <c r="J1381" s="206" t="str">
        <f t="shared" si="307"/>
        <v/>
      </c>
      <c r="K1381" s="206" t="str">
        <f t="shared" si="309"/>
        <v/>
      </c>
      <c r="L1381" s="206" t="str">
        <f t="shared" si="310"/>
        <v/>
      </c>
      <c r="M1381" s="206" t="str">
        <f t="shared" si="311"/>
        <v/>
      </c>
      <c r="N1381" s="206" t="str">
        <f t="shared" si="312"/>
        <v/>
      </c>
      <c r="O1381" s="206" t="str">
        <f t="shared" si="313"/>
        <v/>
      </c>
      <c r="P1381" s="84" t="str">
        <f t="shared" si="314"/>
        <v/>
      </c>
      <c r="Q1381" s="205"/>
      <c r="R1381" s="70" t="str">
        <f>IF(S1381="IN",'BOM_Phan II'!$Y$3,"")</f>
        <v/>
      </c>
      <c r="S1381" s="69" t="str">
        <f t="shared" si="319"/>
        <v/>
      </c>
      <c r="T1381">
        <f t="shared" si="315"/>
        <v>3</v>
      </c>
      <c r="U1381" t="str">
        <f t="shared" si="303"/>
        <v>KIỆN 14</v>
      </c>
      <c r="V1381" t="str">
        <f t="shared" si="320"/>
        <v/>
      </c>
      <c r="W1381" s="266"/>
      <c r="X1381" s="266"/>
      <c r="Y1381" s="266" t="str">
        <f t="shared" si="321"/>
        <v/>
      </c>
      <c r="Z1381" s="266"/>
    </row>
    <row r="1382" spans="1:26" ht="27" hidden="1" customHeight="1">
      <c r="A1382" s="70" t="str">
        <f t="shared" si="317"/>
        <v/>
      </c>
      <c r="B1382" s="70" t="str">
        <f t="shared" si="318"/>
        <v/>
      </c>
      <c r="C1382" s="204" t="str" cm="1">
        <f t="array" ref="C1382">IF(D1382="","",
    IF(AND(ISNUMBER(D1382), D1382=INT(D1382)),
        $V$6 &amp; " " &amp; (IFERROR(MAX($Y$12:$Y1381), 0) + 1),
        IF(ISNUMBER(SEARCH(".", D1382)), "", INDEX($C$12:$C1382, MATCH(2, 1/($C$12:$C1382 &lt;&gt; ""))))
    )
)</f>
        <v/>
      </c>
      <c r="D1382" s="206"/>
      <c r="E1382" s="206" t="str">
        <f>IF(AA1382 = "", "",
    IF(ISNUMBER(SEARCH("Kiện", C1382)),
       " GÓI " &amp; COUNTIF($C$13:C1382, "*Kiện*") &amp; "/" &amp; COUNTIF($C$13:$C$1000, "*Kiện*") &amp; " " &amp; AA1382,
       AA1382)
)</f>
        <v/>
      </c>
      <c r="F1382" s="206"/>
      <c r="G1382" s="206"/>
      <c r="H1382" s="206"/>
      <c r="I1382" s="206"/>
      <c r="J1382" s="206" t="str">
        <f t="shared" si="307"/>
        <v/>
      </c>
      <c r="K1382" s="206" t="str">
        <f t="shared" si="309"/>
        <v/>
      </c>
      <c r="L1382" s="206" t="str">
        <f t="shared" si="310"/>
        <v/>
      </c>
      <c r="M1382" s="206" t="str">
        <f t="shared" si="311"/>
        <v/>
      </c>
      <c r="N1382" s="206" t="str">
        <f t="shared" si="312"/>
        <v/>
      </c>
      <c r="O1382" s="206" t="str">
        <f t="shared" si="313"/>
        <v/>
      </c>
      <c r="P1382" s="84" t="str">
        <f t="shared" si="314"/>
        <v/>
      </c>
      <c r="Q1382" s="205"/>
      <c r="R1382" s="70" t="str">
        <f>IF(S1382="IN",'BOM_Phan II'!$Y$3,"")</f>
        <v/>
      </c>
      <c r="S1382" s="69" t="str">
        <f t="shared" si="319"/>
        <v/>
      </c>
      <c r="T1382">
        <f t="shared" si="315"/>
        <v>3</v>
      </c>
      <c r="U1382" t="str">
        <f t="shared" si="303"/>
        <v>KIỆN 14</v>
      </c>
      <c r="V1382" t="str">
        <f t="shared" si="320"/>
        <v/>
      </c>
      <c r="W1382" s="266"/>
      <c r="X1382" s="266"/>
      <c r="Y1382" s="266" t="str">
        <f t="shared" si="321"/>
        <v/>
      </c>
      <c r="Z1382" s="266"/>
    </row>
    <row r="1383" spans="1:26" ht="27" hidden="1" customHeight="1">
      <c r="A1383" s="70" t="str">
        <f t="shared" si="317"/>
        <v/>
      </c>
      <c r="B1383" s="70" t="str">
        <f t="shared" si="318"/>
        <v/>
      </c>
      <c r="C1383" s="204" t="str" cm="1">
        <f t="array" ref="C1383">IF(D1383="","",
    IF(AND(ISNUMBER(D1383), D1383=INT(D1383)),
        $V$6 &amp; " " &amp; (IFERROR(MAX($Y$12:$Y1382), 0) + 1),
        IF(ISNUMBER(SEARCH(".", D1383)), "", INDEX($C$12:$C1383, MATCH(2, 1/($C$12:$C1383 &lt;&gt; ""))))
    )
)</f>
        <v/>
      </c>
      <c r="D1383" s="206"/>
      <c r="E1383" s="206" t="str">
        <f>IF(AA1383 = "", "",
    IF(ISNUMBER(SEARCH("Kiện", C1383)),
       " GÓI " &amp; COUNTIF($C$13:C1383, "*Kiện*") &amp; "/" &amp; COUNTIF($C$13:$C$1000, "*Kiện*") &amp; " " &amp; AA1383,
       AA1383)
)</f>
        <v/>
      </c>
      <c r="F1383" s="206"/>
      <c r="G1383" s="206"/>
      <c r="H1383" s="206"/>
      <c r="I1383" s="206"/>
      <c r="J1383" s="206" t="str">
        <f t="shared" si="307"/>
        <v/>
      </c>
      <c r="K1383" s="206" t="str">
        <f t="shared" si="309"/>
        <v/>
      </c>
      <c r="L1383" s="206" t="str">
        <f t="shared" si="310"/>
        <v/>
      </c>
      <c r="M1383" s="206" t="str">
        <f t="shared" si="311"/>
        <v/>
      </c>
      <c r="N1383" s="206" t="str">
        <f t="shared" si="312"/>
        <v/>
      </c>
      <c r="O1383" s="206" t="str">
        <f t="shared" si="313"/>
        <v/>
      </c>
      <c r="P1383" s="84" t="str">
        <f t="shared" si="314"/>
        <v/>
      </c>
      <c r="Q1383" s="205"/>
      <c r="R1383" s="70" t="str">
        <f>IF(S1383="IN",'BOM_Phan II'!$Y$3,"")</f>
        <v/>
      </c>
      <c r="S1383" s="69" t="str">
        <f t="shared" si="319"/>
        <v/>
      </c>
      <c r="T1383">
        <f t="shared" si="315"/>
        <v>3</v>
      </c>
      <c r="U1383" t="str">
        <f t="shared" si="303"/>
        <v>KIỆN 14</v>
      </c>
      <c r="V1383" t="str">
        <f t="shared" si="320"/>
        <v/>
      </c>
      <c r="W1383" s="266"/>
      <c r="X1383" s="266"/>
      <c r="Y1383" s="266" t="str">
        <f t="shared" si="321"/>
        <v/>
      </c>
      <c r="Z1383" s="266"/>
    </row>
    <row r="1384" spans="1:26" ht="27" hidden="1" customHeight="1">
      <c r="A1384" s="70" t="str">
        <f t="shared" si="317"/>
        <v/>
      </c>
      <c r="B1384" s="70" t="str">
        <f t="shared" si="318"/>
        <v/>
      </c>
      <c r="C1384" s="204" t="str" cm="1">
        <f t="array" ref="C1384">IF(D1384="","",
    IF(AND(ISNUMBER(D1384), D1384=INT(D1384)),
        $V$6 &amp; " " &amp; (IFERROR(MAX($Y$12:$Y1383), 0) + 1),
        IF(ISNUMBER(SEARCH(".", D1384)), "", INDEX($C$12:$C1384, MATCH(2, 1/($C$12:$C1384 &lt;&gt; ""))))
    )
)</f>
        <v/>
      </c>
      <c r="D1384" s="206"/>
      <c r="E1384" s="206" t="str">
        <f>IF(AA1384 = "", "",
    IF(ISNUMBER(SEARCH("Kiện", C1384)),
       " GÓI " &amp; COUNTIF($C$13:C1384, "*Kiện*") &amp; "/" &amp; COUNTIF($C$13:$C$1000, "*Kiện*") &amp; " " &amp; AA1384,
       AA1384)
)</f>
        <v/>
      </c>
      <c r="F1384" s="206"/>
      <c r="G1384" s="206"/>
      <c r="H1384" s="206"/>
      <c r="I1384" s="206"/>
      <c r="J1384" s="206" t="str">
        <f t="shared" si="307"/>
        <v/>
      </c>
      <c r="K1384" s="206" t="str">
        <f t="shared" si="309"/>
        <v/>
      </c>
      <c r="L1384" s="206" t="str">
        <f t="shared" si="310"/>
        <v/>
      </c>
      <c r="M1384" s="206" t="str">
        <f t="shared" si="311"/>
        <v/>
      </c>
      <c r="N1384" s="206" t="str">
        <f t="shared" si="312"/>
        <v/>
      </c>
      <c r="O1384" s="206" t="str">
        <f t="shared" si="313"/>
        <v/>
      </c>
      <c r="P1384" s="84" t="str">
        <f t="shared" si="314"/>
        <v/>
      </c>
      <c r="Q1384" s="205"/>
      <c r="R1384" s="70" t="str">
        <f>IF(S1384="IN",'BOM_Phan II'!$Y$3,"")</f>
        <v/>
      </c>
      <c r="S1384" s="69" t="str">
        <f t="shared" si="319"/>
        <v/>
      </c>
      <c r="T1384">
        <f t="shared" si="315"/>
        <v>3</v>
      </c>
      <c r="U1384" t="str">
        <f t="shared" si="303"/>
        <v>KIỆN 14</v>
      </c>
      <c r="V1384" t="str">
        <f t="shared" si="320"/>
        <v/>
      </c>
      <c r="W1384" s="266"/>
      <c r="X1384" s="266"/>
      <c r="Y1384" s="266" t="str">
        <f t="shared" si="321"/>
        <v/>
      </c>
      <c r="Z1384" s="266"/>
    </row>
    <row r="1385" spans="1:26" ht="27" hidden="1" customHeight="1">
      <c r="A1385" s="70" t="str">
        <f t="shared" si="317"/>
        <v/>
      </c>
      <c r="B1385" s="70" t="str">
        <f t="shared" si="318"/>
        <v/>
      </c>
      <c r="C1385" s="204" t="str" cm="1">
        <f t="array" ref="C1385">IF(D1385="","",
    IF(AND(ISNUMBER(D1385), D1385=INT(D1385)),
        $V$6 &amp; " " &amp; (IFERROR(MAX($Y$12:$Y1384), 0) + 1),
        IF(ISNUMBER(SEARCH(".", D1385)), "", INDEX($C$12:$C1385, MATCH(2, 1/($C$12:$C1385 &lt;&gt; ""))))
    )
)</f>
        <v/>
      </c>
      <c r="D1385" s="206"/>
      <c r="E1385" s="206" t="str">
        <f>IF(AA1385 = "", "",
    IF(ISNUMBER(SEARCH("Kiện", C1385)),
       " GÓI " &amp; COUNTIF($C$13:C1385, "*Kiện*") &amp; "/" &amp; COUNTIF($C$13:$C$1000, "*Kiện*") &amp; " " &amp; AA1385,
       AA1385)
)</f>
        <v/>
      </c>
      <c r="F1385" s="206"/>
      <c r="G1385" s="206"/>
      <c r="H1385" s="206"/>
      <c r="I1385" s="206"/>
      <c r="J1385" s="206" t="str">
        <f t="shared" si="307"/>
        <v/>
      </c>
      <c r="K1385" s="206" t="str">
        <f t="shared" si="309"/>
        <v/>
      </c>
      <c r="L1385" s="206" t="str">
        <f t="shared" si="310"/>
        <v/>
      </c>
      <c r="M1385" s="206" t="str">
        <f t="shared" si="311"/>
        <v/>
      </c>
      <c r="N1385" s="206" t="str">
        <f t="shared" si="312"/>
        <v/>
      </c>
      <c r="O1385" s="206" t="str">
        <f t="shared" si="313"/>
        <v/>
      </c>
      <c r="P1385" s="84" t="str">
        <f t="shared" si="314"/>
        <v/>
      </c>
      <c r="Q1385" s="205"/>
      <c r="R1385" s="70" t="str">
        <f>IF(S1385="IN",'BOM_Phan II'!$Y$3,"")</f>
        <v/>
      </c>
      <c r="S1385" s="69" t="str">
        <f t="shared" si="319"/>
        <v/>
      </c>
      <c r="T1385">
        <f t="shared" si="315"/>
        <v>3</v>
      </c>
      <c r="U1385" t="str">
        <f t="shared" si="303"/>
        <v>KIỆN 14</v>
      </c>
      <c r="V1385" t="str">
        <f t="shared" si="320"/>
        <v/>
      </c>
      <c r="W1385" s="266"/>
      <c r="X1385" s="266"/>
      <c r="Y1385" s="266" t="str">
        <f t="shared" si="321"/>
        <v/>
      </c>
      <c r="Z1385" s="266"/>
    </row>
    <row r="1386" spans="1:26" ht="27" hidden="1" customHeight="1">
      <c r="A1386" s="70" t="str">
        <f t="shared" si="317"/>
        <v/>
      </c>
      <c r="B1386" s="70" t="str">
        <f t="shared" si="318"/>
        <v/>
      </c>
      <c r="C1386" s="204" t="str" cm="1">
        <f t="array" ref="C1386">IF(D1386="","",
    IF(AND(ISNUMBER(D1386), D1386=INT(D1386)),
        $V$6 &amp; " " &amp; (IFERROR(MAX($Y$12:$Y1385), 0) + 1),
        IF(ISNUMBER(SEARCH(".", D1386)), "", INDEX($C$12:$C1386, MATCH(2, 1/($C$12:$C1386 &lt;&gt; ""))))
    )
)</f>
        <v/>
      </c>
      <c r="D1386" s="206"/>
      <c r="E1386" s="206" t="str">
        <f>IF(AA1386 = "", "",
    IF(ISNUMBER(SEARCH("Kiện", C1386)),
       " GÓI " &amp; COUNTIF($C$13:C1386, "*Kiện*") &amp; "/" &amp; COUNTIF($C$13:$C$1000, "*Kiện*") &amp; " " &amp; AA1386,
       AA1386)
)</f>
        <v/>
      </c>
      <c r="F1386" s="206"/>
      <c r="G1386" s="206"/>
      <c r="H1386" s="206"/>
      <c r="I1386" s="206"/>
      <c r="J1386" s="206" t="str">
        <f t="shared" si="307"/>
        <v/>
      </c>
      <c r="K1386" s="206" t="str">
        <f t="shared" si="309"/>
        <v/>
      </c>
      <c r="L1386" s="206" t="str">
        <f t="shared" si="310"/>
        <v/>
      </c>
      <c r="M1386" s="206" t="str">
        <f t="shared" si="311"/>
        <v/>
      </c>
      <c r="N1386" s="206" t="str">
        <f t="shared" si="312"/>
        <v/>
      </c>
      <c r="O1386" s="206" t="str">
        <f t="shared" si="313"/>
        <v/>
      </c>
      <c r="P1386" s="84" t="str">
        <f t="shared" si="314"/>
        <v/>
      </c>
      <c r="Q1386" s="205"/>
      <c r="R1386" s="70" t="str">
        <f>IF(S1386="IN",'BOM_Phan II'!$Y$3,"")</f>
        <v/>
      </c>
      <c r="S1386" s="69" t="str">
        <f t="shared" si="319"/>
        <v/>
      </c>
      <c r="T1386">
        <f t="shared" si="315"/>
        <v>3</v>
      </c>
      <c r="U1386" t="str">
        <f t="shared" si="303"/>
        <v>KIỆN 14</v>
      </c>
      <c r="V1386" t="str">
        <f t="shared" si="320"/>
        <v/>
      </c>
      <c r="W1386" s="266"/>
      <c r="X1386" s="266"/>
      <c r="Y1386" s="266" t="str">
        <f t="shared" si="321"/>
        <v/>
      </c>
      <c r="Z1386" s="266"/>
    </row>
    <row r="1387" spans="1:26" ht="27" hidden="1" customHeight="1">
      <c r="A1387" s="70" t="str">
        <f t="shared" si="317"/>
        <v/>
      </c>
      <c r="B1387" s="70" t="str">
        <f t="shared" si="318"/>
        <v/>
      </c>
      <c r="C1387" s="204" t="str" cm="1">
        <f t="array" ref="C1387">IF(D1387="","",
    IF(AND(ISNUMBER(D1387), D1387=INT(D1387)),
        $V$6 &amp; " " &amp; (IFERROR(MAX($Y$12:$Y1386), 0) + 1),
        IF(ISNUMBER(SEARCH(".", D1387)), "", INDEX($C$12:$C1387, MATCH(2, 1/($C$12:$C1387 &lt;&gt; ""))))
    )
)</f>
        <v/>
      </c>
      <c r="D1387" s="206"/>
      <c r="E1387" s="206" t="str">
        <f>IF(AA1387 = "", "",
    IF(ISNUMBER(SEARCH("Kiện", C1387)),
       " GÓI " &amp; COUNTIF($C$13:C1387, "*Kiện*") &amp; "/" &amp; COUNTIF($C$13:$C$1000, "*Kiện*") &amp; " " &amp; AA1387,
       AA1387)
)</f>
        <v/>
      </c>
      <c r="F1387" s="206"/>
      <c r="G1387" s="206"/>
      <c r="H1387" s="206"/>
      <c r="I1387" s="206"/>
      <c r="J1387" s="206" t="str">
        <f t="shared" si="307"/>
        <v/>
      </c>
      <c r="K1387" s="206" t="str">
        <f t="shared" si="309"/>
        <v/>
      </c>
      <c r="L1387" s="206" t="str">
        <f t="shared" si="310"/>
        <v/>
      </c>
      <c r="M1387" s="206" t="str">
        <f t="shared" si="311"/>
        <v/>
      </c>
      <c r="N1387" s="206" t="str">
        <f t="shared" si="312"/>
        <v/>
      </c>
      <c r="O1387" s="206" t="str">
        <f t="shared" si="313"/>
        <v/>
      </c>
      <c r="P1387" s="84" t="str">
        <f t="shared" si="314"/>
        <v/>
      </c>
      <c r="Q1387" s="205"/>
      <c r="R1387" s="70" t="str">
        <f>IF(S1387="IN",'BOM_Phan II'!$Y$3,"")</f>
        <v/>
      </c>
      <c r="S1387" s="69" t="str">
        <f t="shared" si="319"/>
        <v/>
      </c>
      <c r="T1387">
        <f t="shared" si="315"/>
        <v>3</v>
      </c>
      <c r="U1387" t="str">
        <f t="shared" si="303"/>
        <v>KIỆN 14</v>
      </c>
      <c r="V1387" t="str">
        <f t="shared" si="320"/>
        <v/>
      </c>
      <c r="W1387" s="266"/>
      <c r="X1387" s="266"/>
      <c r="Y1387" s="266" t="str">
        <f t="shared" si="321"/>
        <v/>
      </c>
      <c r="Z1387" s="266"/>
    </row>
    <row r="1388" spans="1:26" ht="27" hidden="1" customHeight="1">
      <c r="A1388" s="70" t="str">
        <f t="shared" si="317"/>
        <v/>
      </c>
      <c r="B1388" s="70" t="str">
        <f t="shared" si="318"/>
        <v/>
      </c>
      <c r="C1388" s="204" t="str" cm="1">
        <f t="array" ref="C1388">IF(D1388="","",
    IF(AND(ISNUMBER(D1388), D1388=INT(D1388)),
        $V$6 &amp; " " &amp; (IFERROR(MAX($Y$12:$Y1387), 0) + 1),
        IF(ISNUMBER(SEARCH(".", D1388)), "", INDEX($C$12:$C1388, MATCH(2, 1/($C$12:$C1388 &lt;&gt; ""))))
    )
)</f>
        <v/>
      </c>
      <c r="D1388" s="206"/>
      <c r="E1388" s="206" t="str">
        <f>IF(AA1388 = "", "",
    IF(ISNUMBER(SEARCH("Kiện", C1388)),
       " GÓI " &amp; COUNTIF($C$13:C1388, "*Kiện*") &amp; "/" &amp; COUNTIF($C$13:$C$1000, "*Kiện*") &amp; " " &amp; AA1388,
       AA1388)
)</f>
        <v/>
      </c>
      <c r="F1388" s="206"/>
      <c r="G1388" s="206"/>
      <c r="H1388" s="206"/>
      <c r="I1388" s="206"/>
      <c r="J1388" s="206" t="str">
        <f t="shared" si="307"/>
        <v/>
      </c>
      <c r="K1388" s="206" t="str">
        <f t="shared" si="309"/>
        <v/>
      </c>
      <c r="L1388" s="206" t="str">
        <f t="shared" si="310"/>
        <v/>
      </c>
      <c r="M1388" s="206" t="str">
        <f t="shared" si="311"/>
        <v/>
      </c>
      <c r="N1388" s="206" t="str">
        <f t="shared" si="312"/>
        <v/>
      </c>
      <c r="O1388" s="206" t="str">
        <f t="shared" si="313"/>
        <v/>
      </c>
      <c r="P1388" s="84" t="str">
        <f t="shared" si="314"/>
        <v/>
      </c>
      <c r="Q1388" s="205"/>
      <c r="R1388" s="70" t="str">
        <f>IF(S1388="IN",'BOM_Phan II'!$Y$3,"")</f>
        <v/>
      </c>
      <c r="S1388" s="69" t="str">
        <f t="shared" si="319"/>
        <v/>
      </c>
      <c r="T1388">
        <f t="shared" si="315"/>
        <v>3</v>
      </c>
      <c r="U1388" t="str">
        <f t="shared" si="303"/>
        <v>KIỆN 14</v>
      </c>
      <c r="V1388" t="str">
        <f t="shared" si="320"/>
        <v/>
      </c>
      <c r="W1388" s="266"/>
      <c r="X1388" s="266"/>
      <c r="Y1388" s="266" t="str">
        <f t="shared" si="321"/>
        <v/>
      </c>
      <c r="Z1388" s="266"/>
    </row>
    <row r="1389" spans="1:26" ht="27" hidden="1" customHeight="1">
      <c r="A1389" s="70" t="str">
        <f t="shared" si="304"/>
        <v/>
      </c>
      <c r="B1389" s="70" t="str">
        <f t="shared" si="305"/>
        <v/>
      </c>
      <c r="C1389" s="204" t="str" cm="1">
        <f t="array" ref="C1389">IF(D1389="","",
    IF(AND(ISNUMBER(D1389), D1389=INT(D1389)),
        $V$6 &amp; " " &amp; (IFERROR(MAX($Y$12:$Y1379), 0) + 1),
        IF(ISNUMBER(SEARCH(".", D1389)), "", INDEX($C$12:$C1389, MATCH(2, 1/($C$12:$C1389 &lt;&gt; ""))))
    )
)</f>
        <v/>
      </c>
      <c r="D1389" s="206"/>
      <c r="E1389" s="206" t="str">
        <f>IF(AA1389 = "", "",
    IF(ISNUMBER(SEARCH("Kiện", C1389)),
       " GÓI " &amp; COUNTIF($C$13:C1389, "*Kiện*") &amp; "/" &amp; COUNTIF($C$13:$C$1000, "*Kiện*") &amp; " " &amp; AA1389,
       AA1389)
)</f>
        <v/>
      </c>
      <c r="F1389" s="206"/>
      <c r="G1389" s="206"/>
      <c r="H1389" s="206"/>
      <c r="I1389" s="206"/>
      <c r="J1389" s="206" t="str">
        <f t="shared" si="307"/>
        <v/>
      </c>
      <c r="K1389" s="206" t="str">
        <f t="shared" si="309"/>
        <v/>
      </c>
      <c r="L1389" s="206" t="str">
        <f t="shared" si="310"/>
        <v/>
      </c>
      <c r="M1389" s="206" t="str">
        <f t="shared" si="311"/>
        <v/>
      </c>
      <c r="N1389" s="206" t="str">
        <f t="shared" si="312"/>
        <v/>
      </c>
      <c r="O1389" s="206" t="str">
        <f t="shared" si="313"/>
        <v/>
      </c>
      <c r="P1389" s="84" t="str">
        <f t="shared" si="314"/>
        <v/>
      </c>
      <c r="Q1389" s="205"/>
      <c r="R1389" s="70" t="str">
        <f>IF(S1389="IN",'BOM_Phan II'!$Y$3,"")</f>
        <v/>
      </c>
      <c r="S1389" s="69" t="str">
        <f t="shared" si="306"/>
        <v/>
      </c>
      <c r="T1389">
        <f t="shared" si="315"/>
        <v>3</v>
      </c>
      <c r="U1389" t="str">
        <f t="shared" si="303"/>
        <v>KIỆN 14</v>
      </c>
      <c r="V1389" t="str">
        <f t="shared" si="316"/>
        <v/>
      </c>
      <c r="W1389" s="266"/>
      <c r="X1389" s="266"/>
      <c r="Y1389" s="266" t="str">
        <f t="shared" si="308"/>
        <v/>
      </c>
      <c r="Z1389" s="266"/>
    </row>
    <row r="1390" spans="1:26" ht="27" hidden="1" customHeight="1">
      <c r="A1390" s="70" t="str">
        <f t="shared" si="304"/>
        <v/>
      </c>
      <c r="B1390" s="70" t="str">
        <f t="shared" si="305"/>
        <v/>
      </c>
      <c r="C1390" s="204" t="str" cm="1">
        <f t="array" ref="C1390">IF(D1390="","",
    IF(AND(ISNUMBER(D1390), D1390=INT(D1390)),
        $V$6 &amp; " " &amp; (IFERROR(MAX($Y$12:$Y1389), 0) + 1),
        IF(ISNUMBER(SEARCH(".", D1390)), "", INDEX($C$12:$C1390, MATCH(2, 1/($C$12:$C1390 &lt;&gt; ""))))
    )
)</f>
        <v/>
      </c>
      <c r="D1390" s="206"/>
      <c r="E1390" s="206" t="str">
        <f>IF(AA1390 = "", "",
    IF(ISNUMBER(SEARCH("Kiện", C1390)),
       " GÓI " &amp; COUNTIF($C$13:C1390, "*Kiện*") &amp; "/" &amp; COUNTIF($C$13:$C$1000, "*Kiện*") &amp; " " &amp; AA1390,
       AA1390)
)</f>
        <v/>
      </c>
      <c r="F1390" s="206"/>
      <c r="G1390" s="206"/>
      <c r="H1390" s="206"/>
      <c r="I1390" s="206"/>
      <c r="J1390" s="206" t="str">
        <f t="shared" si="307"/>
        <v/>
      </c>
      <c r="K1390" s="206" t="str">
        <f t="shared" si="309"/>
        <v/>
      </c>
      <c r="L1390" s="206" t="str">
        <f t="shared" si="310"/>
        <v/>
      </c>
      <c r="M1390" s="206" t="str">
        <f t="shared" si="311"/>
        <v/>
      </c>
      <c r="N1390" s="206" t="str">
        <f t="shared" si="312"/>
        <v/>
      </c>
      <c r="O1390" s="206" t="str">
        <f t="shared" si="313"/>
        <v/>
      </c>
      <c r="P1390" s="84" t="str">
        <f t="shared" si="314"/>
        <v/>
      </c>
      <c r="Q1390" s="205"/>
      <c r="R1390" s="70" t="str">
        <f>IF(S1390="IN",'BOM_Phan II'!$Y$3,"")</f>
        <v/>
      </c>
      <c r="S1390" s="69" t="str">
        <f t="shared" si="306"/>
        <v/>
      </c>
      <c r="T1390">
        <f t="shared" si="315"/>
        <v>3</v>
      </c>
      <c r="U1390" t="str">
        <f t="shared" si="303"/>
        <v>KIỆN 14</v>
      </c>
      <c r="V1390" t="str">
        <f t="shared" si="316"/>
        <v/>
      </c>
      <c r="W1390" s="266"/>
      <c r="X1390" s="266"/>
      <c r="Y1390" s="266" t="str">
        <f t="shared" si="308"/>
        <v/>
      </c>
      <c r="Z1390" s="266"/>
    </row>
    <row r="1391" spans="1:26" ht="27" hidden="1" customHeight="1">
      <c r="A1391" s="70" t="str">
        <f t="shared" si="304"/>
        <v/>
      </c>
      <c r="B1391" s="70" t="str">
        <f t="shared" si="305"/>
        <v/>
      </c>
      <c r="C1391" s="204" t="str" cm="1">
        <f t="array" ref="C1391">IF(D1391="","",
    IF(AND(ISNUMBER(D1391), D1391=INT(D1391)),
        $V$6 &amp; " " &amp; (IFERROR(MAX($Y$12:$Y1390), 0) + 1),
        IF(ISNUMBER(SEARCH(".", D1391)), "", INDEX($C$12:$C1391, MATCH(2, 1/($C$12:$C1391 &lt;&gt; ""))))
    )
)</f>
        <v/>
      </c>
      <c r="D1391" s="206"/>
      <c r="E1391" s="206" t="str">
        <f>IF(AA1391 = "", "",
    IF(ISNUMBER(SEARCH("Kiện", C1391)),
       " GÓI " &amp; COUNTIF($C$13:C1391, "*Kiện*") &amp; "/" &amp; COUNTIF($C$13:$C$1000, "*Kiện*") &amp; " " &amp; AA1391,
       AA1391)
)</f>
        <v/>
      </c>
      <c r="F1391" s="206"/>
      <c r="G1391" s="206"/>
      <c r="H1391" s="206"/>
      <c r="I1391" s="206"/>
      <c r="J1391" s="206" t="str">
        <f t="shared" si="307"/>
        <v/>
      </c>
      <c r="K1391" s="206" t="str">
        <f t="shared" si="309"/>
        <v/>
      </c>
      <c r="L1391" s="206" t="str">
        <f t="shared" si="310"/>
        <v/>
      </c>
      <c r="M1391" s="206" t="str">
        <f t="shared" si="311"/>
        <v/>
      </c>
      <c r="N1391" s="206" t="str">
        <f t="shared" si="312"/>
        <v/>
      </c>
      <c r="O1391" s="206" t="str">
        <f t="shared" si="313"/>
        <v/>
      </c>
      <c r="P1391" s="84" t="str">
        <f t="shared" si="314"/>
        <v/>
      </c>
      <c r="Q1391" s="205"/>
      <c r="R1391" s="70" t="str">
        <f>IF(S1391="IN",'BOM_Phan II'!$Y$3,"")</f>
        <v/>
      </c>
      <c r="S1391" s="69" t="str">
        <f t="shared" si="306"/>
        <v/>
      </c>
      <c r="T1391">
        <f t="shared" si="315"/>
        <v>3</v>
      </c>
      <c r="U1391" t="str">
        <f t="shared" si="303"/>
        <v>KIỆN 14</v>
      </c>
      <c r="V1391" t="str">
        <f t="shared" si="316"/>
        <v/>
      </c>
      <c r="W1391" s="266"/>
      <c r="X1391" s="266"/>
      <c r="Y1391" s="266" t="str">
        <f t="shared" si="308"/>
        <v/>
      </c>
      <c r="Z1391" s="266"/>
    </row>
    <row r="1392" spans="1:26" ht="27" hidden="1" customHeight="1">
      <c r="A1392" s="70" t="str">
        <f t="shared" si="304"/>
        <v/>
      </c>
      <c r="B1392" s="70" t="str">
        <f t="shared" si="305"/>
        <v/>
      </c>
      <c r="C1392" s="204" t="str" cm="1">
        <f t="array" ref="C1392">IF(D1392="","",
    IF(AND(ISNUMBER(D1392), D1392=INT(D1392)),
        $V$6 &amp; " " &amp; (IFERROR(MAX($Y$12:$Y1391), 0) + 1),
        IF(ISNUMBER(SEARCH(".", D1392)), "", INDEX($C$12:$C1392, MATCH(2, 1/($C$12:$C1392 &lt;&gt; ""))))
    )
)</f>
        <v/>
      </c>
      <c r="D1392" s="206"/>
      <c r="E1392" s="206" t="str">
        <f>IF(AA1392 = "", "",
    IF(ISNUMBER(SEARCH("Kiện", C1392)),
       " GÓI " &amp; COUNTIF($C$13:C1392, "*Kiện*") &amp; "/" &amp; COUNTIF($C$13:$C$1000, "*Kiện*") &amp; " " &amp; AA1392,
       AA1392)
)</f>
        <v/>
      </c>
      <c r="F1392" s="206"/>
      <c r="G1392" s="206"/>
      <c r="H1392" s="206"/>
      <c r="I1392" s="206"/>
      <c r="J1392" s="206" t="str">
        <f t="shared" si="307"/>
        <v/>
      </c>
      <c r="K1392" s="206" t="str">
        <f t="shared" si="309"/>
        <v/>
      </c>
      <c r="L1392" s="206" t="str">
        <f t="shared" si="310"/>
        <v/>
      </c>
      <c r="M1392" s="206" t="str">
        <f t="shared" si="311"/>
        <v/>
      </c>
      <c r="N1392" s="206" t="str">
        <f t="shared" si="312"/>
        <v/>
      </c>
      <c r="O1392" s="206" t="str">
        <f t="shared" si="313"/>
        <v/>
      </c>
      <c r="P1392" s="84" t="str">
        <f t="shared" si="314"/>
        <v/>
      </c>
      <c r="Q1392" s="205"/>
      <c r="R1392" s="70" t="str">
        <f>IF(S1392="IN",'BOM_Phan II'!$Y$3,"")</f>
        <v/>
      </c>
      <c r="S1392" s="69" t="str">
        <f t="shared" si="306"/>
        <v/>
      </c>
      <c r="T1392">
        <f t="shared" si="315"/>
        <v>3</v>
      </c>
      <c r="U1392" t="str">
        <f t="shared" si="303"/>
        <v>KIỆN 14</v>
      </c>
      <c r="V1392" t="str">
        <f t="shared" si="316"/>
        <v/>
      </c>
      <c r="W1392" s="266"/>
      <c r="X1392" s="266"/>
      <c r="Y1392" s="266" t="str">
        <f t="shared" si="308"/>
        <v/>
      </c>
      <c r="Z1392" s="266"/>
    </row>
    <row r="1393" spans="1:26" ht="27" hidden="1" customHeight="1">
      <c r="A1393" s="70" t="str">
        <f t="shared" si="304"/>
        <v/>
      </c>
      <c r="B1393" s="70" t="str">
        <f t="shared" si="305"/>
        <v/>
      </c>
      <c r="C1393" s="204" t="str" cm="1">
        <f t="array" ref="C1393">IF(D1393="","",
    IF(AND(ISNUMBER(D1393), D1393=INT(D1393)),
        $V$6 &amp; " " &amp; (IFERROR(MAX($Y$12:$Y1392), 0) + 1),
        IF(ISNUMBER(SEARCH(".", D1393)), "", INDEX($C$12:$C1393, MATCH(2, 1/($C$12:$C1393 &lt;&gt; ""))))
    )
)</f>
        <v/>
      </c>
      <c r="D1393" s="206"/>
      <c r="E1393" s="206" t="str">
        <f>IF(AA1393 = "", "",
    IF(ISNUMBER(SEARCH("Kiện", C1393)),
       " GÓI " &amp; COUNTIF($C$13:C1393, "*Kiện*") &amp; "/" &amp; COUNTIF($C$13:$C$1000, "*Kiện*") &amp; " " &amp; AA1393,
       AA1393)
)</f>
        <v/>
      </c>
      <c r="F1393" s="206"/>
      <c r="G1393" s="206"/>
      <c r="H1393" s="206"/>
      <c r="I1393" s="206"/>
      <c r="J1393" s="206" t="str">
        <f t="shared" si="307"/>
        <v/>
      </c>
      <c r="K1393" s="206" t="str">
        <f t="shared" si="309"/>
        <v/>
      </c>
      <c r="L1393" s="206" t="str">
        <f t="shared" si="310"/>
        <v/>
      </c>
      <c r="M1393" s="206" t="str">
        <f t="shared" si="311"/>
        <v/>
      </c>
      <c r="N1393" s="206" t="str">
        <f t="shared" si="312"/>
        <v/>
      </c>
      <c r="O1393" s="206" t="str">
        <f t="shared" si="313"/>
        <v/>
      </c>
      <c r="P1393" s="84" t="str">
        <f t="shared" si="314"/>
        <v/>
      </c>
      <c r="Q1393" s="205"/>
      <c r="R1393" s="70" t="str">
        <f>IF(S1393="IN",'BOM_Phan II'!$Y$3,"")</f>
        <v/>
      </c>
      <c r="S1393" s="69" t="str">
        <f t="shared" si="306"/>
        <v/>
      </c>
      <c r="T1393">
        <f t="shared" si="315"/>
        <v>3</v>
      </c>
      <c r="U1393" t="str">
        <f t="shared" si="303"/>
        <v>KIỆN 14</v>
      </c>
      <c r="V1393" t="str">
        <f t="shared" si="316"/>
        <v/>
      </c>
      <c r="W1393" s="266"/>
      <c r="X1393" s="266"/>
      <c r="Y1393" s="266" t="str">
        <f t="shared" si="308"/>
        <v/>
      </c>
      <c r="Z1393" s="266"/>
    </row>
    <row r="1394" spans="1:26" ht="27" hidden="1" customHeight="1">
      <c r="A1394" s="70" t="str">
        <f t="shared" si="304"/>
        <v/>
      </c>
      <c r="B1394" s="70" t="str">
        <f t="shared" si="305"/>
        <v/>
      </c>
      <c r="C1394" s="204" t="str" cm="1">
        <f t="array" ref="C1394">IF(D1394="","",
    IF(AND(ISNUMBER(D1394), D1394=INT(D1394)),
        $V$6 &amp; " " &amp; (IFERROR(MAX($Y$12:$Y1393), 0) + 1),
        IF(ISNUMBER(SEARCH(".", D1394)), "", INDEX($C$12:$C1394, MATCH(2, 1/($C$12:$C1394 &lt;&gt; ""))))
    )
)</f>
        <v/>
      </c>
      <c r="D1394" s="206"/>
      <c r="E1394" s="206" t="str">
        <f>IF(AA1394 = "", "",
    IF(ISNUMBER(SEARCH("Kiện", C1394)),
       " GÓI " &amp; COUNTIF($C$13:C1394, "*Kiện*") &amp; "/" &amp; COUNTIF($C$13:$C$1000, "*Kiện*") &amp; " " &amp; AA1394,
       AA1394)
)</f>
        <v/>
      </c>
      <c r="F1394" s="206"/>
      <c r="G1394" s="206"/>
      <c r="H1394" s="206"/>
      <c r="I1394" s="206"/>
      <c r="J1394" s="206" t="str">
        <f t="shared" si="307"/>
        <v/>
      </c>
      <c r="K1394" s="206" t="str">
        <f t="shared" si="309"/>
        <v/>
      </c>
      <c r="L1394" s="206" t="str">
        <f t="shared" si="310"/>
        <v/>
      </c>
      <c r="M1394" s="206" t="str">
        <f t="shared" si="311"/>
        <v/>
      </c>
      <c r="N1394" s="206" t="str">
        <f t="shared" si="312"/>
        <v/>
      </c>
      <c r="O1394" s="206" t="str">
        <f t="shared" si="313"/>
        <v/>
      </c>
      <c r="P1394" s="84" t="str">
        <f t="shared" si="314"/>
        <v/>
      </c>
      <c r="Q1394" s="205"/>
      <c r="R1394" s="70" t="str">
        <f>IF(S1394="IN",'BOM_Phan II'!$Y$3,"")</f>
        <v/>
      </c>
      <c r="S1394" s="69" t="str">
        <f t="shared" si="306"/>
        <v/>
      </c>
      <c r="T1394">
        <f t="shared" si="315"/>
        <v>3</v>
      </c>
      <c r="U1394" t="str">
        <f t="shared" si="303"/>
        <v>KIỆN 14</v>
      </c>
      <c r="V1394" t="str">
        <f t="shared" si="316"/>
        <v/>
      </c>
      <c r="W1394" s="266"/>
      <c r="X1394" s="266"/>
      <c r="Y1394" s="266" t="str">
        <f t="shared" si="308"/>
        <v/>
      </c>
      <c r="Z1394" s="266"/>
    </row>
    <row r="1395" spans="1:26" ht="27" hidden="1" customHeight="1">
      <c r="A1395" s="70" t="str">
        <f t="shared" ref="A1395:A1397" si="322">IF(S1395="IN",$E$6,"")</f>
        <v/>
      </c>
      <c r="B1395" s="70" t="str">
        <f t="shared" ref="B1395:B1397" si="323">IF(S1395="IN","Muc "&amp;$E$7,"")</f>
        <v/>
      </c>
      <c r="C1395" s="204" t="str" cm="1">
        <f t="array" ref="C1395">IF(D1395="","",
    IF(AND(ISNUMBER(D1395), D1395=INT(D1395)),
        $V$6 &amp; " " &amp; (IFERROR(MAX($Y$12:$Y1391), 0) + 1),
        IF(ISNUMBER(SEARCH(".", D1395)), "", INDEX($C$12:$C1395, MATCH(2, 1/($C$12:$C1395 &lt;&gt; ""))))
    )
)</f>
        <v/>
      </c>
      <c r="D1395" s="206"/>
      <c r="E1395" s="206" t="str">
        <f>IF(AA1395 = "", "",
    IF(ISNUMBER(SEARCH("Kiện", C1395)),
       " GÓI " &amp; COUNTIF($C$13:C1395, "*Kiện*") &amp; "/" &amp; COUNTIF($C$13:$C$1000, "*Kiện*") &amp; " " &amp; AA1395,
       AA1395)
)</f>
        <v/>
      </c>
      <c r="F1395" s="206"/>
      <c r="G1395" s="206"/>
      <c r="H1395" s="206"/>
      <c r="I1395" s="206"/>
      <c r="J1395" s="206" t="str">
        <f t="shared" si="307"/>
        <v/>
      </c>
      <c r="K1395" s="206" t="str">
        <f t="shared" si="309"/>
        <v/>
      </c>
      <c r="L1395" s="206" t="str">
        <f t="shared" si="310"/>
        <v/>
      </c>
      <c r="M1395" s="206" t="str">
        <f t="shared" si="311"/>
        <v/>
      </c>
      <c r="N1395" s="206" t="str">
        <f t="shared" si="312"/>
        <v/>
      </c>
      <c r="O1395" s="206" t="str">
        <f t="shared" si="313"/>
        <v/>
      </c>
      <c r="P1395" s="84" t="str">
        <f t="shared" si="314"/>
        <v/>
      </c>
      <c r="Q1395" s="205"/>
      <c r="R1395" s="70" t="str">
        <f>IF(S1395="IN",'BOM_Phan II'!$Y$3,"")</f>
        <v/>
      </c>
      <c r="S1395" s="69" t="str">
        <f t="shared" ref="S1395:S1397" si="324">IF(OR(E1395&lt;&gt;"",D1395&lt;&gt;""),"IN","")</f>
        <v/>
      </c>
      <c r="T1395">
        <f t="shared" si="315"/>
        <v>3</v>
      </c>
      <c r="U1395" t="str">
        <f t="shared" si="303"/>
        <v>KIỆN 14</v>
      </c>
      <c r="V1395" t="str">
        <f t="shared" ref="V1395:V1397" si="325">IFERROR(IF(AND(C1395="", OR($W1395="1", $W1395="2")), IF(I1395="", "", F1395*G1395*H1395*I1395/10^9), ""), "")</f>
        <v/>
      </c>
      <c r="W1395" s="266"/>
      <c r="X1395" s="266"/>
      <c r="Y1395" s="266" t="str">
        <f t="shared" ref="Y1395:Y1397" si="326">IFERROR(VALUE(RIGHT(C1395,LEN(C1395)-5)),"")</f>
        <v/>
      </c>
      <c r="Z1395" s="266"/>
    </row>
    <row r="1396" spans="1:26" ht="27" hidden="1" customHeight="1">
      <c r="A1396" s="70" t="str">
        <f t="shared" si="322"/>
        <v/>
      </c>
      <c r="B1396" s="70" t="str">
        <f t="shared" si="323"/>
        <v/>
      </c>
      <c r="C1396" s="204" t="str" cm="1">
        <f t="array" ref="C1396">IF(D1396="","",
    IF(AND(ISNUMBER(D1396), D1396=INT(D1396)),
        $V$6 &amp; " " &amp; (IFERROR(MAX($Y$12:$Y1395), 0) + 1),
        IF(ISNUMBER(SEARCH(".", D1396)), "", INDEX($C$12:$C1396, MATCH(2, 1/($C$12:$C1396 &lt;&gt; ""))))
    )
)</f>
        <v/>
      </c>
      <c r="D1396" s="206"/>
      <c r="E1396" s="206" t="str">
        <f>IF(AA1396 = "", "",
    IF(ISNUMBER(SEARCH("Kiện", C1396)),
       " GÓI " &amp; COUNTIF($C$13:C1396, "*Kiện*") &amp; "/" &amp; COUNTIF($C$13:$C$1000, "*Kiện*") &amp; " " &amp; AA1396,
       AA1396)
)</f>
        <v/>
      </c>
      <c r="F1396" s="206"/>
      <c r="G1396" s="206"/>
      <c r="H1396" s="206"/>
      <c r="I1396" s="206"/>
      <c r="J1396" s="206" t="str">
        <f t="shared" si="307"/>
        <v/>
      </c>
      <c r="K1396" s="206" t="str">
        <f t="shared" si="309"/>
        <v/>
      </c>
      <c r="L1396" s="206" t="str">
        <f t="shared" si="310"/>
        <v/>
      </c>
      <c r="M1396" s="206" t="str">
        <f t="shared" si="311"/>
        <v/>
      </c>
      <c r="N1396" s="206" t="str">
        <f t="shared" si="312"/>
        <v/>
      </c>
      <c r="O1396" s="206" t="str">
        <f t="shared" si="313"/>
        <v/>
      </c>
      <c r="P1396" s="84" t="str">
        <f t="shared" si="314"/>
        <v/>
      </c>
      <c r="Q1396" s="205"/>
      <c r="R1396" s="70" t="str">
        <f>IF(S1396="IN",'BOM_Phan II'!$Y$3,"")</f>
        <v/>
      </c>
      <c r="S1396" s="69" t="str">
        <f t="shared" si="324"/>
        <v/>
      </c>
      <c r="T1396">
        <f t="shared" si="315"/>
        <v>3</v>
      </c>
      <c r="U1396" t="str">
        <f t="shared" si="303"/>
        <v>KIỆN 14</v>
      </c>
      <c r="V1396" t="str">
        <f t="shared" si="325"/>
        <v/>
      </c>
      <c r="W1396" s="266"/>
      <c r="X1396" s="266"/>
      <c r="Y1396" s="266" t="str">
        <f t="shared" si="326"/>
        <v/>
      </c>
      <c r="Z1396" s="266"/>
    </row>
    <row r="1397" spans="1:26" ht="27" hidden="1" customHeight="1">
      <c r="A1397" s="70" t="str">
        <f t="shared" si="322"/>
        <v/>
      </c>
      <c r="B1397" s="70" t="str">
        <f t="shared" si="323"/>
        <v/>
      </c>
      <c r="C1397" s="204" t="str" cm="1">
        <f t="array" ref="C1397">IF(D1397="","",
    IF(AND(ISNUMBER(D1397), D1397=INT(D1397)),
        $V$6 &amp; " " &amp; (IFERROR(MAX($Y$12:$Y1396), 0) + 1),
        IF(ISNUMBER(SEARCH(".", D1397)), "", INDEX($C$12:$C1397, MATCH(2, 1/($C$12:$C1397 &lt;&gt; ""))))
    )
)</f>
        <v/>
      </c>
      <c r="D1397" s="206"/>
      <c r="E1397" s="206" t="str">
        <f>IF(AA1397 = "", "",
    IF(ISNUMBER(SEARCH("Kiện", C1397)),
       " GÓI " &amp; COUNTIF($C$13:C1397, "*Kiện*") &amp; "/" &amp; COUNTIF($C$13:$C$1000, "*Kiện*") &amp; " " &amp; AA1397,
       AA1397)
)</f>
        <v/>
      </c>
      <c r="F1397" s="206"/>
      <c r="G1397" s="206"/>
      <c r="H1397" s="206"/>
      <c r="I1397" s="206"/>
      <c r="J1397" s="206" t="str">
        <f t="shared" si="307"/>
        <v/>
      </c>
      <c r="K1397" s="206" t="str">
        <f t="shared" si="309"/>
        <v/>
      </c>
      <c r="L1397" s="206" t="str">
        <f t="shared" si="310"/>
        <v/>
      </c>
      <c r="M1397" s="206" t="str">
        <f t="shared" si="311"/>
        <v/>
      </c>
      <c r="N1397" s="206" t="str">
        <f t="shared" si="312"/>
        <v/>
      </c>
      <c r="O1397" s="206" t="str">
        <f t="shared" si="313"/>
        <v/>
      </c>
      <c r="P1397" s="84" t="str">
        <f t="shared" si="314"/>
        <v/>
      </c>
      <c r="Q1397" s="205"/>
      <c r="R1397" s="70" t="str">
        <f>IF(S1397="IN",'BOM_Phan II'!$Y$3,"")</f>
        <v/>
      </c>
      <c r="S1397" s="69" t="str">
        <f t="shared" si="324"/>
        <v/>
      </c>
      <c r="T1397">
        <f t="shared" si="315"/>
        <v>3</v>
      </c>
      <c r="U1397" t="str">
        <f t="shared" si="303"/>
        <v>KIỆN 14</v>
      </c>
      <c r="V1397" t="str">
        <f t="shared" si="325"/>
        <v/>
      </c>
      <c r="W1397" s="266"/>
      <c r="X1397" s="266"/>
      <c r="Y1397" s="266" t="str">
        <f t="shared" si="326"/>
        <v/>
      </c>
      <c r="Z1397" s="266"/>
    </row>
    <row r="1398" spans="1:26" ht="27" hidden="1" customHeight="1">
      <c r="A1398" s="70" t="str">
        <f t="shared" si="304"/>
        <v/>
      </c>
      <c r="B1398" s="70" t="str">
        <f t="shared" si="305"/>
        <v/>
      </c>
      <c r="C1398" s="204" t="str" cm="1">
        <f t="array" ref="C1398">IF(D1398="","",
    IF(AND(ISNUMBER(D1398), D1398=INT(D1398)),
        $V$6 &amp; " " &amp; (IFERROR(MAX($Y$12:$Y1394), 0) + 1),
        IF(ISNUMBER(SEARCH(".", D1398)), "", INDEX($C$12:$C1398, MATCH(2, 1/($C$12:$C1398 &lt;&gt; ""))))
    )
)</f>
        <v/>
      </c>
      <c r="D1398" s="206"/>
      <c r="E1398" s="206" t="str">
        <f>IF(AA1398 = "", "",
    IF(ISNUMBER(SEARCH("Kiện", C1398)),
       " GÓI " &amp; COUNTIF($C$13:C1398, "*Kiện*") &amp; "/" &amp; COUNTIF($C$13:$C$1000, "*Kiện*") &amp; " " &amp; AA1398,
       AA1398)
)</f>
        <v/>
      </c>
      <c r="F1398" s="206"/>
      <c r="G1398" s="206"/>
      <c r="H1398" s="206"/>
      <c r="I1398" s="206"/>
      <c r="J1398" s="206" t="str">
        <f t="shared" si="307"/>
        <v/>
      </c>
      <c r="K1398" s="206" t="str">
        <f t="shared" si="309"/>
        <v/>
      </c>
      <c r="L1398" s="206" t="str">
        <f t="shared" si="310"/>
        <v/>
      </c>
      <c r="M1398" s="206" t="str">
        <f t="shared" si="311"/>
        <v/>
      </c>
      <c r="N1398" s="206" t="str">
        <f t="shared" si="312"/>
        <v/>
      </c>
      <c r="O1398" s="206" t="str">
        <f t="shared" si="313"/>
        <v/>
      </c>
      <c r="P1398" s="84" t="str">
        <f t="shared" si="314"/>
        <v/>
      </c>
      <c r="Q1398" s="205"/>
      <c r="R1398" s="70" t="str">
        <f>IF(S1398="IN",'BOM_Phan II'!$Y$3,"")</f>
        <v/>
      </c>
      <c r="S1398" s="69" t="str">
        <f t="shared" si="306"/>
        <v/>
      </c>
      <c r="T1398">
        <f t="shared" si="315"/>
        <v>3</v>
      </c>
      <c r="U1398" t="str">
        <f t="shared" si="303"/>
        <v>KIỆN 14</v>
      </c>
      <c r="V1398" t="str">
        <f t="shared" si="316"/>
        <v/>
      </c>
      <c r="W1398" s="266"/>
      <c r="X1398" s="266"/>
      <c r="Y1398" s="266" t="str">
        <f t="shared" si="308"/>
        <v/>
      </c>
      <c r="Z1398" s="266"/>
    </row>
    <row r="1399" spans="1:26" ht="27" hidden="1" customHeight="1">
      <c r="A1399" s="70" t="str">
        <f t="shared" si="304"/>
        <v/>
      </c>
      <c r="B1399" s="70" t="str">
        <f t="shared" si="305"/>
        <v/>
      </c>
      <c r="C1399" s="204" t="str" cm="1">
        <f t="array" ref="C1399">IF(D1399="","",
    IF(AND(ISNUMBER(D1399), D1399=INT(D1399)),
        $V$6 &amp; " " &amp; (IFERROR(MAX($Y$12:$Y1398), 0) + 1),
        IF(ISNUMBER(SEARCH(".", D1399)), "", INDEX($C$12:$C1399, MATCH(2, 1/($C$12:$C1399 &lt;&gt; ""))))
    )
)</f>
        <v/>
      </c>
      <c r="D1399" s="206"/>
      <c r="E1399" s="206" t="str">
        <f>IF(AA1399 = "", "",
    IF(ISNUMBER(SEARCH("Kiện", C1399)),
       " GÓI " &amp; COUNTIF($C$13:C1399, "*Kiện*") &amp; "/" &amp; COUNTIF($C$13:$C$1000, "*Kiện*") &amp; " " &amp; AA1399,
       AA1399)
)</f>
        <v/>
      </c>
      <c r="F1399" s="206"/>
      <c r="G1399" s="206"/>
      <c r="H1399" s="206"/>
      <c r="I1399" s="206"/>
      <c r="J1399" s="206" t="str">
        <f t="shared" si="307"/>
        <v/>
      </c>
      <c r="K1399" s="206" t="str">
        <f t="shared" si="309"/>
        <v/>
      </c>
      <c r="L1399" s="206" t="str">
        <f t="shared" si="310"/>
        <v/>
      </c>
      <c r="M1399" s="206" t="str">
        <f t="shared" si="311"/>
        <v/>
      </c>
      <c r="N1399" s="206" t="str">
        <f t="shared" si="312"/>
        <v/>
      </c>
      <c r="O1399" s="206" t="str">
        <f t="shared" si="313"/>
        <v/>
      </c>
      <c r="P1399" s="84" t="str">
        <f t="shared" si="314"/>
        <v/>
      </c>
      <c r="Q1399" s="205"/>
      <c r="R1399" s="70" t="str">
        <f>IF(S1399="IN",'BOM_Phan II'!$Y$3,"")</f>
        <v/>
      </c>
      <c r="S1399" s="69" t="str">
        <f t="shared" si="306"/>
        <v/>
      </c>
      <c r="T1399">
        <f t="shared" si="315"/>
        <v>3</v>
      </c>
      <c r="U1399" t="str">
        <f t="shared" si="303"/>
        <v>KIỆN 14</v>
      </c>
      <c r="V1399" t="str">
        <f t="shared" si="316"/>
        <v/>
      </c>
      <c r="W1399" s="266"/>
      <c r="X1399" s="266"/>
      <c r="Y1399" s="266" t="str">
        <f t="shared" si="308"/>
        <v/>
      </c>
      <c r="Z1399" s="266"/>
    </row>
    <row r="1400" spans="1:26" ht="27" hidden="1" customHeight="1">
      <c r="A1400" s="70" t="str">
        <f t="shared" si="304"/>
        <v/>
      </c>
      <c r="B1400" s="70" t="str">
        <f t="shared" si="305"/>
        <v/>
      </c>
      <c r="C1400" s="204" t="str" cm="1">
        <f t="array" ref="C1400">IF(D1400="","",
    IF(AND(ISNUMBER(D1400), D1400=INT(D1400)),
        $V$6 &amp; " " &amp; (IFERROR(MAX($Y$12:$Y1399), 0) + 1),
        IF(ISNUMBER(SEARCH(".", D1400)), "", INDEX($C$12:$C1400, MATCH(2, 1/($C$12:$C1400 &lt;&gt; ""))))
    )
)</f>
        <v/>
      </c>
      <c r="D1400" s="206"/>
      <c r="E1400" s="206" t="str">
        <f>IF(AA1400 = "", "",
    IF(ISNUMBER(SEARCH("Kiện", C1400)),
       " GÓI " &amp; COUNTIF($C$13:C1400, "*Kiện*") &amp; "/" &amp; COUNTIF($C$13:$C$1000, "*Kiện*") &amp; " " &amp; AA1400,
       AA1400)
)</f>
        <v/>
      </c>
      <c r="F1400" s="206"/>
      <c r="G1400" s="206"/>
      <c r="H1400" s="206"/>
      <c r="I1400" s="206"/>
      <c r="J1400" s="206" t="str">
        <f t="shared" si="307"/>
        <v/>
      </c>
      <c r="K1400" s="206" t="str">
        <f t="shared" si="309"/>
        <v/>
      </c>
      <c r="L1400" s="206" t="str">
        <f t="shared" si="310"/>
        <v/>
      </c>
      <c r="M1400" s="206" t="str">
        <f t="shared" si="311"/>
        <v/>
      </c>
      <c r="N1400" s="206" t="str">
        <f t="shared" si="312"/>
        <v/>
      </c>
      <c r="O1400" s="206" t="str">
        <f t="shared" si="313"/>
        <v/>
      </c>
      <c r="P1400" s="84" t="str">
        <f t="shared" si="314"/>
        <v/>
      </c>
      <c r="Q1400" s="205"/>
      <c r="R1400" s="70" t="str">
        <f>IF(S1400="IN",'BOM_Phan II'!$Y$3,"")</f>
        <v/>
      </c>
      <c r="S1400" s="69" t="str">
        <f t="shared" si="306"/>
        <v/>
      </c>
      <c r="T1400">
        <f t="shared" si="315"/>
        <v>3</v>
      </c>
      <c r="U1400" t="str">
        <f t="shared" si="303"/>
        <v>KIỆN 14</v>
      </c>
      <c r="V1400" t="str">
        <f t="shared" si="316"/>
        <v/>
      </c>
      <c r="W1400" s="266"/>
      <c r="X1400" s="266"/>
      <c r="Y1400" s="266" t="str">
        <f t="shared" si="308"/>
        <v/>
      </c>
      <c r="Z1400" s="266"/>
    </row>
    <row r="1401" spans="1:26" ht="27" hidden="1" customHeight="1">
      <c r="A1401" s="70"/>
      <c r="B1401" s="70"/>
      <c r="C1401" s="263"/>
      <c r="D1401" s="263"/>
      <c r="E1401" s="263"/>
      <c r="F1401" s="263"/>
      <c r="G1401" s="263"/>
      <c r="H1401" s="263"/>
      <c r="I1401" s="263"/>
      <c r="J1401" s="263"/>
      <c r="K1401" s="263"/>
      <c r="L1401" s="263"/>
      <c r="M1401" s="263"/>
      <c r="N1401" s="263"/>
      <c r="O1401" s="263"/>
      <c r="P1401" s="264"/>
      <c r="Q1401" s="265"/>
      <c r="R1401" s="70"/>
      <c r="S1401" s="69"/>
      <c r="T1401"/>
      <c r="U1401"/>
      <c r="V1401" t="str">
        <f t="shared" si="316"/>
        <v/>
      </c>
    </row>
    <row r="1402" spans="1:26" ht="27" hidden="1" customHeight="1">
      <c r="A1402" s="70"/>
      <c r="B1402" s="70"/>
      <c r="C1402" s="263"/>
      <c r="D1402" s="263"/>
      <c r="E1402" s="263"/>
      <c r="F1402" s="263"/>
      <c r="G1402" s="263"/>
      <c r="H1402" s="263"/>
      <c r="I1402" s="263"/>
      <c r="J1402" s="263"/>
      <c r="K1402" s="263"/>
      <c r="L1402" s="263"/>
      <c r="M1402" s="263"/>
      <c r="N1402" s="263"/>
      <c r="O1402" s="263"/>
      <c r="P1402" s="264"/>
      <c r="Q1402" s="265"/>
      <c r="R1402" s="70"/>
      <c r="S1402" s="69"/>
      <c r="T1402"/>
      <c r="U1402"/>
      <c r="V1402" t="str">
        <f t="shared" si="316"/>
        <v/>
      </c>
    </row>
    <row r="1403" spans="1:26" ht="27" hidden="1" customHeight="1">
      <c r="A1403" s="70"/>
      <c r="B1403" s="70"/>
      <c r="C1403" s="263"/>
      <c r="D1403" s="263"/>
      <c r="E1403" s="263"/>
      <c r="F1403" s="263"/>
      <c r="G1403" s="263"/>
      <c r="H1403" s="263"/>
      <c r="I1403" s="263"/>
      <c r="J1403" s="263"/>
      <c r="K1403" s="263"/>
      <c r="L1403" s="263"/>
      <c r="M1403" s="263"/>
      <c r="N1403" s="263"/>
      <c r="O1403" s="263"/>
      <c r="P1403" s="264"/>
      <c r="Q1403" s="265"/>
      <c r="R1403" s="70"/>
      <c r="S1403" s="69"/>
      <c r="T1403"/>
      <c r="U1403"/>
      <c r="V1403" t="str">
        <f t="shared" si="316"/>
        <v/>
      </c>
    </row>
    <row r="1404" spans="1:26" ht="27" hidden="1" customHeight="1">
      <c r="A1404" s="70"/>
      <c r="B1404" s="70"/>
      <c r="C1404" s="263"/>
      <c r="D1404" s="263"/>
      <c r="E1404" s="263"/>
      <c r="F1404" s="263"/>
      <c r="G1404" s="263"/>
      <c r="H1404" s="263"/>
      <c r="I1404" s="263"/>
      <c r="J1404" s="263"/>
      <c r="K1404" s="263"/>
      <c r="L1404" s="263"/>
      <c r="M1404" s="263"/>
      <c r="N1404" s="263"/>
      <c r="O1404" s="263"/>
      <c r="P1404" s="264"/>
      <c r="Q1404" s="265"/>
      <c r="R1404" s="70"/>
      <c r="S1404" s="69"/>
      <c r="T1404"/>
      <c r="U1404"/>
      <c r="V1404" t="str">
        <f t="shared" si="316"/>
        <v/>
      </c>
    </row>
    <row r="1405" spans="1:26" ht="20.100000000000001" customHeight="1">
      <c r="C1405" s="9"/>
      <c r="D1405" s="11"/>
      <c r="E1405" s="11"/>
      <c r="F1405" s="9"/>
      <c r="G1405" s="9"/>
      <c r="H1405" s="9"/>
      <c r="I1405" s="9"/>
      <c r="J1405" s="9"/>
      <c r="K1405" s="17"/>
      <c r="L1405" s="17"/>
      <c r="M1405" s="17"/>
      <c r="N1405" s="17"/>
      <c r="O1405" s="11"/>
      <c r="P1405" s="11"/>
      <c r="Q1405" s="11"/>
      <c r="R1405" s="113"/>
      <c r="S1405" s="69" t="s">
        <v>75</v>
      </c>
      <c r="T1405">
        <f t="shared" ref="T1405:T1411" si="327">IF($O$13="XK_CHUẨN 1",1,IF($O$13="XK_CHUẨN 2",2,IF($O$13="XK_CHUẨN 3",3,IF($O$13="XK_CHUẨN 4-ĐI CONT",4,IF($O$13="XK_CHUẨN 5-ĐI AIR",5,IF($O$13="XK_CHUẨN 5-AIR PALLET",51,IF($O$13="TIÊU CHUẨN DỰ ÁN",6,"")))))))</f>
        <v>3</v>
      </c>
      <c r="U1405"/>
      <c r="V1405"/>
      <c r="W1405" s="3" t="str">
        <f t="shared" ref="W1405:W1411" si="328">IF(ISERROR(D1405*1),"KIỆN","")</f>
        <v/>
      </c>
      <c r="X1405" s="3" t="str">
        <f>IF(OR('BOM_Phan II'!$X1197=1, 'BOM_Phan II'!$X1197=2), 'BOM_Phan II'!D1197, "")</f>
        <v/>
      </c>
    </row>
    <row r="1406" spans="1:26" ht="20.100000000000001" customHeight="1">
      <c r="C1406" s="7"/>
      <c r="D1406" s="7"/>
      <c r="E1406" s="7"/>
      <c r="F1406" s="7"/>
      <c r="G1406" s="7"/>
      <c r="H1406" s="7"/>
      <c r="I1406" s="7"/>
      <c r="J1406" s="7"/>
      <c r="K1406" s="64"/>
      <c r="L1406" s="170"/>
      <c r="M1406" s="170"/>
      <c r="N1406" s="170"/>
      <c r="O1406" s="64" t="str">
        <f ca="1">'BOM_Phan II'!P236</f>
        <v>Ngày 17 tháng 6 năm 2026</v>
      </c>
      <c r="P1406" s="11"/>
      <c r="Q1406" s="11"/>
      <c r="R1406" s="113"/>
      <c r="S1406" s="69" t="s">
        <v>75</v>
      </c>
      <c r="T1406">
        <f t="shared" si="327"/>
        <v>3</v>
      </c>
      <c r="U1406"/>
      <c r="V1406"/>
      <c r="W1406" s="3" t="str">
        <f t="shared" si="328"/>
        <v/>
      </c>
      <c r="X1406" s="3" t="str">
        <f>IF(OR('BOM_Phan II'!$X1198=1, 'BOM_Phan II'!$X1198=2), 'BOM_Phan II'!D1198, "")</f>
        <v/>
      </c>
    </row>
    <row r="1407" spans="1:26" ht="20.100000000000001" customHeight="1">
      <c r="C1407" s="42"/>
      <c r="D1407" s="258" t="str">
        <f>'BOM_Phan II'!G237</f>
        <v>Kiểm duyệt</v>
      </c>
      <c r="E1407" s="38"/>
      <c r="F1407" s="38"/>
      <c r="G1407" s="38"/>
      <c r="H1407" s="38"/>
      <c r="I1407" s="38"/>
      <c r="J1407" s="38"/>
      <c r="K1407" s="71"/>
      <c r="L1407" s="74"/>
      <c r="M1407" s="74"/>
      <c r="N1407" s="74"/>
      <c r="O1407" s="71" t="str">
        <f>+'BOM_Phan II'!P237</f>
        <v>Người Lập</v>
      </c>
      <c r="P1407" s="72"/>
      <c r="Q1407" s="72"/>
      <c r="R1407" s="114"/>
      <c r="S1407" s="69" t="s">
        <v>75</v>
      </c>
      <c r="T1407">
        <f t="shared" si="327"/>
        <v>3</v>
      </c>
      <c r="U1407"/>
      <c r="V1407"/>
      <c r="W1407" s="3" t="str">
        <f t="shared" si="328"/>
        <v>KIỆN</v>
      </c>
      <c r="X1407" s="3" t="str">
        <f>IF(OR('BOM_Phan II'!$X1199=1, 'BOM_Phan II'!$X1199=2), 'BOM_Phan II'!D1199, "")</f>
        <v/>
      </c>
    </row>
    <row r="1408" spans="1:26" ht="20.100000000000001" customHeight="1">
      <c r="C1408" s="42"/>
      <c r="D1408" s="259"/>
      <c r="E1408" s="38"/>
      <c r="F1408" s="38"/>
      <c r="G1408" s="38"/>
      <c r="H1408" s="38"/>
      <c r="I1408" s="38"/>
      <c r="J1408" s="38"/>
      <c r="K1408" s="74"/>
      <c r="L1408" s="74"/>
      <c r="M1408" s="74"/>
      <c r="N1408" s="74"/>
      <c r="O1408" s="74"/>
      <c r="P1408" s="72"/>
      <c r="Q1408" s="72"/>
      <c r="R1408" s="114"/>
      <c r="S1408" s="69" t="s">
        <v>75</v>
      </c>
      <c r="T1408">
        <f t="shared" si="327"/>
        <v>3</v>
      </c>
      <c r="U1408"/>
      <c r="V1408"/>
      <c r="W1408" s="3" t="str">
        <f t="shared" si="328"/>
        <v/>
      </c>
      <c r="X1408" s="3" t="str">
        <f>IF(OR('BOM_Phan II'!$X1200=1, 'BOM_Phan II'!$X1200=2), 'BOM_Phan II'!D1200, "")</f>
        <v/>
      </c>
    </row>
    <row r="1409" spans="3:24" ht="20.100000000000001" customHeight="1">
      <c r="C1409" s="42"/>
      <c r="D1409" s="259"/>
      <c r="E1409" s="38"/>
      <c r="F1409" s="38"/>
      <c r="G1409" s="38"/>
      <c r="H1409" s="38"/>
      <c r="I1409" s="38"/>
      <c r="J1409" s="38"/>
      <c r="K1409" s="74"/>
      <c r="L1409" s="74"/>
      <c r="M1409" s="74"/>
      <c r="N1409" s="74"/>
      <c r="O1409" s="74"/>
      <c r="P1409" s="72"/>
      <c r="Q1409" s="72"/>
      <c r="R1409" s="114"/>
      <c r="S1409" s="69" t="s">
        <v>75</v>
      </c>
      <c r="T1409">
        <f t="shared" si="327"/>
        <v>3</v>
      </c>
      <c r="U1409"/>
      <c r="V1409"/>
      <c r="W1409" s="3" t="str">
        <f t="shared" si="328"/>
        <v/>
      </c>
      <c r="X1409" s="3" t="str">
        <f>IF(OR('BOM_Phan II'!$X1201=1, 'BOM_Phan II'!$X1201=2), 'BOM_Phan II'!D1201, "")</f>
        <v/>
      </c>
    </row>
    <row r="1410" spans="3:24" ht="20.100000000000001" customHeight="1">
      <c r="C1410" s="42"/>
      <c r="D1410" s="38"/>
      <c r="E1410" s="8"/>
      <c r="F1410" s="7"/>
      <c r="G1410" s="7"/>
      <c r="H1410" s="7"/>
      <c r="I1410" s="7"/>
      <c r="J1410" s="75"/>
      <c r="K1410" s="74"/>
      <c r="L1410" s="74"/>
      <c r="M1410" s="74"/>
      <c r="N1410" s="74"/>
      <c r="O1410" s="74"/>
      <c r="P1410" s="76"/>
      <c r="Q1410" s="76"/>
      <c r="R1410" s="115"/>
      <c r="S1410" s="69" t="s">
        <v>75</v>
      </c>
      <c r="T1410">
        <f t="shared" si="327"/>
        <v>3</v>
      </c>
      <c r="U1410"/>
      <c r="V1410"/>
      <c r="W1410" s="3" t="str">
        <f t="shared" si="328"/>
        <v/>
      </c>
      <c r="X1410" s="3" t="str">
        <f>IF(OR('BOM_Phan II'!$X1202=1, 'BOM_Phan II'!$X1202=2), 'BOM_Phan II'!D1202, "")</f>
        <v/>
      </c>
    </row>
    <row r="1411" spans="3:24" ht="20.100000000000001" customHeight="1">
      <c r="C1411" s="99"/>
      <c r="D1411" s="258" t="str">
        <f>'BOM_Phan II'!G241</f>
        <v xml:space="preserve"> Đỗ Hồng Thái</v>
      </c>
      <c r="E1411" s="77"/>
      <c r="F1411" s="77"/>
      <c r="G1411" s="77"/>
      <c r="H1411" s="77"/>
      <c r="I1411" s="77"/>
      <c r="J1411" s="77"/>
      <c r="K1411" s="71"/>
      <c r="L1411" s="74"/>
      <c r="M1411" s="74"/>
      <c r="N1411" s="74"/>
      <c r="O1411" s="71" t="str">
        <f>'BOM_Phan II'!P241</f>
        <v>Nguyễn Tân Hồng</v>
      </c>
      <c r="P1411" s="78"/>
      <c r="Q1411" s="78"/>
      <c r="R1411" s="116"/>
      <c r="S1411" s="69" t="s">
        <v>75</v>
      </c>
      <c r="T1411">
        <f t="shared" si="327"/>
        <v>3</v>
      </c>
      <c r="U1411"/>
      <c r="V1411"/>
      <c r="W1411" s="3" t="str">
        <f t="shared" si="328"/>
        <v>KIỆN</v>
      </c>
      <c r="X1411" s="3" t="str">
        <f>IF(OR('BOM_Phan II'!$X1203=1, 'BOM_Phan II'!$X1203=2), 'BOM_Phan II'!D1203, "")</f>
        <v/>
      </c>
    </row>
    <row r="1412" spans="3:24" ht="20.100000000000001" customHeight="1">
      <c r="D1412" s="14"/>
      <c r="E1412" s="15"/>
      <c r="F1412" s="15"/>
      <c r="O1412" s="15"/>
      <c r="P1412" s="15"/>
      <c r="Q1412" s="15"/>
      <c r="R1412" s="15"/>
      <c r="S1412" s="15"/>
      <c r="U1412"/>
      <c r="V1412"/>
      <c r="X1412" s="3" t="str">
        <f>IF(OR('BOM_Phan II'!$X1204=1, 'BOM_Phan II'!$X1204=2), 'BOM_Phan II'!D1204, "")</f>
        <v/>
      </c>
    </row>
    <row r="1413" spans="3:24" ht="15">
      <c r="D1413" s="11"/>
      <c r="E1413" s="423"/>
      <c r="F1413" s="423"/>
      <c r="G1413" s="9"/>
      <c r="H1413" s="9"/>
      <c r="I1413" s="9"/>
      <c r="J1413" s="9"/>
      <c r="K1413" s="9"/>
      <c r="L1413" s="9"/>
      <c r="M1413" s="9"/>
      <c r="N1413" s="9"/>
    </row>
  </sheetData>
  <sheetProtection formatCells="0" formatColumns="0" formatRows="0" insertHyperlinks="0" sort="0" autoFilter="0" pivotTables="0"/>
  <autoFilter ref="C12:U1411" xr:uid="{AEFB2E4A-2C12-4062-9E54-8E095F4E340C}">
    <filterColumn colId="16">
      <customFilters>
        <customFilter operator="notEqual" val=" "/>
      </customFilters>
    </filterColumn>
  </autoFilter>
  <dataConsolidate/>
  <mergeCells count="27">
    <mergeCell ref="S6:S7"/>
    <mergeCell ref="Q10:Q11"/>
    <mergeCell ref="R10:R11"/>
    <mergeCell ref="E1413:F1413"/>
    <mergeCell ref="F10:H10"/>
    <mergeCell ref="P10:P11"/>
    <mergeCell ref="O10:O11"/>
    <mergeCell ref="I10:I11"/>
    <mergeCell ref="J10:J11"/>
    <mergeCell ref="K10:M10"/>
    <mergeCell ref="N10:N11"/>
    <mergeCell ref="C5:D5"/>
    <mergeCell ref="C6:D6"/>
    <mergeCell ref="C7:D7"/>
    <mergeCell ref="C8:D8"/>
    <mergeCell ref="C9:Q9"/>
    <mergeCell ref="A10:A11"/>
    <mergeCell ref="B10:B11"/>
    <mergeCell ref="C10:C11"/>
    <mergeCell ref="D10:D11"/>
    <mergeCell ref="E10:E11"/>
    <mergeCell ref="C4:D4"/>
    <mergeCell ref="C1:D3"/>
    <mergeCell ref="E1:K3"/>
    <mergeCell ref="M1:Q1"/>
    <mergeCell ref="M2:Q2"/>
    <mergeCell ref="M3:Q3"/>
  </mergeCells>
  <phoneticPr fontId="24" type="noConversion"/>
  <conditionalFormatting sqref="A10:E11 K10:N11 Q13:Q16 A7:R7 A12:N12 O10:S12 P13:S13 A1412:W1048576 A1:XFD6 T10:XFD11 A8:XFD9 T7:XFD7 U12:Y12 AA12:XFD12 A13:C1379 D13:N13 A1380:D1400 D14:D1379 E14:S1400 X13:XFD1048576 A1401:S1411 U13:W1411">
    <cfRule type="expression" dxfId="54" priority="14">
      <formula>AND(ROW()=CELL("row"),COLUMN()=CELL("col"))</formula>
    </cfRule>
  </conditionalFormatting>
  <conditionalFormatting sqref="C10:E11 K10:N11 C12:N12 O10:Q12 P13:Q13 C13:C1379 D13:N13 C1380:D1400 D14:D1379 E14:Q1400 C1401:Q1412">
    <cfRule type="expression" dxfId="53" priority="15">
      <formula>OR(ROW()=CELL("row"),COLUMN()=CELL("col"))</formula>
    </cfRule>
  </conditionalFormatting>
  <conditionalFormatting sqref="F10:I10 F11:H11">
    <cfRule type="expression" dxfId="52" priority="11">
      <formula>AND(ROW()=CELL("row"),COLUMN()=CELL("col"))</formula>
    </cfRule>
    <cfRule type="expression" dxfId="51" priority="12">
      <formula>(ROW()=CELL("row"))</formula>
    </cfRule>
  </conditionalFormatting>
  <conditionalFormatting sqref="C13:Q1400">
    <cfRule type="expression" dxfId="50" priority="10">
      <formula>$C13&lt;&gt;""</formula>
    </cfRule>
  </conditionalFormatting>
  <conditionalFormatting sqref="O13">
    <cfRule type="expression" dxfId="49" priority="8">
      <formula>AND(ROW()=CELL("row"),COLUMN()=CELL("col"))</formula>
    </cfRule>
  </conditionalFormatting>
  <conditionalFormatting sqref="O13">
    <cfRule type="expression" dxfId="48" priority="9">
      <formula>OR(ROW()=CELL("row"),COLUMN()=CELL("col"))</formula>
    </cfRule>
  </conditionalFormatting>
  <conditionalFormatting sqref="P4">
    <cfRule type="expression" dxfId="47" priority="1">
      <formula>COUNTIF(P4:P499, "&gt;25") &gt; 0</formula>
    </cfRule>
  </conditionalFormatting>
  <dataValidations count="1">
    <dataValidation type="list" allowBlank="1" showInputMessage="1" showErrorMessage="1" promptTitle="Tiêu chuẩn bao bì" prompt="Chọn tiêu chuẩn" sqref="O13" xr:uid="{54361371-F56F-406A-865F-452802ED49E4}">
      <formula1>"XK_CHUẨN 1,XK_CHUẨN 2,XK_CHUẨN 3,XK_CHUẨN 4-ĐI CONT,XK_CHUẨN 5-ĐI AIR,XK_CHUẨN 5-AIR PALLET,TIÊU CHUẨN DỰ ÁN,TC_CUA,TC_KH"</formula1>
    </dataValidation>
  </dataValidations>
  <printOptions horizontalCentered="1"/>
  <pageMargins left="0" right="0" top="0.25" bottom="0.25" header="0" footer="0"/>
  <pageSetup paperSize="9" scale="53" orientation="landscape" r:id="rId1"/>
  <headerFooter scaleWithDoc="0" alignWithMargins="0">
    <oddFooter>Page &amp;P of &amp;N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5105A-E559-4673-8908-2A0925C1A720}">
  <sheetPr codeName="Sheet13">
    <tabColor rgb="FFFFFF00"/>
  </sheetPr>
  <dimension ref="A1:AI40"/>
  <sheetViews>
    <sheetView view="pageBreakPreview" zoomScale="70" zoomScaleNormal="55" zoomScaleSheetLayoutView="70" workbookViewId="0">
      <pane ySplit="12" topLeftCell="A13" activePane="bottomLeft" state="frozen"/>
      <selection activeCell="Q4" sqref="Q4"/>
      <selection pane="bottomLeft" activeCell="Q4" sqref="Q4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81" customWidth="1"/>
    <col min="4" max="4" width="31.42578125" style="14" customWidth="1"/>
    <col min="5" max="5" width="7.42578125" style="14" customWidth="1"/>
    <col min="6" max="6" width="7.42578125" style="3" customWidth="1"/>
    <col min="7" max="7" width="14.42578125" style="3" customWidth="1"/>
    <col min="8" max="8" width="7.42578125" style="14" customWidth="1"/>
    <col min="9" max="9" width="33.85546875" style="16" customWidth="1"/>
    <col min="10" max="10" width="43.85546875" style="16" customWidth="1"/>
    <col min="11" max="11" width="25.140625" style="14" customWidth="1"/>
    <col min="12" max="12" width="10.42578125" style="15" customWidth="1"/>
    <col min="13" max="13" width="36" style="15" customWidth="1"/>
    <col min="14" max="14" width="4.85546875" style="16" customWidth="1"/>
    <col min="15" max="15" width="8.85546875" style="3" customWidth="1"/>
    <col min="16" max="16" width="20.42578125" style="3" customWidth="1"/>
    <col min="17" max="17" width="8.85546875" style="3" customWidth="1"/>
    <col min="18" max="18" width="26.85546875" style="3" customWidth="1"/>
    <col min="19" max="19" width="10.28515625" style="3" customWidth="1"/>
    <col min="20" max="20" width="11" style="3" customWidth="1"/>
    <col min="21" max="21" width="18" style="3" customWidth="1"/>
    <col min="22" max="22" width="21.140625" style="3" bestFit="1" customWidth="1"/>
    <col min="23" max="23" width="17.28515625" style="3" customWidth="1"/>
    <col min="24" max="24" width="20.7109375" style="3" hidden="1" customWidth="1"/>
    <col min="25" max="25" width="13.7109375" style="3" hidden="1" customWidth="1"/>
    <col min="26" max="26" width="22.140625" style="3" hidden="1" customWidth="1"/>
    <col min="27" max="28" width="0" style="3" hidden="1" customWidth="1"/>
    <col min="29" max="29" width="2.7109375" style="3" customWidth="1"/>
    <col min="30" max="34" width="4.85546875" style="3"/>
    <col min="35" max="35" width="19.28515625" style="3" customWidth="1"/>
    <col min="36" max="16384" width="4.85546875" style="3"/>
  </cols>
  <sheetData>
    <row r="1" spans="1:35" ht="27.75" customHeight="1">
      <c r="C1" s="320"/>
      <c r="D1" s="321"/>
      <c r="E1" s="322"/>
      <c r="F1" s="329" t="s">
        <v>197</v>
      </c>
      <c r="G1" s="330"/>
      <c r="H1" s="330"/>
      <c r="I1" s="330"/>
      <c r="J1" s="331"/>
      <c r="K1" s="144" t="s">
        <v>29</v>
      </c>
      <c r="L1" s="338" t="s">
        <v>44</v>
      </c>
      <c r="M1" s="339"/>
      <c r="N1" s="110"/>
      <c r="P1" s="340" t="s">
        <v>67</v>
      </c>
      <c r="Q1" s="341"/>
      <c r="R1" s="342"/>
    </row>
    <row r="2" spans="1:35" ht="27.75" customHeight="1" thickBot="1">
      <c r="C2" s="323"/>
      <c r="D2" s="324"/>
      <c r="E2" s="325"/>
      <c r="F2" s="332"/>
      <c r="G2" s="333"/>
      <c r="H2" s="333"/>
      <c r="I2" s="333"/>
      <c r="J2" s="334"/>
      <c r="K2" s="27" t="s">
        <v>30</v>
      </c>
      <c r="L2" s="346"/>
      <c r="M2" s="347"/>
      <c r="N2" s="215"/>
      <c r="P2" s="343"/>
      <c r="Q2" s="344"/>
      <c r="R2" s="345"/>
      <c r="W2" s="216"/>
      <c r="X2" s="30" t="s">
        <v>124</v>
      </c>
      <c r="Y2" s="30" t="s">
        <v>66</v>
      </c>
      <c r="Z2" s="30"/>
      <c r="AA2" s="30"/>
      <c r="AB2" s="30"/>
    </row>
    <row r="3" spans="1:35" ht="27.75" customHeight="1" thickBot="1">
      <c r="C3" s="326"/>
      <c r="D3" s="327"/>
      <c r="E3" s="328"/>
      <c r="F3" s="335"/>
      <c r="G3" s="336"/>
      <c r="H3" s="336"/>
      <c r="I3" s="336"/>
      <c r="J3" s="337"/>
      <c r="K3" s="27" t="s">
        <v>31</v>
      </c>
      <c r="L3" s="346"/>
      <c r="M3" s="347"/>
      <c r="N3" s="217"/>
      <c r="P3" s="48"/>
      <c r="Q3" s="100">
        <f>'BOM_Phan II'!Y3</f>
        <v>1</v>
      </c>
      <c r="R3" s="48"/>
      <c r="W3" s="216"/>
      <c r="X3" s="30" t="s">
        <v>125</v>
      </c>
      <c r="Y3" s="30"/>
      <c r="Z3" s="30"/>
      <c r="AA3" s="30"/>
      <c r="AB3" s="30"/>
      <c r="AC3" s="3" t="s">
        <v>124</v>
      </c>
    </row>
    <row r="4" spans="1:35" ht="25.35" customHeight="1">
      <c r="C4" s="348" t="s">
        <v>25</v>
      </c>
      <c r="D4" s="349"/>
      <c r="E4" s="102" t="str">
        <f>'BOM_Phan II'!E4</f>
        <v>LAGOME_BURNLEY MALTINGS</v>
      </c>
      <c r="F4" s="92"/>
      <c r="G4" s="92"/>
      <c r="H4" s="92"/>
      <c r="I4" s="92"/>
      <c r="J4" s="128" t="s">
        <v>24</v>
      </c>
      <c r="K4" s="218" t="str">
        <f>'BOM_Phan II'!P4</f>
        <v>2573_LAGOME_CT07</v>
      </c>
      <c r="L4" s="219"/>
      <c r="M4" s="219"/>
      <c r="N4" s="220"/>
      <c r="W4" s="216"/>
      <c r="X4" s="30" t="s">
        <v>86</v>
      </c>
      <c r="Y4" s="30"/>
      <c r="Z4" s="30" t="s">
        <v>76</v>
      </c>
      <c r="AA4" s="30"/>
      <c r="AB4" s="30"/>
      <c r="AC4" s="3" t="s">
        <v>125</v>
      </c>
    </row>
    <row r="5" spans="1:35" ht="25.35" customHeight="1">
      <c r="C5" s="350" t="s">
        <v>28</v>
      </c>
      <c r="D5" s="351"/>
      <c r="E5" s="354" t="str">
        <f>'BOM_Phan II'!E5</f>
        <v>Laundry_ (TH 11)</v>
      </c>
      <c r="F5" s="355"/>
      <c r="G5" s="355"/>
      <c r="H5" s="355"/>
      <c r="I5" s="356"/>
      <c r="J5" s="360" t="s">
        <v>27</v>
      </c>
      <c r="K5" s="221" t="s">
        <v>126</v>
      </c>
      <c r="L5" s="221" t="s">
        <v>127</v>
      </c>
      <c r="M5" s="221" t="s">
        <v>128</v>
      </c>
      <c r="N5" s="220"/>
      <c r="W5" s="216"/>
      <c r="X5" s="30" t="s">
        <v>64</v>
      </c>
      <c r="Y5" s="30"/>
      <c r="Z5" s="30" t="s">
        <v>77</v>
      </c>
      <c r="AA5" s="30"/>
      <c r="AB5" s="30"/>
      <c r="AC5" s="3" t="s">
        <v>86</v>
      </c>
    </row>
    <row r="6" spans="1:35" ht="25.35" customHeight="1">
      <c r="C6" s="352"/>
      <c r="D6" s="353"/>
      <c r="E6" s="357"/>
      <c r="F6" s="358"/>
      <c r="G6" s="358"/>
      <c r="H6" s="358"/>
      <c r="I6" s="359"/>
      <c r="J6" s="361"/>
      <c r="K6" s="221" t="str">
        <f>IFERROR(IF('BOM_Phan IV'!T13=7,AVERAGE('BOM_Phan IV'!M13:M1388),""),"")</f>
        <v/>
      </c>
      <c r="L6" s="221" t="str">
        <f>IFERROR(IF('BOM_Phan IV'!T13=7,AVERAGE('BOM_Phan IV'!L13:L1388),""),"")</f>
        <v/>
      </c>
      <c r="M6" s="221" t="str">
        <f>IFERROR(IF('BOM_Phan IV'!T13=7,AVERAGE('BOM_Phan IV'!K13:K1388),""),"")</f>
        <v/>
      </c>
      <c r="N6" s="220"/>
      <c r="W6" s="216"/>
      <c r="X6" s="30" t="s">
        <v>64</v>
      </c>
      <c r="Y6" s="30"/>
      <c r="Z6" s="30" t="s">
        <v>77</v>
      </c>
      <c r="AA6" s="30"/>
      <c r="AB6" s="30"/>
      <c r="AC6" s="3" t="s">
        <v>86</v>
      </c>
    </row>
    <row r="7" spans="1:35" ht="25.35" customHeight="1">
      <c r="C7" s="318" t="s">
        <v>23</v>
      </c>
      <c r="D7" s="319"/>
      <c r="E7" s="95" t="str">
        <f>'BOM_Phan II'!E6</f>
        <v>L01</v>
      </c>
      <c r="F7" s="94"/>
      <c r="G7" s="94"/>
      <c r="H7" s="94"/>
      <c r="I7" s="94"/>
      <c r="J7" s="127" t="s">
        <v>26</v>
      </c>
      <c r="K7" s="222" t="str">
        <f>IF(K6&lt;&gt;"",SUM('BOM_Phan IV'!N13:N1388),"")</f>
        <v/>
      </c>
      <c r="L7" s="276">
        <f>(1.66666666666666/3)</f>
        <v>0.55555555555555336</v>
      </c>
      <c r="M7" s="223"/>
      <c r="N7" s="220"/>
      <c r="W7" s="216"/>
      <c r="X7" s="30" t="s">
        <v>65</v>
      </c>
      <c r="Y7" s="30"/>
      <c r="Z7" s="30"/>
      <c r="AA7" s="30"/>
      <c r="AB7" s="30"/>
      <c r="AC7" s="3" t="s">
        <v>64</v>
      </c>
    </row>
    <row r="8" spans="1:35" ht="25.35" customHeight="1">
      <c r="C8" s="318" t="s">
        <v>21</v>
      </c>
      <c r="D8" s="319"/>
      <c r="E8" s="95">
        <f>'BOM_Phan II'!E7</f>
        <v>1.1000000000000001</v>
      </c>
      <c r="F8" s="94"/>
      <c r="G8" s="94"/>
      <c r="H8" s="94"/>
      <c r="I8" s="94"/>
      <c r="J8" s="127" t="s">
        <v>34</v>
      </c>
      <c r="K8" s="95" t="str">
        <f>'BOM_Phan II'!P7</f>
        <v>Theo module và giao rời</v>
      </c>
      <c r="L8" s="95">
        <f>'BOM_Phan II'!Q7</f>
        <v>0</v>
      </c>
      <c r="M8" s="124"/>
      <c r="N8" s="220"/>
      <c r="P8" s="46"/>
      <c r="W8" s="216"/>
      <c r="X8" s="30" t="s">
        <v>66</v>
      </c>
      <c r="Y8" s="30"/>
      <c r="Z8" s="30"/>
      <c r="AA8" s="30"/>
      <c r="AB8" s="30"/>
      <c r="AC8" s="3" t="s">
        <v>65</v>
      </c>
    </row>
    <row r="9" spans="1:35" ht="25.35" customHeight="1">
      <c r="C9" s="304" t="s">
        <v>9</v>
      </c>
      <c r="D9" s="305"/>
      <c r="E9" s="95" t="str">
        <f>'BOM_Phan II'!E8</f>
        <v xml:space="preserve">PB E1 chống ẩm 2M Melamine MEL1: MS 024T
</v>
      </c>
      <c r="F9" s="98"/>
      <c r="G9" s="98"/>
      <c r="H9" s="98"/>
      <c r="I9" s="98"/>
      <c r="J9" s="129" t="s">
        <v>22</v>
      </c>
      <c r="K9" s="104" t="str">
        <f>'BOM_Phan II'!P8</f>
        <v>MEL01,Đồng màu MEL1</v>
      </c>
      <c r="L9" s="126"/>
      <c r="M9" s="126"/>
      <c r="N9" s="220"/>
      <c r="W9" s="216"/>
      <c r="X9" s="30" t="s">
        <v>129</v>
      </c>
      <c r="Y9" s="30"/>
      <c r="Z9" s="30"/>
      <c r="AA9" s="30"/>
      <c r="AB9" s="30"/>
      <c r="AC9" s="3" t="s">
        <v>66</v>
      </c>
    </row>
    <row r="10" spans="1:35" ht="23.25" customHeight="1" thickBot="1">
      <c r="C10" s="306"/>
      <c r="D10" s="307"/>
      <c r="E10" s="307"/>
      <c r="F10" s="307"/>
      <c r="G10" s="307"/>
      <c r="H10" s="307"/>
      <c r="I10" s="307"/>
      <c r="J10" s="307"/>
      <c r="K10" s="308"/>
      <c r="L10" s="308"/>
      <c r="M10" s="308"/>
      <c r="N10" s="14"/>
      <c r="W10" s="216"/>
      <c r="X10" s="30"/>
      <c r="Y10" s="30"/>
      <c r="Z10" s="30"/>
      <c r="AA10" s="30"/>
      <c r="AB10" s="30"/>
      <c r="AC10" s="3" t="s">
        <v>88</v>
      </c>
    </row>
    <row r="11" spans="1:35" ht="33" customHeight="1">
      <c r="A11" s="313" t="s">
        <v>73</v>
      </c>
      <c r="B11" s="314" t="s">
        <v>74</v>
      </c>
      <c r="C11" s="315" t="s">
        <v>10</v>
      </c>
      <c r="D11" s="309" t="s">
        <v>43</v>
      </c>
      <c r="E11" s="317" t="s">
        <v>1</v>
      </c>
      <c r="F11" s="309"/>
      <c r="G11" s="309"/>
      <c r="H11" s="309" t="s">
        <v>0</v>
      </c>
      <c r="I11" s="309" t="s">
        <v>62</v>
      </c>
      <c r="J11" s="311" t="s">
        <v>69</v>
      </c>
      <c r="K11" s="297" t="s">
        <v>61</v>
      </c>
      <c r="L11" s="299" t="s">
        <v>47</v>
      </c>
      <c r="M11" s="301" t="s">
        <v>48</v>
      </c>
      <c r="N11" s="303" t="s">
        <v>78</v>
      </c>
      <c r="X11" s="30"/>
    </row>
    <row r="12" spans="1:35" ht="41.1" customHeight="1">
      <c r="A12" s="313"/>
      <c r="B12" s="314"/>
      <c r="C12" s="316"/>
      <c r="D12" s="310"/>
      <c r="E12" s="101" t="s">
        <v>18</v>
      </c>
      <c r="F12" s="101" t="s">
        <v>19</v>
      </c>
      <c r="G12" s="101" t="s">
        <v>20</v>
      </c>
      <c r="H12" s="310"/>
      <c r="I12" s="310"/>
      <c r="J12" s="312"/>
      <c r="K12" s="298"/>
      <c r="L12" s="300"/>
      <c r="M12" s="302"/>
      <c r="N12" s="303"/>
      <c r="O12" s="47" t="s">
        <v>56</v>
      </c>
      <c r="P12" s="31"/>
      <c r="Q12" s="31"/>
      <c r="R12" s="31"/>
      <c r="X12" s="30"/>
    </row>
    <row r="13" spans="1:35" s="233" customFormat="1" ht="35.1" customHeight="1">
      <c r="A13" s="224" t="str">
        <f t="shared" ref="A13:A29" si="0">IF(O13="IN",$E$7,"")</f>
        <v>L01</v>
      </c>
      <c r="B13" s="224" t="str">
        <f t="shared" ref="B13:B29" si="1">IF(O13="IN","Muc "&amp;$E$8,"")</f>
        <v>Muc 1.1</v>
      </c>
      <c r="C13" s="225" t="s">
        <v>14</v>
      </c>
      <c r="D13" s="226" t="s">
        <v>71</v>
      </c>
      <c r="E13" s="227"/>
      <c r="F13" s="227"/>
      <c r="G13" s="227"/>
      <c r="H13" s="227"/>
      <c r="I13" s="228"/>
      <c r="J13" s="229"/>
      <c r="K13" s="228"/>
      <c r="L13" s="230"/>
      <c r="M13" s="231"/>
      <c r="N13" s="232">
        <f>IF(O13="IN",$Q$3,"")</f>
        <v>1</v>
      </c>
      <c r="O13" s="232" t="str">
        <f t="shared" ref="O13:O29" si="2">IF(OR(C13&lt;&gt;"",D13&lt;&gt;""),"IN","")</f>
        <v>IN</v>
      </c>
      <c r="P13" s="110"/>
      <c r="Q13" s="232"/>
      <c r="R13" s="277" t="s">
        <v>198</v>
      </c>
      <c r="S13" s="278" t="s">
        <v>199</v>
      </c>
      <c r="T13" s="278" t="s">
        <v>200</v>
      </c>
      <c r="U13" s="278" t="s">
        <v>201</v>
      </c>
      <c r="V13" s="278" t="s">
        <v>202</v>
      </c>
      <c r="W13" s="278" t="s">
        <v>203</v>
      </c>
      <c r="X13" s="43"/>
      <c r="Y13" s="43"/>
      <c r="AA13" s="43"/>
      <c r="AB13" s="43"/>
    </row>
    <row r="14" spans="1:35" s="244" customFormat="1" ht="39.950000000000003" customHeight="1">
      <c r="A14" s="234" t="str">
        <f t="shared" si="0"/>
        <v>L01</v>
      </c>
      <c r="B14" s="234" t="str">
        <f t="shared" si="1"/>
        <v>Muc 1.1</v>
      </c>
      <c r="C14" s="235">
        <v>1</v>
      </c>
      <c r="D14" s="236" t="s">
        <v>204</v>
      </c>
      <c r="E14" s="237">
        <v>25</v>
      </c>
      <c r="F14" s="237">
        <v>35</v>
      </c>
      <c r="G14" s="237" t="str">
        <f>IFERROR(IF((($K$6*2)+($L$6*2))&lt;0,0,($K$6*2)+($L$6*2)),"")</f>
        <v/>
      </c>
      <c r="H14" s="237" t="str">
        <f>IFERROR(2*(K7-1),"")</f>
        <v/>
      </c>
      <c r="I14" s="236" t="s">
        <v>131</v>
      </c>
      <c r="J14" s="238"/>
      <c r="K14" s="239"/>
      <c r="L14" s="240" t="s">
        <v>132</v>
      </c>
      <c r="M14" s="279" t="str">
        <f>IFERROR(IF(OR($L14="Con",$L14="Cụm",$L14="Hệ"),$H14,IF($L14="Thanh",($G14*$H14/2400),IF($L14="Tấm",($F14*$G14*$H14)/(1220*2440),IF($L14="M2",$F14*$G14*$H14/10^6,IF($L14="M3",$E14*$F14*$G14*$H14/10^9,0)))))*0.541*$L$7,"")</f>
        <v/>
      </c>
      <c r="N14" s="242">
        <f t="shared" ref="N14:N29" si="3">IF(O14="IN",$Q$3,"")</f>
        <v>1</v>
      </c>
      <c r="O14" s="242" t="str">
        <f t="shared" si="2"/>
        <v>IN</v>
      </c>
      <c r="P14" s="280"/>
      <c r="Q14" s="242"/>
      <c r="R14" s="281">
        <v>2.9517895061728283</v>
      </c>
      <c r="S14" s="282">
        <f>4.45833333333333/2</f>
        <v>2.2291666666666652</v>
      </c>
      <c r="T14" s="283">
        <f>4.325/6</f>
        <v>0.72083333333333333</v>
      </c>
      <c r="U14" s="47"/>
      <c r="V14" s="47"/>
      <c r="W14" s="284">
        <f>SUM(S14:V14)</f>
        <v>2.9499999999999984</v>
      </c>
      <c r="AI14" s="244">
        <f>W14/R14</f>
        <v>0.99939375549337528</v>
      </c>
    </row>
    <row r="15" spans="1:35" s="244" customFormat="1" ht="39.950000000000003" customHeight="1">
      <c r="A15" s="234" t="str">
        <f t="shared" si="0"/>
        <v>L01</v>
      </c>
      <c r="B15" s="234" t="str">
        <f t="shared" si="1"/>
        <v>Muc 1.1</v>
      </c>
      <c r="C15" s="235">
        <v>2</v>
      </c>
      <c r="D15" s="245" t="s">
        <v>205</v>
      </c>
      <c r="E15" s="246">
        <v>25</v>
      </c>
      <c r="F15" s="237">
        <v>35</v>
      </c>
      <c r="G15" s="237" t="str">
        <f>IFERROR(IF($M$6-$F$14-$F$14&lt;0,0,$M$6-$F$14-$F$14),"")</f>
        <v/>
      </c>
      <c r="H15" s="237" t="str">
        <f>IFERROR(4*(K7-1),"")</f>
        <v/>
      </c>
      <c r="I15" s="239" t="s">
        <v>131</v>
      </c>
      <c r="J15" s="238"/>
      <c r="K15" s="239"/>
      <c r="L15" s="240" t="s">
        <v>132</v>
      </c>
      <c r="M15" s="279" t="str">
        <f>IFERROR(IF(OR($L15="Con",$L15="Cụm",$L15="Hệ"),$H15,IF($L15="Thanh",($G15*$H15/2400),IF($L15="Tấm",($F15*$G15*$H15)/(1220*2440),IF($L15="M2",$F15*$G15*$H15/10^6,IF($L15="M3",$E15*$F15*$G15*$H15/10^9,0)))))*0.78*$L$7,"")</f>
        <v/>
      </c>
      <c r="N15" s="242">
        <f t="shared" si="3"/>
        <v>1</v>
      </c>
      <c r="O15" s="242" t="str">
        <f t="shared" si="2"/>
        <v>IN</v>
      </c>
      <c r="P15" s="280"/>
      <c r="Q15" s="242"/>
      <c r="R15" s="285">
        <v>0.12999999999999948</v>
      </c>
      <c r="S15" s="282">
        <f>0.193333333333333/2</f>
        <v>9.6666666666666498E-2</v>
      </c>
      <c r="T15" s="283">
        <f>0.196666666666667/6</f>
        <v>3.2777777777777829E-2</v>
      </c>
      <c r="U15" s="47"/>
      <c r="V15" s="47"/>
      <c r="W15" s="286">
        <f t="shared" ref="W15:W22" si="4">SUM(S15:V15)</f>
        <v>0.12944444444444433</v>
      </c>
      <c r="X15" s="233"/>
      <c r="Y15" s="233"/>
      <c r="Z15" s="233"/>
      <c r="AI15" s="244">
        <f>W15/R15</f>
        <v>0.99572649572649885</v>
      </c>
    </row>
    <row r="16" spans="1:35" s="244" customFormat="1" ht="39.950000000000003" customHeight="1">
      <c r="A16" s="234" t="str">
        <f t="shared" si="0"/>
        <v>L01</v>
      </c>
      <c r="B16" s="234" t="str">
        <f t="shared" si="1"/>
        <v>Muc 1.1</v>
      </c>
      <c r="C16" s="235">
        <v>3</v>
      </c>
      <c r="D16" s="245" t="s">
        <v>134</v>
      </c>
      <c r="E16" s="246"/>
      <c r="F16" s="237"/>
      <c r="G16" s="237"/>
      <c r="H16" s="237"/>
      <c r="I16" s="239" t="s">
        <v>135</v>
      </c>
      <c r="J16" s="238"/>
      <c r="K16" s="239"/>
      <c r="L16" s="287" t="s">
        <v>206</v>
      </c>
      <c r="M16" s="279" t="str">
        <f>IFERROR((($K$6*$L$6*4+$L$6*$M$6*2)*10^-6*1.3/0.5*$K$7)*1.52/320*$L$7,"")</f>
        <v/>
      </c>
      <c r="N16" s="242">
        <f t="shared" si="3"/>
        <v>1</v>
      </c>
      <c r="O16" s="242" t="str">
        <f t="shared" si="2"/>
        <v>IN</v>
      </c>
      <c r="P16" s="280"/>
      <c r="Q16" s="242"/>
      <c r="R16" s="281">
        <f>0.104056324666666*320</f>
        <v>33.298023893333124</v>
      </c>
      <c r="S16" s="282">
        <f>0.0185956875/2*320</f>
        <v>2.9753099999999999</v>
      </c>
      <c r="T16" s="283">
        <f>0.009219925/6*320</f>
        <v>0.49172933333333335</v>
      </c>
      <c r="U16" s="288">
        <f>0.09307012*320</f>
        <v>29.782438400000004</v>
      </c>
      <c r="V16" s="47"/>
      <c r="W16" s="286">
        <f>SUM(S16:V16)</f>
        <v>33.249477733333336</v>
      </c>
      <c r="X16" s="233"/>
      <c r="Y16" s="233"/>
      <c r="Z16" s="233"/>
      <c r="AI16" s="244">
        <f t="shared" ref="AI16:AI21" si="5">W16/R16</f>
        <v>0.99854207084014057</v>
      </c>
    </row>
    <row r="17" spans="1:35" s="244" customFormat="1" ht="39.950000000000003" customHeight="1">
      <c r="A17" s="234" t="str">
        <f t="shared" si="0"/>
        <v>L01</v>
      </c>
      <c r="B17" s="234" t="str">
        <f t="shared" si="1"/>
        <v>Muc 1.1</v>
      </c>
      <c r="C17" s="235">
        <v>3</v>
      </c>
      <c r="D17" s="245" t="s">
        <v>207</v>
      </c>
      <c r="E17" s="246"/>
      <c r="F17" s="237"/>
      <c r="G17" s="237"/>
      <c r="H17" s="237"/>
      <c r="I17" s="239" t="s">
        <v>208</v>
      </c>
      <c r="J17" s="238"/>
      <c r="K17" s="239"/>
      <c r="L17" s="240" t="s">
        <v>195</v>
      </c>
      <c r="M17" s="279" t="str">
        <f>IFERROR((($K$6*$L$6*4+$L$6*$M$6*2)*10^-6*1.3/1.3*$K$7)*0.16/2.15*$L$7,"")</f>
        <v/>
      </c>
      <c r="N17" s="242">
        <f t="shared" si="3"/>
        <v>1</v>
      </c>
      <c r="O17" s="242" t="str">
        <f t="shared" si="2"/>
        <v>IN</v>
      </c>
      <c r="P17" s="280"/>
      <c r="Q17" s="242"/>
      <c r="R17" s="281">
        <v>0.62702238759689666</v>
      </c>
      <c r="S17" s="282">
        <f>1.06451162790698/2</f>
        <v>0.53225581395348998</v>
      </c>
      <c r="T17" s="283">
        <f>0.527795348837209/6</f>
        <v>8.7965891472868166E-2</v>
      </c>
      <c r="U17" s="47"/>
      <c r="V17" s="47"/>
      <c r="W17" s="286">
        <f t="shared" si="4"/>
        <v>0.62022170542635813</v>
      </c>
      <c r="X17" s="233"/>
      <c r="Y17" s="233"/>
      <c r="Z17" s="233"/>
      <c r="AI17" s="244">
        <f t="shared" si="5"/>
        <v>0.98915400421888833</v>
      </c>
    </row>
    <row r="18" spans="1:35" s="244" customFormat="1" ht="39.950000000000003" customHeight="1">
      <c r="A18" s="234" t="str">
        <f t="shared" si="0"/>
        <v>L01</v>
      </c>
      <c r="B18" s="234" t="str">
        <f t="shared" si="1"/>
        <v>Muc 1.1</v>
      </c>
      <c r="C18" s="235">
        <v>3</v>
      </c>
      <c r="D18" s="245" t="s">
        <v>209</v>
      </c>
      <c r="E18" s="246"/>
      <c r="F18" s="237"/>
      <c r="G18" s="237"/>
      <c r="H18" s="237"/>
      <c r="I18" s="239" t="s">
        <v>210</v>
      </c>
      <c r="J18" s="238"/>
      <c r="K18" s="239"/>
      <c r="L18" s="287" t="s">
        <v>206</v>
      </c>
      <c r="M18" s="279" t="str">
        <f>IFERROR((($K$6*$L$6*4+$L$6*$M$6*2)*10^-6*1.3/0.5*$K$7)*1.496/200*$L$7,"")</f>
        <v/>
      </c>
      <c r="N18" s="242">
        <f t="shared" si="3"/>
        <v>1</v>
      </c>
      <c r="O18" s="242" t="str">
        <f t="shared" si="2"/>
        <v>IN</v>
      </c>
      <c r="P18" s="280"/>
      <c r="Q18" s="242"/>
      <c r="R18" s="281">
        <f>0.163861328106666*200</f>
        <v>32.772265621333204</v>
      </c>
      <c r="S18" s="282">
        <f>0.0297531/2*200</f>
        <v>2.9753099999999999</v>
      </c>
      <c r="T18" s="283"/>
      <c r="U18" s="47"/>
      <c r="V18" s="288">
        <f>200*0.148912192</f>
        <v>29.7824384</v>
      </c>
      <c r="W18" s="286">
        <f>SUM(S18:V18)</f>
        <v>32.757748399999997</v>
      </c>
      <c r="X18" s="233"/>
      <c r="Y18" s="233"/>
      <c r="Z18" s="233"/>
      <c r="AI18" s="244">
        <f t="shared" si="5"/>
        <v>0.99955702722842088</v>
      </c>
    </row>
    <row r="19" spans="1:35" s="244" customFormat="1" ht="39.950000000000003" customHeight="1">
      <c r="A19" s="234" t="str">
        <f t="shared" si="0"/>
        <v>L01</v>
      </c>
      <c r="B19" s="234" t="str">
        <f t="shared" si="1"/>
        <v>Muc 1.1</v>
      </c>
      <c r="C19" s="235">
        <v>4</v>
      </c>
      <c r="D19" s="245" t="s">
        <v>211</v>
      </c>
      <c r="E19" s="246"/>
      <c r="F19" s="237"/>
      <c r="G19" s="237"/>
      <c r="H19" s="237"/>
      <c r="I19" s="239" t="s">
        <v>138</v>
      </c>
      <c r="J19" s="238"/>
      <c r="K19" s="239"/>
      <c r="L19" s="287" t="s">
        <v>206</v>
      </c>
      <c r="M19" s="279" t="str">
        <f>IFERROR((($K$6*$L$6*4+$L$6*$M$6*2)*10^-6*1.3/1.2*$K$7)*1.518/300*$L$7,"")</f>
        <v/>
      </c>
      <c r="N19" s="242">
        <f t="shared" si="3"/>
        <v>1</v>
      </c>
      <c r="O19" s="242" t="str">
        <f t="shared" si="2"/>
        <v>IN</v>
      </c>
      <c r="P19" s="280"/>
      <c r="Q19" s="242"/>
      <c r="R19" s="281">
        <f>0.0461864037555554*300</f>
        <v>13.855921126666619</v>
      </c>
      <c r="S19" s="282">
        <f>0.00826475/2*300</f>
        <v>1.2397125</v>
      </c>
      <c r="T19" s="283">
        <f>0.00409774444444444/6*300</f>
        <v>0.204887222222222</v>
      </c>
      <c r="U19" s="47"/>
      <c r="V19" s="288">
        <f>0.0413644977777778*300</f>
        <v>12.40934933333334</v>
      </c>
      <c r="W19" s="286">
        <f>SUM(S19:V19)</f>
        <v>13.853949055555562</v>
      </c>
      <c r="X19" s="233"/>
      <c r="Y19" s="233"/>
      <c r="Z19" s="233"/>
      <c r="AI19" s="244">
        <f t="shared" si="5"/>
        <v>0.99985767304150852</v>
      </c>
    </row>
    <row r="20" spans="1:35" s="244" customFormat="1" ht="39.950000000000003" customHeight="1">
      <c r="A20" s="234" t="str">
        <f t="shared" si="0"/>
        <v>L01</v>
      </c>
      <c r="B20" s="234" t="str">
        <f t="shared" si="1"/>
        <v>Muc 1.1</v>
      </c>
      <c r="C20" s="235">
        <v>5</v>
      </c>
      <c r="D20" s="245" t="s">
        <v>139</v>
      </c>
      <c r="E20" s="246"/>
      <c r="F20" s="237"/>
      <c r="G20" s="237"/>
      <c r="H20" s="237"/>
      <c r="I20" s="239" t="s">
        <v>140</v>
      </c>
      <c r="J20" s="238"/>
      <c r="K20" s="239"/>
      <c r="L20" s="287" t="s">
        <v>206</v>
      </c>
      <c r="M20" s="279" t="str">
        <f>IFERROR((($K$6*2+$L$6*2+200*16)*10^-3*$K$7)*1.06/70*$L$7,"")</f>
        <v/>
      </c>
      <c r="N20" s="242">
        <f t="shared" si="3"/>
        <v>1</v>
      </c>
      <c r="O20" s="242" t="str">
        <f t="shared" si="2"/>
        <v>IN</v>
      </c>
      <c r="P20" s="280"/>
      <c r="Q20" s="242"/>
      <c r="R20" s="281">
        <f>0.229481587301586*70</f>
        <v>16.063711111111019</v>
      </c>
      <c r="S20" s="282">
        <f>0.122142857142857/2*70</f>
        <v>4.274999999999995</v>
      </c>
      <c r="T20" s="283">
        <f>0.119857142857143/6*70</f>
        <v>1.3983333333333348</v>
      </c>
      <c r="U20" s="288">
        <f>0.147685714285714*70</f>
        <v>10.33799999999998</v>
      </c>
      <c r="V20" s="47">
        <f>0.147685714285714*70</f>
        <v>10.33799999999998</v>
      </c>
      <c r="W20" s="286">
        <f>SUM(S20:U20)</f>
        <v>16.011333333333312</v>
      </c>
      <c r="X20" s="233"/>
      <c r="Y20" s="233"/>
      <c r="Z20" s="233"/>
      <c r="AI20" s="244">
        <f t="shared" si="5"/>
        <v>0.99673937252634737</v>
      </c>
    </row>
    <row r="21" spans="1:35" s="244" customFormat="1" ht="39.950000000000003" customHeight="1">
      <c r="A21" s="234" t="str">
        <f t="shared" si="0"/>
        <v>L01</v>
      </c>
      <c r="B21" s="234" t="str">
        <f t="shared" si="1"/>
        <v>Muc 1.1</v>
      </c>
      <c r="C21" s="235">
        <v>6</v>
      </c>
      <c r="D21" s="245" t="s">
        <v>212</v>
      </c>
      <c r="E21" s="246"/>
      <c r="F21" s="237"/>
      <c r="G21" s="237"/>
      <c r="H21" s="237" t="str">
        <f>IF(AND($K$6&lt;&gt;"",$L$6&lt;&gt;"",$M$6&lt;&gt;"",'BOM_Phan II'!$Q$7="CỬA CHỐNG CHÁY"),8,"0")</f>
        <v>0</v>
      </c>
      <c r="I21" s="239" t="s">
        <v>213</v>
      </c>
      <c r="J21" s="238"/>
      <c r="K21" s="239"/>
      <c r="L21" s="240" t="s">
        <v>196</v>
      </c>
      <c r="M21" s="279" t="str">
        <f>$H21</f>
        <v>0</v>
      </c>
      <c r="N21" s="242">
        <f t="shared" si="3"/>
        <v>1</v>
      </c>
      <c r="O21" s="242" t="str">
        <f t="shared" si="2"/>
        <v>IN</v>
      </c>
      <c r="P21" s="280"/>
      <c r="Q21" s="242"/>
      <c r="R21" s="281">
        <v>8</v>
      </c>
      <c r="S21" s="282"/>
      <c r="T21" s="283"/>
      <c r="U21" s="47"/>
      <c r="V21" s="47">
        <v>8</v>
      </c>
      <c r="W21" s="286">
        <f t="shared" si="4"/>
        <v>8</v>
      </c>
      <c r="X21" s="233"/>
      <c r="Y21" s="233"/>
      <c r="Z21" s="233"/>
      <c r="AI21" s="244">
        <f t="shared" si="5"/>
        <v>1</v>
      </c>
    </row>
    <row r="22" spans="1:35" s="244" customFormat="1" ht="39.950000000000003" customHeight="1">
      <c r="A22" s="234" t="str">
        <f t="shared" si="0"/>
        <v>L01</v>
      </c>
      <c r="B22" s="234" t="str">
        <f t="shared" si="1"/>
        <v>Muc 1.1</v>
      </c>
      <c r="C22" s="235">
        <v>7</v>
      </c>
      <c r="D22" s="245" t="s">
        <v>214</v>
      </c>
      <c r="E22" s="246"/>
      <c r="F22" s="237"/>
      <c r="G22" s="237"/>
      <c r="H22" s="237" t="str">
        <f>IF(AND($K$6&lt;&gt;"",$L$6&lt;&gt;"",$M$6&lt;&gt;"",'BOM_Phan II'!$Q$7="CỬA THƯỜNG"),8,"0")</f>
        <v>0</v>
      </c>
      <c r="I22" s="239" t="s">
        <v>215</v>
      </c>
      <c r="J22" s="238"/>
      <c r="K22" s="239"/>
      <c r="L22" s="240" t="s">
        <v>196</v>
      </c>
      <c r="M22" s="279" t="str">
        <f>$H22</f>
        <v>0</v>
      </c>
      <c r="N22" s="242">
        <f t="shared" si="3"/>
        <v>1</v>
      </c>
      <c r="O22" s="242" t="str">
        <f t="shared" si="2"/>
        <v>IN</v>
      </c>
      <c r="P22" s="280"/>
      <c r="Q22" s="242"/>
      <c r="R22" s="281" t="s">
        <v>216</v>
      </c>
      <c r="S22" s="282"/>
      <c r="T22" s="283"/>
      <c r="U22" s="47">
        <v>8</v>
      </c>
      <c r="V22" s="47"/>
      <c r="W22" s="286">
        <f t="shared" si="4"/>
        <v>8</v>
      </c>
      <c r="X22" s="233"/>
      <c r="Y22" s="233"/>
      <c r="Z22" s="233"/>
    </row>
    <row r="23" spans="1:35" s="244" customFormat="1" ht="39.950000000000003" customHeight="1">
      <c r="A23" s="234" t="str">
        <f t="shared" si="0"/>
        <v/>
      </c>
      <c r="B23" s="234" t="str">
        <f t="shared" si="1"/>
        <v/>
      </c>
      <c r="C23" s="247"/>
      <c r="D23" s="245"/>
      <c r="E23" s="246"/>
      <c r="F23" s="237"/>
      <c r="G23" s="237"/>
      <c r="H23" s="237"/>
      <c r="I23" s="239"/>
      <c r="J23" s="238"/>
      <c r="K23" s="239"/>
      <c r="L23" s="240"/>
      <c r="M23" s="279">
        <f t="shared" ref="M23:M28" si="6">IF(OR(L23="Con",L23="Cụm",L23="Hệ"),H23,IF(L23="Thanh",(G23*H23/2400),IF(L23="Tấm",(F23*G23*H23)/(1220*2440),IF(L23="Md",G23*H23/1000,IF(L23="M2",F23*G23*H23/10^6,IF(L23="M3",E23*F23*G23*H23/10^9,0))))))</f>
        <v>0</v>
      </c>
      <c r="N23" s="242" t="str">
        <f t="shared" si="3"/>
        <v/>
      </c>
      <c r="O23" s="242" t="str">
        <f t="shared" si="2"/>
        <v/>
      </c>
      <c r="P23" s="243"/>
      <c r="Q23" s="242"/>
      <c r="R23" s="243"/>
      <c r="X23" s="233"/>
      <c r="Y23" s="233"/>
      <c r="Z23" s="233"/>
    </row>
    <row r="24" spans="1:35" s="233" customFormat="1" ht="39.950000000000003" customHeight="1">
      <c r="A24" s="224" t="str">
        <f t="shared" si="0"/>
        <v/>
      </c>
      <c r="B24" s="224" t="str">
        <f t="shared" si="1"/>
        <v/>
      </c>
      <c r="C24" s="237"/>
      <c r="D24" s="236"/>
      <c r="E24" s="237"/>
      <c r="F24" s="237"/>
      <c r="G24" s="237"/>
      <c r="H24" s="237"/>
      <c r="I24" s="236"/>
      <c r="J24" s="236"/>
      <c r="K24" s="239"/>
      <c r="L24" s="240"/>
      <c r="M24" s="279">
        <f t="shared" si="6"/>
        <v>0</v>
      </c>
      <c r="N24" s="232" t="str">
        <f t="shared" si="3"/>
        <v/>
      </c>
      <c r="O24" s="232" t="str">
        <f t="shared" si="2"/>
        <v/>
      </c>
      <c r="P24" s="110"/>
      <c r="Q24" s="232"/>
      <c r="R24" s="110"/>
    </row>
    <row r="25" spans="1:35" s="233" customFormat="1" ht="39.950000000000003" customHeight="1">
      <c r="A25" s="224" t="str">
        <f t="shared" si="0"/>
        <v/>
      </c>
      <c r="B25" s="224" t="str">
        <f t="shared" si="1"/>
        <v/>
      </c>
      <c r="C25" s="248"/>
      <c r="D25" s="249"/>
      <c r="E25" s="248"/>
      <c r="F25" s="248"/>
      <c r="G25" s="248"/>
      <c r="H25" s="248"/>
      <c r="I25" s="249"/>
      <c r="J25" s="236"/>
      <c r="K25" s="239"/>
      <c r="L25" s="240"/>
      <c r="M25" s="279">
        <f t="shared" si="6"/>
        <v>0</v>
      </c>
      <c r="N25" s="232" t="str">
        <f t="shared" si="3"/>
        <v/>
      </c>
      <c r="O25" s="232" t="str">
        <f t="shared" si="2"/>
        <v/>
      </c>
      <c r="P25" s="110"/>
      <c r="Q25" s="232"/>
      <c r="R25" s="110"/>
    </row>
    <row r="26" spans="1:35" s="233" customFormat="1" ht="39.950000000000003" customHeight="1">
      <c r="A26" s="224" t="str">
        <f t="shared" si="0"/>
        <v/>
      </c>
      <c r="B26" s="224" t="str">
        <f t="shared" si="1"/>
        <v/>
      </c>
      <c r="C26" s="237"/>
      <c r="D26" s="236"/>
      <c r="E26" s="237"/>
      <c r="F26" s="237"/>
      <c r="G26" s="237"/>
      <c r="H26" s="237"/>
      <c r="I26" s="236"/>
      <c r="J26" s="236"/>
      <c r="K26" s="239"/>
      <c r="L26" s="240"/>
      <c r="M26" s="279">
        <f t="shared" si="6"/>
        <v>0</v>
      </c>
      <c r="N26" s="232" t="str">
        <f t="shared" si="3"/>
        <v/>
      </c>
      <c r="O26" s="232" t="str">
        <f t="shared" si="2"/>
        <v/>
      </c>
      <c r="P26" s="110"/>
      <c r="Q26" s="232"/>
      <c r="R26" s="110"/>
    </row>
    <row r="27" spans="1:35" s="233" customFormat="1" ht="39.950000000000003" customHeight="1">
      <c r="A27" s="224" t="str">
        <f t="shared" si="0"/>
        <v/>
      </c>
      <c r="B27" s="224" t="str">
        <f t="shared" si="1"/>
        <v/>
      </c>
      <c r="C27" s="248"/>
      <c r="D27" s="249"/>
      <c r="E27" s="248"/>
      <c r="F27" s="248"/>
      <c r="G27" s="248"/>
      <c r="H27" s="248"/>
      <c r="I27" s="249"/>
      <c r="J27" s="236"/>
      <c r="K27" s="239"/>
      <c r="L27" s="240"/>
      <c r="M27" s="279">
        <f t="shared" si="6"/>
        <v>0</v>
      </c>
      <c r="N27" s="232" t="str">
        <f t="shared" si="3"/>
        <v/>
      </c>
      <c r="O27" s="232" t="str">
        <f t="shared" si="2"/>
        <v/>
      </c>
      <c r="P27" s="110"/>
      <c r="Q27" s="232"/>
      <c r="R27" s="110"/>
    </row>
    <row r="28" spans="1:35" s="233" customFormat="1" ht="39.950000000000003" customHeight="1">
      <c r="A28" s="224" t="str">
        <f t="shared" si="0"/>
        <v/>
      </c>
      <c r="B28" s="224" t="str">
        <f t="shared" si="1"/>
        <v/>
      </c>
      <c r="C28" s="248"/>
      <c r="D28" s="249"/>
      <c r="E28" s="248"/>
      <c r="F28" s="248"/>
      <c r="G28" s="248"/>
      <c r="H28" s="248"/>
      <c r="I28" s="249"/>
      <c r="J28" s="236"/>
      <c r="K28" s="239" t="s">
        <v>185</v>
      </c>
      <c r="L28" s="240"/>
      <c r="M28" s="279">
        <f t="shared" si="6"/>
        <v>0</v>
      </c>
      <c r="N28" s="232" t="str">
        <f t="shared" si="3"/>
        <v/>
      </c>
      <c r="O28" s="232" t="str">
        <f t="shared" si="2"/>
        <v/>
      </c>
      <c r="P28" s="110"/>
      <c r="Q28" s="232"/>
      <c r="R28" s="110"/>
    </row>
    <row r="29" spans="1:35" s="233" customFormat="1" ht="35.1" customHeight="1" thickBot="1">
      <c r="A29" s="224" t="str">
        <f t="shared" si="0"/>
        <v>L01</v>
      </c>
      <c r="B29" s="224" t="str">
        <f t="shared" si="1"/>
        <v>Muc 1.1</v>
      </c>
      <c r="C29" s="250"/>
      <c r="D29" s="251" t="s">
        <v>38</v>
      </c>
      <c r="E29" s="252"/>
      <c r="F29" s="252"/>
      <c r="G29" s="252"/>
      <c r="H29" s="252"/>
      <c r="I29" s="252"/>
      <c r="J29" s="253"/>
      <c r="K29" s="254"/>
      <c r="L29" s="255"/>
      <c r="M29" s="255"/>
      <c r="N29" s="232">
        <f t="shared" si="3"/>
        <v>1</v>
      </c>
      <c r="O29" s="232" t="str">
        <f t="shared" si="2"/>
        <v>IN</v>
      </c>
      <c r="P29" s="110"/>
      <c r="Q29" s="232"/>
      <c r="R29" s="110"/>
    </row>
    <row r="30" spans="1:35" ht="27" customHeight="1">
      <c r="D30" s="82" t="s">
        <v>45</v>
      </c>
      <c r="E30" s="34"/>
      <c r="F30" s="34"/>
      <c r="G30" s="34"/>
      <c r="H30" s="34"/>
      <c r="I30" s="34"/>
      <c r="J30" s="8"/>
      <c r="K30" s="34"/>
      <c r="L30" s="34"/>
      <c r="M30" s="34"/>
      <c r="N30" s="8"/>
      <c r="O30" s="69" t="s">
        <v>75</v>
      </c>
      <c r="P30" s="32"/>
      <c r="Q30" s="32"/>
      <c r="R30" s="32"/>
    </row>
    <row r="31" spans="1:35" ht="25.35" customHeight="1">
      <c r="C31" s="3"/>
      <c r="D31" s="35"/>
      <c r="E31" s="9"/>
      <c r="F31" s="36"/>
      <c r="G31" s="37"/>
      <c r="H31" s="36"/>
      <c r="I31" s="36"/>
      <c r="J31" s="11"/>
      <c r="K31" s="71" t="str">
        <f ca="1">"Ngày "&amp;DAY(NOW())&amp;" tháng "&amp;MONTH(NOW())&amp;" năm "&amp;YEAR(NOW())</f>
        <v>Ngày 17 tháng 6 năm 2026</v>
      </c>
      <c r="L31" s="8"/>
      <c r="M31" s="8"/>
      <c r="N31" s="11"/>
      <c r="O31" s="69" t="s">
        <v>75</v>
      </c>
      <c r="P31" s="32"/>
      <c r="Q31" s="32"/>
      <c r="R31" s="32"/>
    </row>
    <row r="32" spans="1:35" ht="25.35" customHeight="1">
      <c r="C32" s="3"/>
      <c r="D32" s="3"/>
      <c r="E32" s="9"/>
      <c r="F32" s="36"/>
      <c r="G32" s="71" t="s">
        <v>49</v>
      </c>
      <c r="H32" s="36"/>
      <c r="I32" s="36"/>
      <c r="J32" s="11"/>
      <c r="K32" s="71" t="s">
        <v>57</v>
      </c>
      <c r="L32" s="8"/>
      <c r="M32" s="8"/>
      <c r="N32" s="11"/>
      <c r="O32" s="69" t="s">
        <v>75</v>
      </c>
      <c r="P32" s="32"/>
      <c r="Q32" s="32"/>
      <c r="R32" s="32"/>
    </row>
    <row r="33" spans="3:18" ht="25.35" customHeight="1">
      <c r="C33" s="3"/>
      <c r="D33" s="3"/>
      <c r="E33" s="9"/>
      <c r="F33" s="36"/>
      <c r="G33" s="42"/>
      <c r="H33" s="36"/>
      <c r="I33" s="36"/>
      <c r="J33" s="11"/>
      <c r="K33" s="37"/>
      <c r="L33" s="8"/>
      <c r="M33" s="8"/>
      <c r="N33" s="11"/>
      <c r="O33" s="69" t="s">
        <v>75</v>
      </c>
      <c r="P33" s="32"/>
      <c r="Q33" s="32"/>
      <c r="R33" s="32"/>
    </row>
    <row r="34" spans="3:18" ht="25.35" customHeight="1">
      <c r="C34" s="3"/>
      <c r="D34" s="3"/>
      <c r="E34" s="9"/>
      <c r="F34" s="36"/>
      <c r="G34" s="42"/>
      <c r="H34" s="36"/>
      <c r="I34" s="36"/>
      <c r="J34" s="11"/>
      <c r="K34" s="37"/>
      <c r="L34" s="8"/>
      <c r="M34" s="8"/>
      <c r="N34" s="11"/>
      <c r="O34" s="69" t="s">
        <v>75</v>
      </c>
      <c r="P34" s="32"/>
      <c r="Q34" s="32"/>
      <c r="R34" s="32"/>
    </row>
    <row r="35" spans="3:18" ht="25.35" customHeight="1">
      <c r="C35" s="3"/>
      <c r="D35" s="3"/>
      <c r="E35" s="9"/>
      <c r="F35" s="36"/>
      <c r="G35" s="38"/>
      <c r="H35" s="36"/>
      <c r="I35" s="38"/>
      <c r="J35" s="11"/>
      <c r="K35" s="37"/>
      <c r="L35" s="8"/>
      <c r="M35" s="8"/>
      <c r="N35" s="11"/>
      <c r="O35" s="69" t="s">
        <v>75</v>
      </c>
      <c r="P35" s="32"/>
      <c r="Q35" s="32"/>
      <c r="R35" s="32"/>
    </row>
    <row r="36" spans="3:18" ht="25.35" customHeight="1">
      <c r="C36" s="3"/>
      <c r="D36" s="3"/>
      <c r="E36" s="9"/>
      <c r="F36" s="36"/>
      <c r="G36" s="37" t="s">
        <v>46</v>
      </c>
      <c r="H36" s="36"/>
      <c r="I36" s="40"/>
      <c r="J36" s="11"/>
      <c r="K36" s="37" t="e">
        <f>#REF!</f>
        <v>#REF!</v>
      </c>
      <c r="L36" s="8"/>
      <c r="M36" s="8"/>
      <c r="N36" s="11"/>
      <c r="O36" s="69" t="s">
        <v>75</v>
      </c>
      <c r="P36" s="32"/>
      <c r="Q36" s="32"/>
      <c r="R36" s="32"/>
    </row>
    <row r="37" spans="3:18" ht="25.35" customHeight="1">
      <c r="C37" s="3"/>
      <c r="D37" s="3"/>
      <c r="E37" s="9"/>
      <c r="F37" s="36"/>
      <c r="G37" s="37"/>
      <c r="H37" s="36"/>
      <c r="I37" s="36"/>
      <c r="J37" s="11"/>
      <c r="K37" s="36"/>
      <c r="L37" s="8"/>
      <c r="M37" s="8"/>
      <c r="N37" s="11"/>
    </row>
    <row r="38" spans="3:18" ht="25.35" customHeight="1">
      <c r="C38" s="43"/>
      <c r="D38" s="43"/>
      <c r="E38" s="9"/>
      <c r="F38" s="36"/>
      <c r="G38" s="37"/>
      <c r="H38" s="36"/>
      <c r="I38" s="36"/>
      <c r="J38" s="11"/>
      <c r="K38" s="36"/>
      <c r="L38" s="8"/>
      <c r="M38" s="8"/>
      <c r="N38" s="11"/>
    </row>
    <row r="39" spans="3:18" ht="25.35" customHeight="1">
      <c r="C39" s="3"/>
      <c r="D39" s="3"/>
      <c r="E39" s="9"/>
      <c r="F39" s="36"/>
      <c r="G39" s="37"/>
      <c r="H39" s="36"/>
      <c r="I39" s="36"/>
      <c r="J39" s="11"/>
      <c r="K39" s="36"/>
      <c r="L39" s="8"/>
      <c r="M39" s="8"/>
      <c r="N39" s="11"/>
    </row>
    <row r="40" spans="3:18" ht="25.35" customHeight="1">
      <c r="C40" s="3"/>
      <c r="D40" s="3"/>
      <c r="E40" s="9"/>
      <c r="F40" s="44"/>
      <c r="G40" s="99"/>
      <c r="H40" s="44"/>
      <c r="I40" s="8"/>
      <c r="J40" s="45"/>
      <c r="K40" s="44"/>
      <c r="L40" s="8"/>
      <c r="M40" s="8"/>
      <c r="N40" s="45"/>
    </row>
  </sheetData>
  <sheetProtection formatCells="0" formatColumns="0" formatRows="0" insertColumns="0" insertRows="0" insertHyperlinks="0" deleteColumns="0" deleteRows="0" sort="0" autoFilter="0" pivotTables="0"/>
  <autoFilter ref="C12:O36" xr:uid="{842A61C4-7B4F-41B1-8FE6-0A0C645AF4DB}"/>
  <mergeCells count="26">
    <mergeCell ref="C8:D8"/>
    <mergeCell ref="C1:E3"/>
    <mergeCell ref="F1:J3"/>
    <mergeCell ref="L1:M1"/>
    <mergeCell ref="P1:R2"/>
    <mergeCell ref="L2:M2"/>
    <mergeCell ref="L3:M3"/>
    <mergeCell ref="C4:D4"/>
    <mergeCell ref="C5:D6"/>
    <mergeCell ref="E5:I6"/>
    <mergeCell ref="J5:J6"/>
    <mergeCell ref="C7:D7"/>
    <mergeCell ref="A11:A12"/>
    <mergeCell ref="B11:B12"/>
    <mergeCell ref="C11:C12"/>
    <mergeCell ref="D11:D12"/>
    <mergeCell ref="E11:G11"/>
    <mergeCell ref="K11:K12"/>
    <mergeCell ref="L11:L12"/>
    <mergeCell ref="M11:M12"/>
    <mergeCell ref="N11:N12"/>
    <mergeCell ref="C9:D9"/>
    <mergeCell ref="C10:M10"/>
    <mergeCell ref="H11:H12"/>
    <mergeCell ref="I11:I12"/>
    <mergeCell ref="J11:J12"/>
  </mergeCells>
  <conditionalFormatting sqref="K14:L28">
    <cfRule type="expression" dxfId="46" priority="19">
      <formula>K14="LỖI DỮ LIỆU"</formula>
    </cfRule>
  </conditionalFormatting>
  <conditionalFormatting sqref="K23:M28 K14:L22">
    <cfRule type="cellIs" dxfId="45" priority="17" operator="equal">
      <formula>0</formula>
    </cfRule>
  </conditionalFormatting>
  <conditionalFormatting sqref="M23:M28">
    <cfRule type="cellIs" dxfId="44" priority="16" operator="equal">
      <formula>0</formula>
    </cfRule>
    <cfRule type="cellIs" dxfId="43" priority="18" operator="equal">
      <formula>0</formula>
    </cfRule>
  </conditionalFormatting>
  <conditionalFormatting sqref="P14:P20 P22">
    <cfRule type="cellIs" dxfId="42" priority="14" operator="equal">
      <formula>0</formula>
    </cfRule>
  </conditionalFormatting>
  <conditionalFormatting sqref="P14:P20 P22">
    <cfRule type="cellIs" dxfId="41" priority="13" operator="equal">
      <formula>0</formula>
    </cfRule>
    <cfRule type="cellIs" dxfId="40" priority="15" operator="equal">
      <formula>0</formula>
    </cfRule>
  </conditionalFormatting>
  <conditionalFormatting sqref="P21">
    <cfRule type="cellIs" dxfId="39" priority="11" operator="equal">
      <formula>0</formula>
    </cfRule>
  </conditionalFormatting>
  <conditionalFormatting sqref="P21">
    <cfRule type="cellIs" dxfId="38" priority="10" operator="equal">
      <formula>0</formula>
    </cfRule>
    <cfRule type="cellIs" dxfId="37" priority="12" operator="equal">
      <formula>0</formula>
    </cfRule>
  </conditionalFormatting>
  <conditionalFormatting sqref="M22">
    <cfRule type="cellIs" dxfId="36" priority="8" operator="equal">
      <formula>0</formula>
    </cfRule>
  </conditionalFormatting>
  <conditionalFormatting sqref="M22">
    <cfRule type="cellIs" dxfId="35" priority="7" operator="equal">
      <formula>0</formula>
    </cfRule>
    <cfRule type="cellIs" dxfId="34" priority="9" operator="equal">
      <formula>0</formula>
    </cfRule>
  </conditionalFormatting>
  <conditionalFormatting sqref="M21">
    <cfRule type="cellIs" dxfId="33" priority="5" operator="equal">
      <formula>0</formula>
    </cfRule>
  </conditionalFormatting>
  <conditionalFormatting sqref="M21">
    <cfRule type="cellIs" dxfId="32" priority="4" operator="equal">
      <formula>0</formula>
    </cfRule>
    <cfRule type="cellIs" dxfId="31" priority="6" operator="equal">
      <formula>0</formula>
    </cfRule>
  </conditionalFormatting>
  <conditionalFormatting sqref="M14:M20">
    <cfRule type="cellIs" dxfId="30" priority="2" operator="equal">
      <formula>0</formula>
    </cfRule>
  </conditionalFormatting>
  <conditionalFormatting sqref="M14:M20">
    <cfRule type="cellIs" dxfId="29" priority="1" operator="equal">
      <formula>0</formula>
    </cfRule>
    <cfRule type="cellIs" dxfId="28" priority="3" operator="equal">
      <formula>0</formula>
    </cfRule>
  </conditionalFormatting>
  <dataValidations disablePrompts="1" count="3">
    <dataValidation type="list" allowBlank="1" showInputMessage="1" showErrorMessage="1" sqref="G36" xr:uid="{F7044802-E50F-4992-ADF5-745A2ADE3071}">
      <formula1>$Y$2:$Y$3</formula1>
    </dataValidation>
    <dataValidation type="list" allowBlank="1" showInputMessage="1" showErrorMessage="1" sqref="L29" xr:uid="{CE4B627F-48D1-4251-B449-5833C2550518}">
      <formula1>$W$2:$W$10</formula1>
    </dataValidation>
    <dataValidation type="list" allowBlank="1" showInputMessage="1" showErrorMessage="1" sqref="L27:L28 L25" xr:uid="{A6552417-4D02-4450-9CE7-4732AA7FD611}">
      <formula1>$Z$4:$Z$7</formula1>
    </dataValidation>
  </dataValidations>
  <printOptions horizontalCentered="1"/>
  <pageMargins left="0" right="0" top="0.25" bottom="0.25" header="0" footer="0"/>
  <pageSetup paperSize="9" scale="52" orientation="landscape" r:id="rId1"/>
  <headerFooter scaleWithDoc="0" alignWithMargins="0">
    <oddFooter>Page &amp;P of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126FB-E734-442E-B161-291FD15019B5}">
  <sheetPr codeName="Sheet14" filterMode="1">
    <tabColor rgb="FFFFFF00"/>
  </sheetPr>
  <dimension ref="A1:AC38"/>
  <sheetViews>
    <sheetView view="pageBreakPreview" zoomScale="70" zoomScaleNormal="55" zoomScaleSheetLayoutView="70" workbookViewId="0">
      <pane ySplit="12" topLeftCell="A13" activePane="bottomLeft" state="frozen"/>
      <selection activeCell="Q4" sqref="Q4"/>
      <selection pane="bottomLeft" activeCell="Q4" sqref="Q4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81" customWidth="1"/>
    <col min="4" max="4" width="31.42578125" style="14" customWidth="1"/>
    <col min="5" max="5" width="7.42578125" style="14" customWidth="1"/>
    <col min="6" max="6" width="7.42578125" style="3" customWidth="1"/>
    <col min="7" max="7" width="14.42578125" style="3" customWidth="1"/>
    <col min="8" max="8" width="7.42578125" style="14" customWidth="1"/>
    <col min="9" max="9" width="33.85546875" style="16" customWidth="1"/>
    <col min="10" max="10" width="43.85546875" style="16" customWidth="1"/>
    <col min="11" max="11" width="25.140625" style="14" customWidth="1"/>
    <col min="12" max="13" width="10.42578125" style="15" customWidth="1"/>
    <col min="14" max="14" width="4.85546875" style="16" customWidth="1"/>
    <col min="15" max="18" width="8.85546875" style="3" customWidth="1"/>
    <col min="19" max="22" width="4.85546875" style="3"/>
    <col min="23" max="23" width="11.85546875" style="3" customWidth="1"/>
    <col min="24" max="24" width="20.7109375" style="3" hidden="1" customWidth="1"/>
    <col min="25" max="25" width="13.7109375" style="3" hidden="1" customWidth="1"/>
    <col min="26" max="26" width="22.140625" style="3" hidden="1" customWidth="1"/>
    <col min="27" max="28" width="0" style="3" hidden="1" customWidth="1"/>
    <col min="29" max="29" width="13.7109375" style="3" hidden="1" customWidth="1"/>
    <col min="30" max="16384" width="4.85546875" style="3"/>
  </cols>
  <sheetData>
    <row r="1" spans="1:29" ht="27.75" customHeight="1">
      <c r="C1" s="320"/>
      <c r="D1" s="321"/>
      <c r="E1" s="322"/>
      <c r="F1" s="329" t="s">
        <v>123</v>
      </c>
      <c r="G1" s="330"/>
      <c r="H1" s="330"/>
      <c r="I1" s="330"/>
      <c r="J1" s="331"/>
      <c r="K1" s="144" t="s">
        <v>29</v>
      </c>
      <c r="L1" s="338" t="s">
        <v>44</v>
      </c>
      <c r="M1" s="339"/>
      <c r="N1" s="110"/>
      <c r="P1" s="340" t="s">
        <v>67</v>
      </c>
      <c r="Q1" s="341"/>
      <c r="R1" s="342"/>
    </row>
    <row r="2" spans="1:29" ht="27.75" customHeight="1" thickBot="1">
      <c r="C2" s="323"/>
      <c r="D2" s="324"/>
      <c r="E2" s="325"/>
      <c r="F2" s="332"/>
      <c r="G2" s="333"/>
      <c r="H2" s="333"/>
      <c r="I2" s="333"/>
      <c r="J2" s="334"/>
      <c r="K2" s="27" t="s">
        <v>30</v>
      </c>
      <c r="L2" s="346"/>
      <c r="M2" s="347"/>
      <c r="N2" s="215"/>
      <c r="P2" s="343"/>
      <c r="Q2" s="344"/>
      <c r="R2" s="345"/>
      <c r="W2" s="216"/>
      <c r="X2" s="30" t="s">
        <v>124</v>
      </c>
      <c r="Y2" s="30" t="s">
        <v>66</v>
      </c>
      <c r="Z2" s="30"/>
      <c r="AA2" s="30"/>
      <c r="AB2" s="30"/>
    </row>
    <row r="3" spans="1:29" ht="27.75" customHeight="1" thickBot="1">
      <c r="C3" s="326"/>
      <c r="D3" s="327"/>
      <c r="E3" s="328"/>
      <c r="F3" s="335"/>
      <c r="G3" s="336"/>
      <c r="H3" s="336"/>
      <c r="I3" s="336"/>
      <c r="J3" s="337"/>
      <c r="K3" s="27" t="s">
        <v>31</v>
      </c>
      <c r="L3" s="346"/>
      <c r="M3" s="347"/>
      <c r="N3" s="217"/>
      <c r="P3" s="48"/>
      <c r="Q3" s="100">
        <f>'BOM_Phan II'!Y3</f>
        <v>1</v>
      </c>
      <c r="R3" s="48"/>
      <c r="W3" s="216"/>
      <c r="X3" s="30" t="s">
        <v>125</v>
      </c>
      <c r="Y3" s="30"/>
      <c r="Z3" s="30"/>
      <c r="AA3" s="30"/>
      <c r="AB3" s="30"/>
      <c r="AC3" s="3" t="s">
        <v>124</v>
      </c>
    </row>
    <row r="4" spans="1:29" ht="25.35" customHeight="1">
      <c r="C4" s="348" t="s">
        <v>25</v>
      </c>
      <c r="D4" s="349"/>
      <c r="E4" s="102" t="str">
        <f>'BOM_Phan II'!E4</f>
        <v>LAGOME_BURNLEY MALTINGS</v>
      </c>
      <c r="F4" s="92"/>
      <c r="G4" s="92"/>
      <c r="H4" s="92"/>
      <c r="I4" s="92"/>
      <c r="J4" s="128" t="s">
        <v>24</v>
      </c>
      <c r="K4" s="218" t="str">
        <f>'BOM_Phan II'!P4</f>
        <v>2573_LAGOME_CT07</v>
      </c>
      <c r="L4" s="219"/>
      <c r="M4" s="219"/>
      <c r="N4" s="220"/>
      <c r="W4" s="216"/>
      <c r="X4" s="30" t="s">
        <v>86</v>
      </c>
      <c r="Y4" s="30"/>
      <c r="Z4" s="30" t="s">
        <v>76</v>
      </c>
      <c r="AA4" s="30"/>
      <c r="AB4" s="30"/>
      <c r="AC4" s="3" t="s">
        <v>125</v>
      </c>
    </row>
    <row r="5" spans="1:29" ht="25.35" customHeight="1">
      <c r="C5" s="350" t="s">
        <v>28</v>
      </c>
      <c r="D5" s="351"/>
      <c r="E5" s="354" t="str">
        <f>'BOM_Phan II'!E5</f>
        <v>Laundry_ (TH 11)</v>
      </c>
      <c r="F5" s="355"/>
      <c r="G5" s="355"/>
      <c r="H5" s="355"/>
      <c r="I5" s="356"/>
      <c r="J5" s="360" t="s">
        <v>27</v>
      </c>
      <c r="K5" s="221" t="s">
        <v>126</v>
      </c>
      <c r="L5" s="221" t="s">
        <v>127</v>
      </c>
      <c r="M5" s="221" t="s">
        <v>128</v>
      </c>
      <c r="N5" s="220"/>
      <c r="W5" s="216"/>
      <c r="X5" s="30" t="s">
        <v>64</v>
      </c>
      <c r="Y5" s="30"/>
      <c r="Z5" s="30" t="s">
        <v>77</v>
      </c>
      <c r="AA5" s="30"/>
      <c r="AB5" s="30"/>
      <c r="AC5" s="3" t="s">
        <v>86</v>
      </c>
    </row>
    <row r="6" spans="1:29" ht="25.35" customHeight="1">
      <c r="C6" s="352"/>
      <c r="D6" s="353"/>
      <c r="E6" s="357"/>
      <c r="F6" s="358"/>
      <c r="G6" s="358"/>
      <c r="H6" s="358"/>
      <c r="I6" s="359"/>
      <c r="J6" s="361"/>
      <c r="K6" s="221" t="str">
        <f>IFERROR(IF('BOM_Phan IV'!T13=8,AVERAGE('BOM_Phan IV'!M13:M1400),""),"")</f>
        <v/>
      </c>
      <c r="L6" s="221" t="str">
        <f>IFERROR(IF('BOM_Phan IV'!T13=8,AVERAGE('BOM_Phan IV'!L13:L1400),""),"")</f>
        <v/>
      </c>
      <c r="M6" s="221" t="str">
        <f>IFERROR(IF('BOM_Phan IV'!T13=8,AVERAGE('BOM_Phan IV'!K13:K1400),""),"")</f>
        <v/>
      </c>
      <c r="N6" s="220"/>
      <c r="W6" s="216"/>
      <c r="X6" s="30" t="s">
        <v>64</v>
      </c>
      <c r="Y6" s="30"/>
      <c r="Z6" s="30" t="s">
        <v>77</v>
      </c>
      <c r="AA6" s="30"/>
      <c r="AB6" s="30"/>
      <c r="AC6" s="3" t="s">
        <v>86</v>
      </c>
    </row>
    <row r="7" spans="1:29" ht="25.35" customHeight="1">
      <c r="C7" s="318" t="s">
        <v>23</v>
      </c>
      <c r="D7" s="319"/>
      <c r="E7" s="95" t="str">
        <f>'BOM_Phan II'!E6</f>
        <v>L01</v>
      </c>
      <c r="F7" s="94"/>
      <c r="G7" s="94"/>
      <c r="H7" s="94"/>
      <c r="I7" s="94"/>
      <c r="J7" s="127" t="s">
        <v>26</v>
      </c>
      <c r="K7" s="222" t="str">
        <f>IF(K6&lt;&gt;"",SUM('BOM_Phan IV'!N13:N1400),"")</f>
        <v/>
      </c>
      <c r="L7" s="223"/>
      <c r="M7" s="223"/>
      <c r="N7" s="220"/>
      <c r="W7" s="216"/>
      <c r="X7" s="30" t="s">
        <v>65</v>
      </c>
      <c r="Y7" s="30"/>
      <c r="Z7" s="30"/>
      <c r="AA7" s="30"/>
      <c r="AB7" s="30"/>
      <c r="AC7" s="3" t="s">
        <v>64</v>
      </c>
    </row>
    <row r="8" spans="1:29" ht="25.35" customHeight="1">
      <c r="C8" s="318" t="s">
        <v>21</v>
      </c>
      <c r="D8" s="319"/>
      <c r="E8" s="95">
        <f>'BOM_Phan II'!E7</f>
        <v>1.1000000000000001</v>
      </c>
      <c r="F8" s="94"/>
      <c r="G8" s="94"/>
      <c r="H8" s="94"/>
      <c r="I8" s="94"/>
      <c r="J8" s="127" t="s">
        <v>34</v>
      </c>
      <c r="K8" s="95" t="str">
        <f>'BOM_Phan II'!P7</f>
        <v>Theo module và giao rời</v>
      </c>
      <c r="L8" s="124"/>
      <c r="M8" s="124"/>
      <c r="N8" s="220"/>
      <c r="P8" s="46"/>
      <c r="W8" s="216"/>
      <c r="X8" s="30" t="s">
        <v>66</v>
      </c>
      <c r="Y8" s="30"/>
      <c r="Z8" s="30"/>
      <c r="AA8" s="30"/>
      <c r="AB8" s="30"/>
      <c r="AC8" s="3" t="s">
        <v>65</v>
      </c>
    </row>
    <row r="9" spans="1:29" ht="25.35" customHeight="1">
      <c r="C9" s="304" t="s">
        <v>9</v>
      </c>
      <c r="D9" s="305"/>
      <c r="E9" s="104" t="str">
        <f>'BOM_Phan II'!E8</f>
        <v xml:space="preserve">PB E1 chống ẩm 2M Melamine MEL1: MS 024T
</v>
      </c>
      <c r="F9" s="98"/>
      <c r="G9" s="98"/>
      <c r="H9" s="98"/>
      <c r="I9" s="98"/>
      <c r="J9" s="129" t="s">
        <v>22</v>
      </c>
      <c r="K9" s="104" t="str">
        <f>'BOM_Phan II'!P8</f>
        <v>MEL01,Đồng màu MEL1</v>
      </c>
      <c r="L9" s="126"/>
      <c r="M9" s="126"/>
      <c r="N9" s="220"/>
      <c r="W9" s="216"/>
      <c r="X9" s="30" t="s">
        <v>129</v>
      </c>
      <c r="Y9" s="30"/>
      <c r="Z9" s="30"/>
      <c r="AA9" s="30"/>
      <c r="AB9" s="30"/>
      <c r="AC9" s="3" t="s">
        <v>66</v>
      </c>
    </row>
    <row r="10" spans="1:29" ht="23.25" customHeight="1" thickBot="1">
      <c r="C10" s="306"/>
      <c r="D10" s="307"/>
      <c r="E10" s="307"/>
      <c r="F10" s="307"/>
      <c r="G10" s="307"/>
      <c r="H10" s="307"/>
      <c r="I10" s="307"/>
      <c r="J10" s="307"/>
      <c r="K10" s="308"/>
      <c r="L10" s="308"/>
      <c r="M10" s="308"/>
      <c r="N10" s="14"/>
      <c r="W10" s="216"/>
      <c r="X10" s="30"/>
      <c r="Y10" s="30"/>
      <c r="Z10" s="30"/>
      <c r="AA10" s="30"/>
      <c r="AB10" s="30"/>
      <c r="AC10" s="3" t="s">
        <v>88</v>
      </c>
    </row>
    <row r="11" spans="1:29" ht="33" customHeight="1">
      <c r="A11" s="313" t="s">
        <v>73</v>
      </c>
      <c r="B11" s="314" t="s">
        <v>74</v>
      </c>
      <c r="C11" s="315" t="s">
        <v>10</v>
      </c>
      <c r="D11" s="309" t="s">
        <v>43</v>
      </c>
      <c r="E11" s="317" t="s">
        <v>1</v>
      </c>
      <c r="F11" s="309"/>
      <c r="G11" s="309"/>
      <c r="H11" s="309" t="s">
        <v>0</v>
      </c>
      <c r="I11" s="309" t="s">
        <v>62</v>
      </c>
      <c r="J11" s="311" t="s">
        <v>69</v>
      </c>
      <c r="K11" s="297" t="s">
        <v>61</v>
      </c>
      <c r="L11" s="299" t="s">
        <v>47</v>
      </c>
      <c r="M11" s="301" t="s">
        <v>48</v>
      </c>
      <c r="N11" s="303" t="s">
        <v>78</v>
      </c>
      <c r="X11" s="30"/>
    </row>
    <row r="12" spans="1:29" ht="41.1" customHeight="1">
      <c r="A12" s="313"/>
      <c r="B12" s="314"/>
      <c r="C12" s="316"/>
      <c r="D12" s="310"/>
      <c r="E12" s="101" t="s">
        <v>18</v>
      </c>
      <c r="F12" s="101" t="s">
        <v>19</v>
      </c>
      <c r="G12" s="101" t="s">
        <v>20</v>
      </c>
      <c r="H12" s="310"/>
      <c r="I12" s="310"/>
      <c r="J12" s="312"/>
      <c r="K12" s="298"/>
      <c r="L12" s="300"/>
      <c r="M12" s="302"/>
      <c r="N12" s="303"/>
      <c r="O12" s="47" t="s">
        <v>56</v>
      </c>
      <c r="P12" s="31"/>
      <c r="Q12" s="31"/>
      <c r="R12" s="31"/>
      <c r="X12" s="30"/>
    </row>
    <row r="13" spans="1:29" s="233" customFormat="1" ht="35.1" customHeight="1">
      <c r="A13" s="224" t="str">
        <f t="shared" ref="A13:A27" si="0">IF(O13="IN",$E$7,"")</f>
        <v>L01</v>
      </c>
      <c r="B13" s="224" t="str">
        <f t="shared" ref="B13:B27" si="1">IF(O13="IN","Muc "&amp;$E$8,"")</f>
        <v>Muc 1.1</v>
      </c>
      <c r="C13" s="225" t="s">
        <v>14</v>
      </c>
      <c r="D13" s="226" t="s">
        <v>71</v>
      </c>
      <c r="E13" s="227"/>
      <c r="F13" s="227"/>
      <c r="G13" s="227"/>
      <c r="H13" s="227"/>
      <c r="I13" s="228"/>
      <c r="J13" s="229"/>
      <c r="K13" s="228"/>
      <c r="L13" s="230"/>
      <c r="M13" s="231"/>
      <c r="N13" s="232">
        <f>IF(O13="IN",$Q$3,"")</f>
        <v>1</v>
      </c>
      <c r="O13" s="232" t="str">
        <f t="shared" ref="O13:O27" si="2">IF(OR(C13&lt;&gt;"",D13&lt;&gt;""),"IN","")</f>
        <v>IN</v>
      </c>
      <c r="P13" s="110"/>
      <c r="Q13" s="232"/>
      <c r="R13" s="110"/>
      <c r="X13" s="43"/>
      <c r="Y13" s="43"/>
      <c r="AA13" s="43"/>
      <c r="AB13" s="43"/>
    </row>
    <row r="14" spans="1:29" s="244" customFormat="1" ht="39.950000000000003" customHeight="1">
      <c r="A14" s="234" t="str">
        <f t="shared" si="0"/>
        <v>L01</v>
      </c>
      <c r="B14" s="234" t="str">
        <f t="shared" si="1"/>
        <v>Muc 1.1</v>
      </c>
      <c r="C14" s="235">
        <v>1</v>
      </c>
      <c r="D14" s="236" t="s">
        <v>130</v>
      </c>
      <c r="E14" s="237">
        <v>25</v>
      </c>
      <c r="F14" s="237">
        <v>35</v>
      </c>
      <c r="G14" s="237" t="str">
        <f>IFERROR(IF((($K$6*2)+($L$6*2))&lt;0,0,($K$6*2)+($L$6*2)),"")</f>
        <v/>
      </c>
      <c r="H14" s="237" t="str">
        <f>IFERROR(2*K7,"")</f>
        <v/>
      </c>
      <c r="I14" s="236" t="s">
        <v>131</v>
      </c>
      <c r="J14" s="238"/>
      <c r="K14" s="239"/>
      <c r="L14" s="240" t="s">
        <v>132</v>
      </c>
      <c r="M14" s="241" t="str">
        <f>IFERROR(IF(OR(L14="Con",L14="Cụm",L14="Hệ"),H14,IF(L14="Thanh",(G14*H14/2400),IF(L14="Tấm",(F14*G14*H14)/(1220*2440),IF(L14="M2",F14*G14*H14/10^6,IF(L14="M3",E14*F14*G14*H14/10^9,0))))),"")</f>
        <v/>
      </c>
      <c r="N14" s="242">
        <f t="shared" ref="N14:N27" si="3">IF(O14="IN",$Q$3,"")</f>
        <v>1</v>
      </c>
      <c r="O14" s="242" t="str">
        <f t="shared" si="2"/>
        <v>IN</v>
      </c>
      <c r="P14" s="243"/>
      <c r="Q14" s="242"/>
      <c r="R14" s="243"/>
    </row>
    <row r="15" spans="1:29" s="244" customFormat="1" ht="39.950000000000003" customHeight="1">
      <c r="A15" s="234" t="str">
        <f t="shared" si="0"/>
        <v>L01</v>
      </c>
      <c r="B15" s="234" t="str">
        <f t="shared" si="1"/>
        <v>Muc 1.1</v>
      </c>
      <c r="C15" s="235">
        <v>2</v>
      </c>
      <c r="D15" s="245" t="s">
        <v>133</v>
      </c>
      <c r="E15" s="246">
        <v>25</v>
      </c>
      <c r="F15" s="237">
        <v>35</v>
      </c>
      <c r="G15" s="237" t="str">
        <f>IFERROR(IF($M$6-$F$14-$F$14&lt;0,0,$M$6-$F$14-$F$14),"")</f>
        <v/>
      </c>
      <c r="H15" s="237" t="str">
        <f>IFERROR(4*K7,"")</f>
        <v/>
      </c>
      <c r="I15" s="239" t="s">
        <v>131</v>
      </c>
      <c r="J15" s="238"/>
      <c r="K15" s="239"/>
      <c r="L15" s="240" t="s">
        <v>132</v>
      </c>
      <c r="M15" s="241" t="str">
        <f>IFERROR(IF(OR(L15="Con",L15="Cụm",L15="Hệ"),H15,IF(L15="Thanh",(G15*H15/2400),IF(L15="Tấm",(F15*G15*H15)/(1220*2440),IF(L15="M2",F15*G15*H15/10^6,IF(L15="M3",E15*F15*G15*H15/10^9,0))))),"")</f>
        <v/>
      </c>
      <c r="N15" s="242">
        <f t="shared" si="3"/>
        <v>1</v>
      </c>
      <c r="O15" s="242" t="str">
        <f t="shared" si="2"/>
        <v>IN</v>
      </c>
      <c r="P15" s="243"/>
      <c r="Q15" s="242"/>
      <c r="R15" s="243"/>
      <c r="X15" s="233"/>
      <c r="Y15" s="233"/>
      <c r="Z15" s="233"/>
    </row>
    <row r="16" spans="1:29" s="244" customFormat="1" ht="39.950000000000003" customHeight="1">
      <c r="A16" s="234" t="str">
        <f t="shared" si="0"/>
        <v>L01</v>
      </c>
      <c r="B16" s="234" t="str">
        <f t="shared" si="1"/>
        <v>Muc 1.1</v>
      </c>
      <c r="C16" s="235">
        <v>3</v>
      </c>
      <c r="D16" s="245" t="s">
        <v>134</v>
      </c>
      <c r="E16" s="246"/>
      <c r="F16" s="237"/>
      <c r="G16" s="237"/>
      <c r="H16" s="237"/>
      <c r="I16" s="239" t="s">
        <v>135</v>
      </c>
      <c r="J16" s="238"/>
      <c r="K16" s="239"/>
      <c r="L16" s="240" t="s">
        <v>136</v>
      </c>
      <c r="M16" s="241" t="str">
        <f>IFERROR(($K$6*$L$6*4+$L$6*$M$6*2)*10^-6*1.3/0.5*$K$7,"")</f>
        <v/>
      </c>
      <c r="N16" s="242">
        <f t="shared" si="3"/>
        <v>1</v>
      </c>
      <c r="O16" s="242" t="str">
        <f t="shared" si="2"/>
        <v>IN</v>
      </c>
      <c r="P16" s="243"/>
      <c r="Q16" s="242"/>
      <c r="R16" s="243"/>
      <c r="X16" s="233"/>
      <c r="Y16" s="233"/>
      <c r="Z16" s="233"/>
    </row>
    <row r="17" spans="1:26" s="244" customFormat="1" ht="39.950000000000003" customHeight="1">
      <c r="A17" s="234" t="str">
        <f t="shared" si="0"/>
        <v>L01</v>
      </c>
      <c r="B17" s="234" t="str">
        <f t="shared" si="1"/>
        <v>Muc 1.1</v>
      </c>
      <c r="C17" s="235">
        <v>4</v>
      </c>
      <c r="D17" s="245" t="s">
        <v>137</v>
      </c>
      <c r="E17" s="246"/>
      <c r="F17" s="237"/>
      <c r="G17" s="237"/>
      <c r="H17" s="237"/>
      <c r="I17" s="239" t="s">
        <v>138</v>
      </c>
      <c r="J17" s="238"/>
      <c r="K17" s="239"/>
      <c r="L17" s="240" t="s">
        <v>136</v>
      </c>
      <c r="M17" s="241" t="str">
        <f>IFERROR(($K$6*$L$6*4+$L$6*$M$6*2)*10^-6*1.3/1.2*$K$7,"")</f>
        <v/>
      </c>
      <c r="N17" s="242">
        <f t="shared" si="3"/>
        <v>1</v>
      </c>
      <c r="O17" s="242" t="str">
        <f t="shared" si="2"/>
        <v>IN</v>
      </c>
      <c r="P17" s="243"/>
      <c r="Q17" s="242"/>
      <c r="R17" s="243"/>
      <c r="X17" s="233"/>
      <c r="Y17" s="233"/>
      <c r="Z17" s="233"/>
    </row>
    <row r="18" spans="1:26" s="244" customFormat="1" ht="39.950000000000003" customHeight="1">
      <c r="A18" s="234" t="str">
        <f t="shared" si="0"/>
        <v>L01</v>
      </c>
      <c r="B18" s="234" t="str">
        <f t="shared" si="1"/>
        <v>Muc 1.1</v>
      </c>
      <c r="C18" s="235">
        <v>5</v>
      </c>
      <c r="D18" s="245" t="s">
        <v>139</v>
      </c>
      <c r="E18" s="246"/>
      <c r="F18" s="237"/>
      <c r="G18" s="237"/>
      <c r="H18" s="237"/>
      <c r="I18" s="239" t="s">
        <v>140</v>
      </c>
      <c r="J18" s="238"/>
      <c r="K18" s="239"/>
      <c r="L18" s="240" t="s">
        <v>136</v>
      </c>
      <c r="M18" s="241" t="str">
        <f>IFERROR(($K$6*2+$L$6*2+200*16)*10^-3*$K$7,"")</f>
        <v/>
      </c>
      <c r="N18" s="242">
        <f t="shared" si="3"/>
        <v>1</v>
      </c>
      <c r="O18" s="242" t="str">
        <f t="shared" si="2"/>
        <v>IN</v>
      </c>
      <c r="P18" s="243"/>
      <c r="Q18" s="242"/>
      <c r="R18" s="243"/>
      <c r="X18" s="233"/>
      <c r="Y18" s="233"/>
      <c r="Z18" s="233"/>
    </row>
    <row r="19" spans="1:26" s="244" customFormat="1" ht="39.950000000000003" hidden="1" customHeight="1">
      <c r="A19" s="234" t="str">
        <f t="shared" si="0"/>
        <v/>
      </c>
      <c r="B19" s="234" t="str">
        <f t="shared" si="1"/>
        <v/>
      </c>
      <c r="C19" s="235"/>
      <c r="D19" s="245"/>
      <c r="E19" s="246"/>
      <c r="F19" s="237"/>
      <c r="G19" s="237"/>
      <c r="H19" s="237"/>
      <c r="I19" s="239"/>
      <c r="J19" s="238"/>
      <c r="K19" s="239"/>
      <c r="L19" s="240"/>
      <c r="M19" s="241">
        <f t="shared" ref="M19:M26" si="4">IF(OR(L19="Con",L19="Cụm",L19="Hệ"),H19,IF(L19="Thanh",(G19*H19/2400),IF(L19="Tấm",(F19*G19*H19)/(1220*2440),IF(L19="Md",G19*H19/1000,IF(L19="M2",F19*G19*H19/10^6,IF(L19="M3",E19*F19*G19*H19/10^9,0))))))</f>
        <v>0</v>
      </c>
      <c r="N19" s="242" t="str">
        <f t="shared" si="3"/>
        <v/>
      </c>
      <c r="O19" s="242" t="str">
        <f t="shared" si="2"/>
        <v/>
      </c>
      <c r="P19" s="243"/>
      <c r="Q19" s="242"/>
      <c r="R19" s="243"/>
      <c r="X19" s="233"/>
      <c r="Y19" s="233"/>
      <c r="Z19" s="233"/>
    </row>
    <row r="20" spans="1:26" s="244" customFormat="1" ht="39.950000000000003" hidden="1" customHeight="1" thickBot="1">
      <c r="A20" s="234" t="str">
        <f t="shared" si="0"/>
        <v/>
      </c>
      <c r="B20" s="234" t="str">
        <f t="shared" si="1"/>
        <v/>
      </c>
      <c r="C20" s="235"/>
      <c r="D20" s="245"/>
      <c r="E20" s="246"/>
      <c r="F20" s="237"/>
      <c r="G20" s="237"/>
      <c r="H20" s="237"/>
      <c r="I20" s="239"/>
      <c r="J20" s="238"/>
      <c r="K20" s="239"/>
      <c r="L20" s="240"/>
      <c r="M20" s="241">
        <f t="shared" si="4"/>
        <v>0</v>
      </c>
      <c r="N20" s="242" t="str">
        <f t="shared" si="3"/>
        <v/>
      </c>
      <c r="O20" s="242" t="str">
        <f t="shared" si="2"/>
        <v/>
      </c>
      <c r="P20" s="243"/>
      <c r="Q20" s="242"/>
      <c r="R20" s="243"/>
      <c r="X20" s="233"/>
      <c r="Y20" s="233"/>
      <c r="Z20" s="233"/>
    </row>
    <row r="21" spans="1:26" s="244" customFormat="1" ht="39.950000000000003" hidden="1" customHeight="1" thickBot="1">
      <c r="A21" s="234" t="str">
        <f t="shared" si="0"/>
        <v/>
      </c>
      <c r="B21" s="234" t="str">
        <f t="shared" si="1"/>
        <v/>
      </c>
      <c r="C21" s="247"/>
      <c r="D21" s="245"/>
      <c r="E21" s="246"/>
      <c r="F21" s="237"/>
      <c r="G21" s="237"/>
      <c r="H21" s="237"/>
      <c r="I21" s="239"/>
      <c r="J21" s="238"/>
      <c r="K21" s="239"/>
      <c r="L21" s="240"/>
      <c r="M21" s="241">
        <f t="shared" si="4"/>
        <v>0</v>
      </c>
      <c r="N21" s="242" t="str">
        <f t="shared" si="3"/>
        <v/>
      </c>
      <c r="O21" s="242" t="str">
        <f t="shared" si="2"/>
        <v/>
      </c>
      <c r="P21" s="243"/>
      <c r="Q21" s="242"/>
      <c r="R21" s="243"/>
      <c r="X21" s="233"/>
      <c r="Y21" s="233"/>
      <c r="Z21" s="233"/>
    </row>
    <row r="22" spans="1:26" s="233" customFormat="1" ht="39.950000000000003" hidden="1" customHeight="1" thickBot="1">
      <c r="A22" s="224" t="str">
        <f t="shared" si="0"/>
        <v/>
      </c>
      <c r="B22" s="224" t="str">
        <f t="shared" si="1"/>
        <v/>
      </c>
      <c r="C22" s="237"/>
      <c r="D22" s="236"/>
      <c r="E22" s="237"/>
      <c r="F22" s="237"/>
      <c r="G22" s="237"/>
      <c r="H22" s="237"/>
      <c r="I22" s="236"/>
      <c r="J22" s="236"/>
      <c r="K22" s="239"/>
      <c r="L22" s="240"/>
      <c r="M22" s="241">
        <f t="shared" si="4"/>
        <v>0</v>
      </c>
      <c r="N22" s="232" t="str">
        <f t="shared" si="3"/>
        <v/>
      </c>
      <c r="O22" s="232" t="str">
        <f t="shared" si="2"/>
        <v/>
      </c>
      <c r="P22" s="110"/>
      <c r="Q22" s="232"/>
      <c r="R22" s="110"/>
    </row>
    <row r="23" spans="1:26" s="233" customFormat="1" ht="39.950000000000003" hidden="1" customHeight="1" thickBot="1">
      <c r="A23" s="224" t="str">
        <f t="shared" si="0"/>
        <v/>
      </c>
      <c r="B23" s="224" t="str">
        <f t="shared" si="1"/>
        <v/>
      </c>
      <c r="C23" s="248"/>
      <c r="D23" s="249"/>
      <c r="E23" s="248"/>
      <c r="F23" s="248"/>
      <c r="G23" s="248"/>
      <c r="H23" s="248"/>
      <c r="I23" s="249"/>
      <c r="J23" s="236"/>
      <c r="K23" s="239"/>
      <c r="L23" s="240"/>
      <c r="M23" s="241">
        <f t="shared" si="4"/>
        <v>0</v>
      </c>
      <c r="N23" s="232" t="str">
        <f t="shared" si="3"/>
        <v/>
      </c>
      <c r="O23" s="232" t="str">
        <f t="shared" si="2"/>
        <v/>
      </c>
      <c r="P23" s="110"/>
      <c r="Q23" s="232"/>
      <c r="R23" s="110"/>
    </row>
    <row r="24" spans="1:26" s="233" customFormat="1" ht="39.950000000000003" hidden="1" customHeight="1" thickBot="1">
      <c r="A24" s="224" t="str">
        <f t="shared" si="0"/>
        <v/>
      </c>
      <c r="B24" s="224" t="str">
        <f t="shared" si="1"/>
        <v/>
      </c>
      <c r="C24" s="237"/>
      <c r="D24" s="236"/>
      <c r="E24" s="237"/>
      <c r="F24" s="237"/>
      <c r="G24" s="237"/>
      <c r="H24" s="237"/>
      <c r="I24" s="236"/>
      <c r="J24" s="236"/>
      <c r="K24" s="239"/>
      <c r="L24" s="240"/>
      <c r="M24" s="241">
        <f t="shared" si="4"/>
        <v>0</v>
      </c>
      <c r="N24" s="232" t="str">
        <f t="shared" si="3"/>
        <v/>
      </c>
      <c r="O24" s="232" t="str">
        <f t="shared" si="2"/>
        <v/>
      </c>
      <c r="P24" s="110"/>
      <c r="Q24" s="232"/>
      <c r="R24" s="110"/>
    </row>
    <row r="25" spans="1:26" s="233" customFormat="1" ht="39.950000000000003" hidden="1" customHeight="1" thickBot="1">
      <c r="A25" s="224" t="str">
        <f t="shared" si="0"/>
        <v/>
      </c>
      <c r="B25" s="224" t="str">
        <f t="shared" si="1"/>
        <v/>
      </c>
      <c r="C25" s="248"/>
      <c r="D25" s="249"/>
      <c r="E25" s="248"/>
      <c r="F25" s="248"/>
      <c r="G25" s="248"/>
      <c r="H25" s="248"/>
      <c r="I25" s="249"/>
      <c r="J25" s="236"/>
      <c r="K25" s="239"/>
      <c r="L25" s="240"/>
      <c r="M25" s="241">
        <f t="shared" si="4"/>
        <v>0</v>
      </c>
      <c r="N25" s="232" t="str">
        <f t="shared" si="3"/>
        <v/>
      </c>
      <c r="O25" s="232" t="str">
        <f t="shared" si="2"/>
        <v/>
      </c>
      <c r="P25" s="110"/>
      <c r="Q25" s="232"/>
      <c r="R25" s="110"/>
    </row>
    <row r="26" spans="1:26" s="233" customFormat="1" ht="39.950000000000003" hidden="1" customHeight="1" thickBot="1">
      <c r="A26" s="224" t="str">
        <f t="shared" si="0"/>
        <v/>
      </c>
      <c r="B26" s="224" t="str">
        <f t="shared" si="1"/>
        <v/>
      </c>
      <c r="C26" s="248"/>
      <c r="D26" s="249"/>
      <c r="E26" s="248"/>
      <c r="F26" s="248"/>
      <c r="G26" s="248"/>
      <c r="H26" s="248"/>
      <c r="I26" s="249"/>
      <c r="J26" s="236"/>
      <c r="K26" s="239" t="s">
        <v>185</v>
      </c>
      <c r="L26" s="240"/>
      <c r="M26" s="241">
        <f t="shared" si="4"/>
        <v>0</v>
      </c>
      <c r="N26" s="232" t="str">
        <f t="shared" si="3"/>
        <v/>
      </c>
      <c r="O26" s="232" t="str">
        <f t="shared" si="2"/>
        <v/>
      </c>
      <c r="P26" s="110"/>
      <c r="Q26" s="232"/>
      <c r="R26" s="110"/>
    </row>
    <row r="27" spans="1:26" s="233" customFormat="1" ht="35.1" customHeight="1" thickBot="1">
      <c r="A27" s="224" t="str">
        <f t="shared" si="0"/>
        <v>L01</v>
      </c>
      <c r="B27" s="224" t="str">
        <f t="shared" si="1"/>
        <v>Muc 1.1</v>
      </c>
      <c r="C27" s="250"/>
      <c r="D27" s="251" t="s">
        <v>38</v>
      </c>
      <c r="E27" s="252"/>
      <c r="F27" s="252"/>
      <c r="G27" s="252"/>
      <c r="H27" s="252"/>
      <c r="I27" s="252"/>
      <c r="J27" s="253"/>
      <c r="K27" s="254"/>
      <c r="L27" s="255"/>
      <c r="M27" s="255"/>
      <c r="N27" s="232">
        <f t="shared" si="3"/>
        <v>1</v>
      </c>
      <c r="O27" s="232" t="str">
        <f t="shared" si="2"/>
        <v>IN</v>
      </c>
      <c r="P27" s="110"/>
      <c r="Q27" s="232"/>
      <c r="R27" s="110"/>
    </row>
    <row r="28" spans="1:26" ht="27" customHeight="1">
      <c r="D28" s="82" t="s">
        <v>45</v>
      </c>
      <c r="E28" s="34"/>
      <c r="F28" s="34"/>
      <c r="G28" s="34"/>
      <c r="H28" s="34"/>
      <c r="I28" s="34"/>
      <c r="J28" s="8"/>
      <c r="K28" s="34"/>
      <c r="L28" s="34"/>
      <c r="M28" s="34"/>
      <c r="N28" s="8"/>
      <c r="O28" s="69" t="s">
        <v>75</v>
      </c>
      <c r="P28" s="32"/>
      <c r="Q28" s="32"/>
      <c r="R28" s="32"/>
    </row>
    <row r="29" spans="1:26" ht="25.35" customHeight="1">
      <c r="C29" s="3"/>
      <c r="D29" s="35"/>
      <c r="E29" s="9"/>
      <c r="F29" s="36"/>
      <c r="G29" s="37"/>
      <c r="H29" s="36"/>
      <c r="I29" s="36"/>
      <c r="J29" s="11"/>
      <c r="K29" s="71" t="str">
        <f ca="1">"Ngày "&amp;DAY(NOW())&amp;" tháng "&amp;MONTH(NOW())&amp;" năm "&amp;YEAR(NOW())</f>
        <v>Ngày 17 tháng 6 năm 2026</v>
      </c>
      <c r="L29" s="8"/>
      <c r="M29" s="8"/>
      <c r="N29" s="11"/>
      <c r="O29" s="69" t="s">
        <v>75</v>
      </c>
      <c r="P29" s="32"/>
      <c r="Q29" s="32"/>
      <c r="R29" s="32"/>
    </row>
    <row r="30" spans="1:26" ht="25.35" customHeight="1">
      <c r="C30" s="3"/>
      <c r="D30" s="3"/>
      <c r="E30" s="9"/>
      <c r="F30" s="36"/>
      <c r="G30" s="71" t="s">
        <v>49</v>
      </c>
      <c r="H30" s="36"/>
      <c r="I30" s="36"/>
      <c r="J30" s="11"/>
      <c r="K30" s="71" t="s">
        <v>57</v>
      </c>
      <c r="L30" s="8"/>
      <c r="M30" s="8"/>
      <c r="N30" s="11"/>
      <c r="O30" s="69" t="s">
        <v>75</v>
      </c>
      <c r="P30" s="32"/>
      <c r="Q30" s="32"/>
      <c r="R30" s="32"/>
    </row>
    <row r="31" spans="1:26" ht="25.35" customHeight="1">
      <c r="C31" s="3"/>
      <c r="D31" s="3"/>
      <c r="E31" s="9"/>
      <c r="F31" s="36"/>
      <c r="G31" s="42"/>
      <c r="H31" s="36"/>
      <c r="I31" s="36"/>
      <c r="J31" s="11"/>
      <c r="K31" s="37"/>
      <c r="L31" s="8"/>
      <c r="M31" s="8"/>
      <c r="N31" s="11"/>
      <c r="O31" s="69" t="s">
        <v>75</v>
      </c>
      <c r="P31" s="32"/>
      <c r="Q31" s="32"/>
      <c r="R31" s="32"/>
    </row>
    <row r="32" spans="1:26" ht="25.35" customHeight="1">
      <c r="C32" s="3"/>
      <c r="D32" s="3"/>
      <c r="E32" s="9"/>
      <c r="F32" s="36"/>
      <c r="G32" s="42"/>
      <c r="H32" s="36"/>
      <c r="I32" s="36"/>
      <c r="J32" s="11"/>
      <c r="K32" s="37"/>
      <c r="L32" s="8"/>
      <c r="M32" s="8"/>
      <c r="N32" s="11"/>
      <c r="O32" s="69" t="s">
        <v>75</v>
      </c>
      <c r="P32" s="32"/>
      <c r="Q32" s="32"/>
      <c r="R32" s="32"/>
    </row>
    <row r="33" spans="3:18" ht="25.35" customHeight="1">
      <c r="C33" s="3"/>
      <c r="D33" s="3"/>
      <c r="E33" s="9"/>
      <c r="F33" s="36"/>
      <c r="G33" s="38"/>
      <c r="H33" s="36"/>
      <c r="I33" s="38"/>
      <c r="J33" s="11"/>
      <c r="K33" s="37"/>
      <c r="L33" s="8"/>
      <c r="M33" s="8"/>
      <c r="N33" s="11"/>
      <c r="O33" s="69" t="s">
        <v>75</v>
      </c>
      <c r="P33" s="32"/>
      <c r="Q33" s="32"/>
      <c r="R33" s="32"/>
    </row>
    <row r="34" spans="3:18" ht="25.35" customHeight="1">
      <c r="C34" s="3"/>
      <c r="D34" s="3"/>
      <c r="E34" s="9"/>
      <c r="F34" s="36"/>
      <c r="G34" s="37" t="s">
        <v>46</v>
      </c>
      <c r="H34" s="36"/>
      <c r="I34" s="40"/>
      <c r="J34" s="11"/>
      <c r="K34" s="37" t="str">
        <f>'BOM_Phan II'!P241</f>
        <v>Nguyễn Tân Hồng</v>
      </c>
      <c r="L34" s="8"/>
      <c r="M34" s="8"/>
      <c r="N34" s="11"/>
      <c r="O34" s="69" t="s">
        <v>75</v>
      </c>
      <c r="P34" s="32"/>
      <c r="Q34" s="32"/>
      <c r="R34" s="32"/>
    </row>
    <row r="35" spans="3:18" ht="25.35" customHeight="1">
      <c r="C35" s="3"/>
      <c r="D35" s="3"/>
      <c r="E35" s="9"/>
      <c r="F35" s="36"/>
      <c r="G35" s="37"/>
      <c r="H35" s="36"/>
      <c r="I35" s="36"/>
      <c r="J35" s="11"/>
      <c r="K35" s="36"/>
      <c r="L35" s="8"/>
      <c r="M35" s="8"/>
      <c r="N35" s="11"/>
    </row>
    <row r="36" spans="3:18" ht="25.35" customHeight="1">
      <c r="C36" s="43"/>
      <c r="D36" s="43"/>
      <c r="E36" s="9"/>
      <c r="F36" s="36"/>
      <c r="G36" s="37"/>
      <c r="H36" s="36"/>
      <c r="I36" s="36"/>
      <c r="J36" s="11"/>
      <c r="K36" s="36"/>
      <c r="L36" s="8"/>
      <c r="M36" s="8"/>
      <c r="N36" s="11"/>
    </row>
    <row r="37" spans="3:18" ht="25.35" customHeight="1">
      <c r="C37" s="3"/>
      <c r="D37" s="3"/>
      <c r="E37" s="9"/>
      <c r="F37" s="36"/>
      <c r="G37" s="37"/>
      <c r="H37" s="36"/>
      <c r="I37" s="36"/>
      <c r="J37" s="11"/>
      <c r="K37" s="36"/>
      <c r="L37" s="8"/>
      <c r="M37" s="8"/>
      <c r="N37" s="11"/>
    </row>
    <row r="38" spans="3:18" ht="25.35" customHeight="1">
      <c r="C38" s="3"/>
      <c r="D38" s="3"/>
      <c r="E38" s="9"/>
      <c r="F38" s="44"/>
      <c r="G38" s="99"/>
      <c r="H38" s="44"/>
      <c r="I38" s="8"/>
      <c r="J38" s="45"/>
      <c r="K38" s="44"/>
      <c r="L38" s="8"/>
      <c r="M38" s="8"/>
      <c r="N38" s="45"/>
    </row>
  </sheetData>
  <sheetProtection formatCells="0" formatColumns="0" formatRows="0" insertColumns="0" insertRows="0" insertHyperlinks="0" deleteColumns="0" deleteRows="0" sort="0" autoFilter="0" pivotTables="0"/>
  <autoFilter ref="C12:O34" xr:uid="{842A61C4-7B4F-41B1-8FE6-0A0C645AF4DB}">
    <filterColumn colId="12">
      <customFilters>
        <customFilter operator="notEqual" val=" "/>
      </customFilters>
    </filterColumn>
  </autoFilter>
  <mergeCells count="26">
    <mergeCell ref="C8:D8"/>
    <mergeCell ref="C1:E3"/>
    <mergeCell ref="F1:J3"/>
    <mergeCell ref="L1:M1"/>
    <mergeCell ref="P1:R2"/>
    <mergeCell ref="L2:M2"/>
    <mergeCell ref="L3:M3"/>
    <mergeCell ref="C4:D4"/>
    <mergeCell ref="C5:D6"/>
    <mergeCell ref="E5:I6"/>
    <mergeCell ref="J5:J6"/>
    <mergeCell ref="C7:D7"/>
    <mergeCell ref="A11:A12"/>
    <mergeCell ref="B11:B12"/>
    <mergeCell ref="C11:C12"/>
    <mergeCell ref="D11:D12"/>
    <mergeCell ref="E11:G11"/>
    <mergeCell ref="K11:K12"/>
    <mergeCell ref="L11:L12"/>
    <mergeCell ref="M11:M12"/>
    <mergeCell ref="N11:N12"/>
    <mergeCell ref="C9:D9"/>
    <mergeCell ref="C10:M10"/>
    <mergeCell ref="H11:H12"/>
    <mergeCell ref="I11:I12"/>
    <mergeCell ref="J11:J12"/>
  </mergeCells>
  <conditionalFormatting sqref="K14:L26">
    <cfRule type="expression" dxfId="27" priority="4">
      <formula>K14="LỖI DỮ LIỆU"</formula>
    </cfRule>
  </conditionalFormatting>
  <conditionalFormatting sqref="K14:M26">
    <cfRule type="cellIs" dxfId="26" priority="2" operator="equal">
      <formula>0</formula>
    </cfRule>
  </conditionalFormatting>
  <conditionalFormatting sqref="M14:M26">
    <cfRule type="cellIs" dxfId="25" priority="1" operator="equal">
      <formula>0</formula>
    </cfRule>
    <cfRule type="cellIs" dxfId="24" priority="3" operator="equal">
      <formula>0</formula>
    </cfRule>
  </conditionalFormatting>
  <dataValidations disablePrompts="1" count="3">
    <dataValidation type="list" allowBlank="1" showInputMessage="1" showErrorMessage="1" sqref="G34" xr:uid="{FF04885A-0623-41A8-8E9C-54606654FCDD}">
      <formula1>$Y$2:$Y$3</formula1>
    </dataValidation>
    <dataValidation type="list" allowBlank="1" showInputMessage="1" showErrorMessage="1" sqref="L27" xr:uid="{6E62AE8A-41F5-444F-92DD-315D42F498A1}">
      <formula1>$W$2:$W$10</formula1>
    </dataValidation>
    <dataValidation type="list" allowBlank="1" showInputMessage="1" showErrorMessage="1" sqref="L25:L26 L23" xr:uid="{7FB9F617-701F-4D1A-85A7-60AD67D97BA3}">
      <formula1>$Z$4:$Z$7</formula1>
    </dataValidation>
  </dataValidations>
  <printOptions horizontalCentered="1"/>
  <pageMargins left="0" right="0" top="0.25" bottom="0.25" header="0" footer="0"/>
  <pageSetup paperSize="9" scale="52" orientation="landscape" r:id="rId1"/>
  <headerFooter scaleWithDoc="0" alignWithMargins="0">
    <oddFooter>Page &amp;P of &amp;N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A48EA-18DB-4BFE-88CD-B496C3946AFB}">
  <sheetPr codeName="Sheet6" filterMode="1">
    <tabColor rgb="FFFFFF00"/>
  </sheetPr>
  <dimension ref="A1:AC38"/>
  <sheetViews>
    <sheetView view="pageBreakPreview" zoomScale="115" zoomScaleNormal="55" zoomScaleSheetLayoutView="115" workbookViewId="0">
      <pane ySplit="12" topLeftCell="A14" activePane="bottomLeft" state="frozen"/>
      <selection activeCell="Q4" sqref="Q4"/>
      <selection pane="bottomLeft" activeCell="Q4" sqref="Q4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81" customWidth="1"/>
    <col min="4" max="4" width="31.42578125" style="14" customWidth="1"/>
    <col min="5" max="5" width="7.42578125" style="14" customWidth="1"/>
    <col min="6" max="6" width="7.42578125" style="3" customWidth="1"/>
    <col min="7" max="7" width="14.42578125" style="3" customWidth="1"/>
    <col min="8" max="8" width="7.42578125" style="14" customWidth="1"/>
    <col min="9" max="9" width="33.85546875" style="16" customWidth="1"/>
    <col min="10" max="10" width="43.85546875" style="16" customWidth="1"/>
    <col min="11" max="11" width="25.140625" style="14" customWidth="1"/>
    <col min="12" max="13" width="10.42578125" style="15" customWidth="1"/>
    <col min="14" max="14" width="4.85546875" style="16" customWidth="1"/>
    <col min="15" max="18" width="8.85546875" style="3" customWidth="1"/>
    <col min="19" max="22" width="4.85546875" style="3"/>
    <col min="23" max="23" width="11.85546875" style="3" customWidth="1"/>
    <col min="24" max="24" width="20.7109375" style="3" hidden="1" customWidth="1"/>
    <col min="25" max="25" width="13.7109375" style="3" hidden="1" customWidth="1"/>
    <col min="26" max="26" width="22.140625" style="3" hidden="1" customWidth="1"/>
    <col min="27" max="28" width="0" style="3" hidden="1" customWidth="1"/>
    <col min="29" max="29" width="13.7109375" style="3" hidden="1" customWidth="1"/>
    <col min="30" max="16384" width="4.85546875" style="3"/>
  </cols>
  <sheetData>
    <row r="1" spans="1:29" ht="27.75" customHeight="1">
      <c r="C1" s="320"/>
      <c r="D1" s="321"/>
      <c r="E1" s="322"/>
      <c r="F1" s="329" t="s">
        <v>123</v>
      </c>
      <c r="G1" s="330"/>
      <c r="H1" s="330"/>
      <c r="I1" s="330"/>
      <c r="J1" s="331"/>
      <c r="K1" s="144" t="s">
        <v>29</v>
      </c>
      <c r="L1" s="338" t="s">
        <v>44</v>
      </c>
      <c r="M1" s="339"/>
      <c r="N1" s="110"/>
      <c r="P1" s="340" t="s">
        <v>67</v>
      </c>
      <c r="Q1" s="341"/>
      <c r="R1" s="342"/>
    </row>
    <row r="2" spans="1:29" ht="27.75" customHeight="1" thickBot="1">
      <c r="C2" s="323"/>
      <c r="D2" s="324"/>
      <c r="E2" s="325"/>
      <c r="F2" s="332"/>
      <c r="G2" s="333"/>
      <c r="H2" s="333"/>
      <c r="I2" s="333"/>
      <c r="J2" s="334"/>
      <c r="K2" s="27" t="s">
        <v>30</v>
      </c>
      <c r="L2" s="346"/>
      <c r="M2" s="347"/>
      <c r="N2" s="215"/>
      <c r="P2" s="343"/>
      <c r="Q2" s="344"/>
      <c r="R2" s="345"/>
      <c r="W2" s="216"/>
      <c r="X2" s="30" t="s">
        <v>124</v>
      </c>
      <c r="Y2" s="30" t="s">
        <v>66</v>
      </c>
      <c r="Z2" s="30"/>
      <c r="AA2" s="30"/>
      <c r="AB2" s="30"/>
    </row>
    <row r="3" spans="1:29" ht="27.75" customHeight="1" thickBot="1">
      <c r="C3" s="326"/>
      <c r="D3" s="327"/>
      <c r="E3" s="328"/>
      <c r="F3" s="335"/>
      <c r="G3" s="336"/>
      <c r="H3" s="336"/>
      <c r="I3" s="336"/>
      <c r="J3" s="337"/>
      <c r="K3" s="27" t="s">
        <v>31</v>
      </c>
      <c r="L3" s="346"/>
      <c r="M3" s="347"/>
      <c r="N3" s="217"/>
      <c r="P3" s="48"/>
      <c r="Q3" s="100">
        <f>'BOM_Phan II'!Y3</f>
        <v>1</v>
      </c>
      <c r="R3" s="48"/>
      <c r="W3" s="216"/>
      <c r="X3" s="30" t="s">
        <v>125</v>
      </c>
      <c r="Y3" s="30"/>
      <c r="Z3" s="30"/>
      <c r="AA3" s="30"/>
      <c r="AB3" s="30"/>
      <c r="AC3" s="3" t="s">
        <v>124</v>
      </c>
    </row>
    <row r="4" spans="1:29" ht="25.35" customHeight="1">
      <c r="C4" s="348" t="s">
        <v>25</v>
      </c>
      <c r="D4" s="349"/>
      <c r="E4" s="102" t="str">
        <f>'BOM_Phan II'!E4</f>
        <v>LAGOME_BURNLEY MALTINGS</v>
      </c>
      <c r="F4" s="92"/>
      <c r="G4" s="92"/>
      <c r="H4" s="92"/>
      <c r="I4" s="92"/>
      <c r="J4" s="128" t="s">
        <v>24</v>
      </c>
      <c r="K4" s="218" t="str">
        <f>'BOM_Phan II'!P4</f>
        <v>2573_LAGOME_CT07</v>
      </c>
      <c r="L4" s="219"/>
      <c r="M4" s="219"/>
      <c r="N4" s="220"/>
      <c r="W4" s="216"/>
      <c r="X4" s="30" t="s">
        <v>86</v>
      </c>
      <c r="Y4" s="30"/>
      <c r="Z4" s="30" t="s">
        <v>76</v>
      </c>
      <c r="AA4" s="30"/>
      <c r="AB4" s="30"/>
      <c r="AC4" s="3" t="s">
        <v>125</v>
      </c>
    </row>
    <row r="5" spans="1:29" ht="25.35" customHeight="1">
      <c r="C5" s="350" t="s">
        <v>28</v>
      </c>
      <c r="D5" s="351"/>
      <c r="E5" s="354" t="str">
        <f>'BOM_Phan II'!E5</f>
        <v>Laundry_ (TH 11)</v>
      </c>
      <c r="F5" s="355"/>
      <c r="G5" s="355"/>
      <c r="H5" s="355"/>
      <c r="I5" s="356"/>
      <c r="J5" s="360" t="s">
        <v>27</v>
      </c>
      <c r="K5" s="221" t="s">
        <v>126</v>
      </c>
      <c r="L5" s="221" t="s">
        <v>127</v>
      </c>
      <c r="M5" s="221" t="s">
        <v>128</v>
      </c>
      <c r="N5" s="220"/>
      <c r="W5" s="216"/>
      <c r="X5" s="30" t="s">
        <v>64</v>
      </c>
      <c r="Y5" s="30"/>
      <c r="Z5" s="30" t="s">
        <v>77</v>
      </c>
      <c r="AA5" s="30"/>
      <c r="AB5" s="30"/>
      <c r="AC5" s="3" t="s">
        <v>86</v>
      </c>
    </row>
    <row r="6" spans="1:29" ht="25.35" customHeight="1">
      <c r="C6" s="352"/>
      <c r="D6" s="353"/>
      <c r="E6" s="357"/>
      <c r="F6" s="358"/>
      <c r="G6" s="358"/>
      <c r="H6" s="358"/>
      <c r="I6" s="359"/>
      <c r="J6" s="361"/>
      <c r="K6" s="221" t="str">
        <f>IFERROR(IF('BOM_Phan IV'!T13=1,AVERAGE('BOM_Phan IV'!M13:M1400),""),"")</f>
        <v/>
      </c>
      <c r="L6" s="221" t="str">
        <f>IFERROR(IF('BOM_Phan IV'!T13=1,AVERAGE('BOM_Phan IV'!L13:L1400),""),"")</f>
        <v/>
      </c>
      <c r="M6" s="221" t="str">
        <f>IFERROR(IF('BOM_Phan IV'!T13=1,AVERAGE('BOM_Phan IV'!K13:K1400),""),"")</f>
        <v/>
      </c>
      <c r="N6" s="220"/>
      <c r="W6" s="216"/>
      <c r="X6" s="30" t="s">
        <v>64</v>
      </c>
      <c r="Y6" s="30"/>
      <c r="Z6" s="30" t="s">
        <v>77</v>
      </c>
      <c r="AA6" s="30"/>
      <c r="AB6" s="30"/>
      <c r="AC6" s="3" t="s">
        <v>86</v>
      </c>
    </row>
    <row r="7" spans="1:29" ht="25.35" customHeight="1">
      <c r="C7" s="318" t="s">
        <v>23</v>
      </c>
      <c r="D7" s="319"/>
      <c r="E7" s="95" t="str">
        <f>'BOM_Phan II'!E6</f>
        <v>L01</v>
      </c>
      <c r="F7" s="94"/>
      <c r="G7" s="94"/>
      <c r="H7" s="94"/>
      <c r="I7" s="94"/>
      <c r="J7" s="127" t="s">
        <v>26</v>
      </c>
      <c r="K7" s="222" t="str">
        <f>IF(K6&lt;&gt;"",SUM('BOM_Phan IV'!N13:N1400),"")</f>
        <v/>
      </c>
      <c r="L7" s="223"/>
      <c r="M7" s="223"/>
      <c r="N7" s="220"/>
      <c r="W7" s="216"/>
      <c r="X7" s="30" t="s">
        <v>65</v>
      </c>
      <c r="Y7" s="30"/>
      <c r="Z7" s="30"/>
      <c r="AA7" s="30"/>
      <c r="AB7" s="30"/>
      <c r="AC7" s="3" t="s">
        <v>64</v>
      </c>
    </row>
    <row r="8" spans="1:29" ht="25.35" customHeight="1">
      <c r="C8" s="318" t="s">
        <v>21</v>
      </c>
      <c r="D8" s="319"/>
      <c r="E8" s="95">
        <f>'BOM_Phan II'!E7</f>
        <v>1.1000000000000001</v>
      </c>
      <c r="F8" s="94"/>
      <c r="G8" s="94"/>
      <c r="H8" s="94"/>
      <c r="I8" s="94"/>
      <c r="J8" s="127" t="s">
        <v>34</v>
      </c>
      <c r="K8" s="95" t="str">
        <f>'BOM_Phan II'!P7</f>
        <v>Theo module và giao rời</v>
      </c>
      <c r="L8" s="124"/>
      <c r="M8" s="124"/>
      <c r="N8" s="220"/>
      <c r="P8" s="46"/>
      <c r="W8" s="216"/>
      <c r="X8" s="30" t="s">
        <v>66</v>
      </c>
      <c r="Y8" s="30"/>
      <c r="Z8" s="30"/>
      <c r="AA8" s="30"/>
      <c r="AB8" s="30"/>
      <c r="AC8" s="3" t="s">
        <v>65</v>
      </c>
    </row>
    <row r="9" spans="1:29" ht="25.35" customHeight="1">
      <c r="C9" s="304" t="s">
        <v>9</v>
      </c>
      <c r="D9" s="305"/>
      <c r="E9" s="104" t="str">
        <f>'BOM_Phan II'!E8</f>
        <v xml:space="preserve">PB E1 chống ẩm 2M Melamine MEL1: MS 024T
</v>
      </c>
      <c r="F9" s="98"/>
      <c r="G9" s="98"/>
      <c r="H9" s="98"/>
      <c r="I9" s="98"/>
      <c r="J9" s="129" t="s">
        <v>22</v>
      </c>
      <c r="K9" s="104" t="str">
        <f>'BOM_Phan II'!P8</f>
        <v>MEL01,Đồng màu MEL1</v>
      </c>
      <c r="L9" s="126"/>
      <c r="M9" s="126"/>
      <c r="N9" s="220"/>
      <c r="W9" s="216"/>
      <c r="X9" s="30" t="s">
        <v>129</v>
      </c>
      <c r="Y9" s="30"/>
      <c r="Z9" s="30"/>
      <c r="AA9" s="30"/>
      <c r="AB9" s="30"/>
      <c r="AC9" s="3" t="s">
        <v>66</v>
      </c>
    </row>
    <row r="10" spans="1:29" ht="23.25" customHeight="1" thickBot="1">
      <c r="C10" s="306"/>
      <c r="D10" s="307"/>
      <c r="E10" s="307"/>
      <c r="F10" s="307"/>
      <c r="G10" s="307"/>
      <c r="H10" s="307"/>
      <c r="I10" s="307"/>
      <c r="J10" s="307"/>
      <c r="K10" s="308"/>
      <c r="L10" s="308"/>
      <c r="M10" s="308"/>
      <c r="N10" s="14"/>
      <c r="W10" s="216"/>
      <c r="X10" s="30"/>
      <c r="Y10" s="30"/>
      <c r="Z10" s="30"/>
      <c r="AA10" s="30"/>
      <c r="AB10" s="30"/>
      <c r="AC10" s="3" t="s">
        <v>88</v>
      </c>
    </row>
    <row r="11" spans="1:29" ht="33" customHeight="1">
      <c r="A11" s="313" t="s">
        <v>73</v>
      </c>
      <c r="B11" s="314" t="s">
        <v>74</v>
      </c>
      <c r="C11" s="315" t="s">
        <v>10</v>
      </c>
      <c r="D11" s="309" t="s">
        <v>43</v>
      </c>
      <c r="E11" s="317" t="s">
        <v>1</v>
      </c>
      <c r="F11" s="309"/>
      <c r="G11" s="309"/>
      <c r="H11" s="309" t="s">
        <v>0</v>
      </c>
      <c r="I11" s="309" t="s">
        <v>62</v>
      </c>
      <c r="J11" s="311" t="s">
        <v>69</v>
      </c>
      <c r="K11" s="297" t="s">
        <v>61</v>
      </c>
      <c r="L11" s="299" t="s">
        <v>47</v>
      </c>
      <c r="M11" s="301" t="s">
        <v>48</v>
      </c>
      <c r="N11" s="303" t="s">
        <v>78</v>
      </c>
      <c r="X11" s="30"/>
    </row>
    <row r="12" spans="1:29" ht="41.1" customHeight="1">
      <c r="A12" s="313"/>
      <c r="B12" s="314"/>
      <c r="C12" s="316"/>
      <c r="D12" s="310"/>
      <c r="E12" s="101" t="s">
        <v>18</v>
      </c>
      <c r="F12" s="101" t="s">
        <v>19</v>
      </c>
      <c r="G12" s="101" t="s">
        <v>20</v>
      </c>
      <c r="H12" s="310"/>
      <c r="I12" s="310"/>
      <c r="J12" s="312"/>
      <c r="K12" s="298"/>
      <c r="L12" s="300"/>
      <c r="M12" s="302"/>
      <c r="N12" s="303"/>
      <c r="O12" s="47" t="s">
        <v>56</v>
      </c>
      <c r="P12" s="31"/>
      <c r="Q12" s="31"/>
      <c r="R12" s="31"/>
      <c r="X12" s="30"/>
    </row>
    <row r="13" spans="1:29" s="233" customFormat="1" ht="35.1" customHeight="1">
      <c r="A13" s="224" t="str">
        <f t="shared" ref="A13:A27" si="0">IF(O13="IN",$E$7,"")</f>
        <v>L01</v>
      </c>
      <c r="B13" s="224" t="str">
        <f t="shared" ref="B13:B27" si="1">IF(O13="IN","Muc "&amp;$E$8,"")</f>
        <v>Muc 1.1</v>
      </c>
      <c r="C13" s="225" t="s">
        <v>14</v>
      </c>
      <c r="D13" s="226" t="s">
        <v>71</v>
      </c>
      <c r="E13" s="227"/>
      <c r="F13" s="227"/>
      <c r="G13" s="227"/>
      <c r="H13" s="227"/>
      <c r="I13" s="228"/>
      <c r="J13" s="229"/>
      <c r="K13" s="228"/>
      <c r="L13" s="230"/>
      <c r="M13" s="231"/>
      <c r="N13" s="232">
        <f>IF(O13="IN",$Q$3,"")</f>
        <v>1</v>
      </c>
      <c r="O13" s="232" t="str">
        <f t="shared" ref="O13:O27" si="2">IF(OR(C13&lt;&gt;"",D13&lt;&gt;""),"IN","")</f>
        <v>IN</v>
      </c>
      <c r="P13" s="110"/>
      <c r="Q13" s="232"/>
      <c r="R13" s="110"/>
      <c r="X13" s="43"/>
      <c r="Y13" s="43"/>
      <c r="AA13" s="43"/>
      <c r="AB13" s="43"/>
    </row>
    <row r="14" spans="1:29" s="244" customFormat="1" ht="39.950000000000003" customHeight="1">
      <c r="A14" s="234" t="str">
        <f t="shared" si="0"/>
        <v>L01</v>
      </c>
      <c r="B14" s="234" t="str">
        <f t="shared" si="1"/>
        <v>Muc 1.1</v>
      </c>
      <c r="C14" s="235">
        <v>1</v>
      </c>
      <c r="D14" s="236" t="s">
        <v>130</v>
      </c>
      <c r="E14" s="237">
        <v>25</v>
      </c>
      <c r="F14" s="237">
        <v>35</v>
      </c>
      <c r="G14" s="237" t="str">
        <f>IFERROR(IF((($K$6*2)+($L$6*2))&lt;0,0,($K$6*2)+($L$6*2)),"")</f>
        <v/>
      </c>
      <c r="H14" s="237" t="str">
        <f>IFERROR(2*K7,"")</f>
        <v/>
      </c>
      <c r="I14" s="236" t="s">
        <v>131</v>
      </c>
      <c r="J14" s="238"/>
      <c r="K14" s="239"/>
      <c r="L14" s="240" t="s">
        <v>132</v>
      </c>
      <c r="M14" s="241" t="str">
        <f>IFERROR(IF(OR(L14="Con",L14="Cụm",L14="Hệ"),H14,IF(L14="Thanh",(G14*H14/2400),IF(L14="Tấm",(F14*G14*H14)/(1220*2440),IF(L14="M2",F14*G14*H14/10^6,IF(L14="M3",E14*F14*G14*H14/10^9,0))))),"")</f>
        <v/>
      </c>
      <c r="N14" s="242">
        <f t="shared" ref="N14:N27" si="3">IF(O14="IN",$Q$3,"")</f>
        <v>1</v>
      </c>
      <c r="O14" s="242" t="str">
        <f t="shared" si="2"/>
        <v>IN</v>
      </c>
      <c r="P14" s="243"/>
      <c r="Q14" s="242"/>
      <c r="R14" s="243"/>
    </row>
    <row r="15" spans="1:29" s="244" customFormat="1" ht="39.950000000000003" customHeight="1">
      <c r="A15" s="234" t="str">
        <f t="shared" si="0"/>
        <v>L01</v>
      </c>
      <c r="B15" s="234" t="str">
        <f t="shared" si="1"/>
        <v>Muc 1.1</v>
      </c>
      <c r="C15" s="235">
        <v>2</v>
      </c>
      <c r="D15" s="245" t="s">
        <v>133</v>
      </c>
      <c r="E15" s="246">
        <v>25</v>
      </c>
      <c r="F15" s="237">
        <v>35</v>
      </c>
      <c r="G15" s="237" t="str">
        <f>IFERROR(IF($M$6-$F$14-$F$14&lt;0,0,$M$6-$F$14-$F$14),"")</f>
        <v/>
      </c>
      <c r="H15" s="237" t="str">
        <f>IFERROR(4*K7,"")</f>
        <v/>
      </c>
      <c r="I15" s="239" t="s">
        <v>131</v>
      </c>
      <c r="J15" s="238"/>
      <c r="K15" s="239"/>
      <c r="L15" s="240" t="s">
        <v>132</v>
      </c>
      <c r="M15" s="241" t="str">
        <f>IFERROR(IF(OR(L15="Con",L15="Cụm",L15="Hệ"),H15,IF(L15="Thanh",(G15*H15/2400),IF(L15="Tấm",(F15*G15*H15)/(1220*2440),IF(L15="M2",F15*G15*H15/10^6,IF(L15="M3",E15*F15*G15*H15/10^9,0))))),"")</f>
        <v/>
      </c>
      <c r="N15" s="242">
        <f t="shared" si="3"/>
        <v>1</v>
      </c>
      <c r="O15" s="242" t="str">
        <f t="shared" si="2"/>
        <v>IN</v>
      </c>
      <c r="P15" s="243"/>
      <c r="Q15" s="242"/>
      <c r="R15" s="243"/>
      <c r="X15" s="233"/>
      <c r="Y15" s="233"/>
      <c r="Z15" s="233"/>
    </row>
    <row r="16" spans="1:29" s="244" customFormat="1" ht="39.950000000000003" customHeight="1">
      <c r="A16" s="234" t="str">
        <f t="shared" si="0"/>
        <v>L01</v>
      </c>
      <c r="B16" s="234" t="str">
        <f t="shared" si="1"/>
        <v>Muc 1.1</v>
      </c>
      <c r="C16" s="235">
        <v>3</v>
      </c>
      <c r="D16" s="245" t="s">
        <v>134</v>
      </c>
      <c r="E16" s="246"/>
      <c r="F16" s="237"/>
      <c r="G16" s="237"/>
      <c r="H16" s="237"/>
      <c r="I16" s="239" t="s">
        <v>135</v>
      </c>
      <c r="J16" s="238"/>
      <c r="K16" s="239"/>
      <c r="L16" s="240" t="s">
        <v>136</v>
      </c>
      <c r="M16" s="241" t="str">
        <f>IFERROR(($K$6*$L$6*4+$L$6*$M$6*2)*10^-6*1.3/0.5*$K$7,"")</f>
        <v/>
      </c>
      <c r="N16" s="242">
        <f t="shared" si="3"/>
        <v>1</v>
      </c>
      <c r="O16" s="242" t="str">
        <f t="shared" si="2"/>
        <v>IN</v>
      </c>
      <c r="P16" s="243"/>
      <c r="Q16" s="242"/>
      <c r="R16" s="243"/>
      <c r="X16" s="233"/>
      <c r="Y16" s="233"/>
      <c r="Z16" s="233"/>
    </row>
    <row r="17" spans="1:26" s="244" customFormat="1" ht="39.950000000000003" customHeight="1">
      <c r="A17" s="234" t="str">
        <f t="shared" si="0"/>
        <v>L01</v>
      </c>
      <c r="B17" s="234" t="str">
        <f t="shared" si="1"/>
        <v>Muc 1.1</v>
      </c>
      <c r="C17" s="235">
        <v>4</v>
      </c>
      <c r="D17" s="245" t="s">
        <v>137</v>
      </c>
      <c r="E17" s="246"/>
      <c r="F17" s="237"/>
      <c r="G17" s="237"/>
      <c r="H17" s="237"/>
      <c r="I17" s="239" t="s">
        <v>138</v>
      </c>
      <c r="J17" s="238"/>
      <c r="K17" s="239"/>
      <c r="L17" s="240" t="s">
        <v>136</v>
      </c>
      <c r="M17" s="241" t="str">
        <f>IFERROR(($K$6*$L$6*4+$L$6*$M$6*2)*10^-6*1.3/1.2*$K$7,"")</f>
        <v/>
      </c>
      <c r="N17" s="242">
        <f t="shared" si="3"/>
        <v>1</v>
      </c>
      <c r="O17" s="242" t="str">
        <f t="shared" si="2"/>
        <v>IN</v>
      </c>
      <c r="P17" s="243"/>
      <c r="Q17" s="242"/>
      <c r="R17" s="243"/>
      <c r="X17" s="233"/>
      <c r="Y17" s="233"/>
      <c r="Z17" s="233"/>
    </row>
    <row r="18" spans="1:26" s="244" customFormat="1" ht="39.950000000000003" customHeight="1">
      <c r="A18" s="234" t="str">
        <f t="shared" si="0"/>
        <v>L01</v>
      </c>
      <c r="B18" s="234" t="str">
        <f t="shared" si="1"/>
        <v>Muc 1.1</v>
      </c>
      <c r="C18" s="235">
        <v>5</v>
      </c>
      <c r="D18" s="245" t="s">
        <v>139</v>
      </c>
      <c r="E18" s="246"/>
      <c r="F18" s="237"/>
      <c r="G18" s="237"/>
      <c r="H18" s="237"/>
      <c r="I18" s="239" t="s">
        <v>140</v>
      </c>
      <c r="J18" s="238"/>
      <c r="K18" s="239"/>
      <c r="L18" s="240" t="s">
        <v>136</v>
      </c>
      <c r="M18" s="241" t="str">
        <f>IFERROR(($K$6*2+$L$6*2+200*16)*10^-3*$K$7,"")</f>
        <v/>
      </c>
      <c r="N18" s="242">
        <f t="shared" si="3"/>
        <v>1</v>
      </c>
      <c r="O18" s="242" t="str">
        <f t="shared" si="2"/>
        <v>IN</v>
      </c>
      <c r="P18" s="243"/>
      <c r="Q18" s="242"/>
      <c r="R18" s="243"/>
      <c r="X18" s="233"/>
      <c r="Y18" s="233"/>
      <c r="Z18" s="233"/>
    </row>
    <row r="19" spans="1:26" s="244" customFormat="1" ht="39.950000000000003" hidden="1" customHeight="1">
      <c r="A19" s="234" t="str">
        <f t="shared" si="0"/>
        <v/>
      </c>
      <c r="B19" s="234" t="str">
        <f t="shared" si="1"/>
        <v/>
      </c>
      <c r="C19" s="235"/>
      <c r="D19" s="245"/>
      <c r="E19" s="246"/>
      <c r="F19" s="237"/>
      <c r="G19" s="237"/>
      <c r="H19" s="237"/>
      <c r="I19" s="239"/>
      <c r="J19" s="238"/>
      <c r="K19" s="239"/>
      <c r="L19" s="240"/>
      <c r="M19" s="241">
        <f t="shared" ref="M19:M26" si="4">IF(OR(L19="Con",L19="Cụm",L19="Hệ"),H19,IF(L19="Thanh",(G19*H19/2400),IF(L19="Tấm",(F19*G19*H19)/(1220*2440),IF(L19="Md",G19*H19/1000,IF(L19="M2",F19*G19*H19/10^6,IF(L19="M3",E19*F19*G19*H19/10^9,0))))))</f>
        <v>0</v>
      </c>
      <c r="N19" s="242" t="str">
        <f t="shared" si="3"/>
        <v/>
      </c>
      <c r="O19" s="242" t="str">
        <f t="shared" si="2"/>
        <v/>
      </c>
      <c r="P19" s="243"/>
      <c r="Q19" s="242"/>
      <c r="R19" s="243"/>
      <c r="X19" s="233"/>
      <c r="Y19" s="233"/>
      <c r="Z19" s="233"/>
    </row>
    <row r="20" spans="1:26" s="244" customFormat="1" ht="39.950000000000003" hidden="1" customHeight="1" thickBot="1">
      <c r="A20" s="234" t="str">
        <f t="shared" si="0"/>
        <v/>
      </c>
      <c r="B20" s="234" t="str">
        <f t="shared" si="1"/>
        <v/>
      </c>
      <c r="C20" s="235"/>
      <c r="D20" s="245"/>
      <c r="E20" s="246"/>
      <c r="F20" s="237"/>
      <c r="G20" s="237"/>
      <c r="H20" s="237"/>
      <c r="I20" s="239"/>
      <c r="J20" s="238"/>
      <c r="K20" s="239"/>
      <c r="L20" s="240"/>
      <c r="M20" s="241">
        <f t="shared" si="4"/>
        <v>0</v>
      </c>
      <c r="N20" s="242" t="str">
        <f t="shared" si="3"/>
        <v/>
      </c>
      <c r="O20" s="242" t="str">
        <f t="shared" si="2"/>
        <v/>
      </c>
      <c r="P20" s="243"/>
      <c r="Q20" s="242"/>
      <c r="R20" s="243"/>
      <c r="X20" s="233"/>
      <c r="Y20" s="233"/>
      <c r="Z20" s="233"/>
    </row>
    <row r="21" spans="1:26" s="244" customFormat="1" ht="39.950000000000003" hidden="1" customHeight="1" thickBot="1">
      <c r="A21" s="234" t="str">
        <f t="shared" si="0"/>
        <v/>
      </c>
      <c r="B21" s="234" t="str">
        <f t="shared" si="1"/>
        <v/>
      </c>
      <c r="C21" s="247"/>
      <c r="D21" s="245"/>
      <c r="E21" s="246"/>
      <c r="F21" s="237"/>
      <c r="G21" s="237"/>
      <c r="H21" s="237"/>
      <c r="I21" s="239"/>
      <c r="J21" s="238"/>
      <c r="K21" s="239"/>
      <c r="L21" s="240"/>
      <c r="M21" s="241">
        <f t="shared" si="4"/>
        <v>0</v>
      </c>
      <c r="N21" s="242" t="str">
        <f t="shared" si="3"/>
        <v/>
      </c>
      <c r="O21" s="242" t="str">
        <f t="shared" si="2"/>
        <v/>
      </c>
      <c r="P21" s="243"/>
      <c r="Q21" s="242"/>
      <c r="R21" s="243"/>
      <c r="X21" s="233"/>
      <c r="Y21" s="233"/>
      <c r="Z21" s="233"/>
    </row>
    <row r="22" spans="1:26" s="233" customFormat="1" ht="39.950000000000003" hidden="1" customHeight="1" thickBot="1">
      <c r="A22" s="224" t="str">
        <f t="shared" si="0"/>
        <v/>
      </c>
      <c r="B22" s="224" t="str">
        <f t="shared" si="1"/>
        <v/>
      </c>
      <c r="C22" s="237"/>
      <c r="D22" s="236"/>
      <c r="E22" s="237"/>
      <c r="F22" s="237"/>
      <c r="G22" s="237"/>
      <c r="H22" s="237"/>
      <c r="I22" s="236"/>
      <c r="J22" s="236"/>
      <c r="K22" s="239"/>
      <c r="L22" s="240"/>
      <c r="M22" s="241">
        <f t="shared" si="4"/>
        <v>0</v>
      </c>
      <c r="N22" s="232" t="str">
        <f t="shared" si="3"/>
        <v/>
      </c>
      <c r="O22" s="232" t="str">
        <f t="shared" si="2"/>
        <v/>
      </c>
      <c r="P22" s="110"/>
      <c r="Q22" s="232"/>
      <c r="R22" s="110"/>
    </row>
    <row r="23" spans="1:26" s="233" customFormat="1" ht="39.950000000000003" hidden="1" customHeight="1" thickBot="1">
      <c r="A23" s="224" t="str">
        <f t="shared" si="0"/>
        <v/>
      </c>
      <c r="B23" s="224" t="str">
        <f t="shared" si="1"/>
        <v/>
      </c>
      <c r="C23" s="248"/>
      <c r="D23" s="249"/>
      <c r="E23" s="248"/>
      <c r="F23" s="248"/>
      <c r="G23" s="248"/>
      <c r="H23" s="248"/>
      <c r="I23" s="249"/>
      <c r="J23" s="236"/>
      <c r="K23" s="239"/>
      <c r="L23" s="240"/>
      <c r="M23" s="241">
        <f t="shared" si="4"/>
        <v>0</v>
      </c>
      <c r="N23" s="232" t="str">
        <f t="shared" si="3"/>
        <v/>
      </c>
      <c r="O23" s="232" t="str">
        <f t="shared" si="2"/>
        <v/>
      </c>
      <c r="P23" s="110"/>
      <c r="Q23" s="232"/>
      <c r="R23" s="110"/>
    </row>
    <row r="24" spans="1:26" s="233" customFormat="1" ht="39.950000000000003" hidden="1" customHeight="1" thickBot="1">
      <c r="A24" s="224" t="str">
        <f t="shared" si="0"/>
        <v/>
      </c>
      <c r="B24" s="224" t="str">
        <f t="shared" si="1"/>
        <v/>
      </c>
      <c r="C24" s="237"/>
      <c r="D24" s="236"/>
      <c r="E24" s="237"/>
      <c r="F24" s="237"/>
      <c r="G24" s="237"/>
      <c r="H24" s="237"/>
      <c r="I24" s="236"/>
      <c r="J24" s="236"/>
      <c r="K24" s="239"/>
      <c r="L24" s="240"/>
      <c r="M24" s="241">
        <f t="shared" si="4"/>
        <v>0</v>
      </c>
      <c r="N24" s="232" t="str">
        <f t="shared" si="3"/>
        <v/>
      </c>
      <c r="O24" s="232" t="str">
        <f t="shared" si="2"/>
        <v/>
      </c>
      <c r="P24" s="110"/>
      <c r="Q24" s="232"/>
      <c r="R24" s="110"/>
    </row>
    <row r="25" spans="1:26" s="233" customFormat="1" ht="39.950000000000003" hidden="1" customHeight="1" thickBot="1">
      <c r="A25" s="224" t="str">
        <f t="shared" si="0"/>
        <v/>
      </c>
      <c r="B25" s="224" t="str">
        <f t="shared" si="1"/>
        <v/>
      </c>
      <c r="C25" s="248"/>
      <c r="D25" s="249"/>
      <c r="E25" s="248"/>
      <c r="F25" s="248"/>
      <c r="G25" s="248"/>
      <c r="H25" s="248"/>
      <c r="I25" s="249"/>
      <c r="J25" s="236"/>
      <c r="K25" s="239"/>
      <c r="L25" s="240"/>
      <c r="M25" s="241">
        <f t="shared" si="4"/>
        <v>0</v>
      </c>
      <c r="N25" s="232" t="str">
        <f t="shared" si="3"/>
        <v/>
      </c>
      <c r="O25" s="232" t="str">
        <f t="shared" si="2"/>
        <v/>
      </c>
      <c r="P25" s="110"/>
      <c r="Q25" s="232"/>
      <c r="R25" s="110"/>
    </row>
    <row r="26" spans="1:26" s="233" customFormat="1" ht="39.950000000000003" hidden="1" customHeight="1" thickBot="1">
      <c r="A26" s="224" t="str">
        <f t="shared" si="0"/>
        <v/>
      </c>
      <c r="B26" s="224" t="str">
        <f t="shared" si="1"/>
        <v/>
      </c>
      <c r="C26" s="248"/>
      <c r="D26" s="249"/>
      <c r="E26" s="248"/>
      <c r="F26" s="248"/>
      <c r="G26" s="248"/>
      <c r="H26" s="248"/>
      <c r="I26" s="249"/>
      <c r="J26" s="236"/>
      <c r="K26" s="239" t="s">
        <v>185</v>
      </c>
      <c r="L26" s="240"/>
      <c r="M26" s="241">
        <f t="shared" si="4"/>
        <v>0</v>
      </c>
      <c r="N26" s="232" t="str">
        <f t="shared" si="3"/>
        <v/>
      </c>
      <c r="O26" s="232" t="str">
        <f t="shared" si="2"/>
        <v/>
      </c>
      <c r="P26" s="110"/>
      <c r="Q26" s="232"/>
      <c r="R26" s="110"/>
    </row>
    <row r="27" spans="1:26" s="233" customFormat="1" ht="35.1" customHeight="1" thickBot="1">
      <c r="A27" s="224" t="str">
        <f t="shared" si="0"/>
        <v>L01</v>
      </c>
      <c r="B27" s="224" t="str">
        <f t="shared" si="1"/>
        <v>Muc 1.1</v>
      </c>
      <c r="C27" s="250"/>
      <c r="D27" s="251" t="s">
        <v>38</v>
      </c>
      <c r="E27" s="252"/>
      <c r="F27" s="252"/>
      <c r="G27" s="252"/>
      <c r="H27" s="252"/>
      <c r="I27" s="252"/>
      <c r="J27" s="253"/>
      <c r="K27" s="254"/>
      <c r="L27" s="255"/>
      <c r="M27" s="255"/>
      <c r="N27" s="232">
        <f t="shared" si="3"/>
        <v>1</v>
      </c>
      <c r="O27" s="232" t="str">
        <f t="shared" si="2"/>
        <v>IN</v>
      </c>
      <c r="P27" s="110"/>
      <c r="Q27" s="232"/>
      <c r="R27" s="110"/>
    </row>
    <row r="28" spans="1:26" ht="27" customHeight="1">
      <c r="D28" s="82" t="s">
        <v>45</v>
      </c>
      <c r="E28" s="34"/>
      <c r="F28" s="34"/>
      <c r="G28" s="34"/>
      <c r="H28" s="34"/>
      <c r="I28" s="34"/>
      <c r="J28" s="8"/>
      <c r="K28" s="34"/>
      <c r="L28" s="34"/>
      <c r="M28" s="34"/>
      <c r="N28" s="8"/>
      <c r="O28" s="69" t="s">
        <v>75</v>
      </c>
      <c r="P28" s="32"/>
      <c r="Q28" s="32"/>
      <c r="R28" s="32"/>
    </row>
    <row r="29" spans="1:26" ht="25.35" customHeight="1">
      <c r="C29" s="3"/>
      <c r="D29" s="35"/>
      <c r="E29" s="9"/>
      <c r="F29" s="36"/>
      <c r="G29" s="37"/>
      <c r="H29" s="36"/>
      <c r="I29" s="36"/>
      <c r="J29" s="11"/>
      <c r="K29" s="71" t="str">
        <f ca="1">"Ngày "&amp;DAY(NOW())&amp;" tháng "&amp;MONTH(NOW())&amp;" năm "&amp;YEAR(NOW())</f>
        <v>Ngày 17 tháng 6 năm 2026</v>
      </c>
      <c r="L29" s="8"/>
      <c r="M29" s="8"/>
      <c r="N29" s="11"/>
      <c r="O29" s="69" t="s">
        <v>75</v>
      </c>
      <c r="P29" s="32"/>
      <c r="Q29" s="32"/>
      <c r="R29" s="32"/>
    </row>
    <row r="30" spans="1:26" ht="25.35" customHeight="1">
      <c r="C30" s="3"/>
      <c r="D30" s="3"/>
      <c r="E30" s="9"/>
      <c r="F30" s="36"/>
      <c r="G30" s="71" t="s">
        <v>49</v>
      </c>
      <c r="H30" s="36"/>
      <c r="I30" s="36"/>
      <c r="J30" s="11"/>
      <c r="K30" s="71" t="s">
        <v>57</v>
      </c>
      <c r="L30" s="8"/>
      <c r="M30" s="8"/>
      <c r="N30" s="11"/>
      <c r="O30" s="69" t="s">
        <v>75</v>
      </c>
      <c r="P30" s="32"/>
      <c r="Q30" s="32"/>
      <c r="R30" s="32"/>
    </row>
    <row r="31" spans="1:26" ht="25.35" customHeight="1">
      <c r="C31" s="3"/>
      <c r="D31" s="3"/>
      <c r="E31" s="9"/>
      <c r="F31" s="36"/>
      <c r="G31" s="42"/>
      <c r="H31" s="36"/>
      <c r="I31" s="36"/>
      <c r="J31" s="11"/>
      <c r="K31" s="37"/>
      <c r="L31" s="8"/>
      <c r="M31" s="8"/>
      <c r="N31" s="11"/>
      <c r="O31" s="69" t="s">
        <v>75</v>
      </c>
      <c r="P31" s="32"/>
      <c r="Q31" s="32"/>
      <c r="R31" s="32"/>
    </row>
    <row r="32" spans="1:26" ht="25.35" customHeight="1">
      <c r="C32" s="3"/>
      <c r="D32" s="3"/>
      <c r="E32" s="9"/>
      <c r="F32" s="36"/>
      <c r="G32" s="42"/>
      <c r="H32" s="36"/>
      <c r="I32" s="36"/>
      <c r="J32" s="11"/>
      <c r="K32" s="37"/>
      <c r="L32" s="8"/>
      <c r="M32" s="8"/>
      <c r="N32" s="11"/>
      <c r="O32" s="69" t="s">
        <v>75</v>
      </c>
      <c r="P32" s="32"/>
      <c r="Q32" s="32"/>
      <c r="R32" s="32"/>
    </row>
    <row r="33" spans="3:18" ht="25.35" customHeight="1">
      <c r="C33" s="3"/>
      <c r="D33" s="3"/>
      <c r="E33" s="9"/>
      <c r="F33" s="36"/>
      <c r="G33" s="38"/>
      <c r="H33" s="36"/>
      <c r="I33" s="38"/>
      <c r="J33" s="11"/>
      <c r="K33" s="37"/>
      <c r="L33" s="8"/>
      <c r="M33" s="8"/>
      <c r="N33" s="11"/>
      <c r="O33" s="69" t="s">
        <v>75</v>
      </c>
      <c r="P33" s="32"/>
      <c r="Q33" s="32"/>
      <c r="R33" s="32"/>
    </row>
    <row r="34" spans="3:18" ht="25.35" customHeight="1">
      <c r="C34" s="3"/>
      <c r="D34" s="3"/>
      <c r="E34" s="9"/>
      <c r="F34" s="36"/>
      <c r="G34" s="37" t="s">
        <v>46</v>
      </c>
      <c r="H34" s="36"/>
      <c r="I34" s="40"/>
      <c r="J34" s="11"/>
      <c r="K34" s="37" t="str">
        <f>'BOM_Phan II'!P241</f>
        <v>Nguyễn Tân Hồng</v>
      </c>
      <c r="L34" s="8"/>
      <c r="M34" s="8"/>
      <c r="N34" s="11"/>
      <c r="O34" s="69" t="s">
        <v>75</v>
      </c>
      <c r="P34" s="32"/>
      <c r="Q34" s="32"/>
      <c r="R34" s="32"/>
    </row>
    <row r="35" spans="3:18" ht="25.35" customHeight="1">
      <c r="C35" s="3"/>
      <c r="D35" s="3"/>
      <c r="E35" s="9"/>
      <c r="F35" s="36"/>
      <c r="G35" s="37"/>
      <c r="H35" s="36"/>
      <c r="I35" s="36"/>
      <c r="J35" s="11"/>
      <c r="K35" s="36"/>
      <c r="L35" s="8"/>
      <c r="M35" s="8"/>
      <c r="N35" s="11"/>
    </row>
    <row r="36" spans="3:18" ht="25.35" customHeight="1">
      <c r="C36" s="43"/>
      <c r="D36" s="43"/>
      <c r="E36" s="9"/>
      <c r="F36" s="36"/>
      <c r="G36" s="37"/>
      <c r="H36" s="36"/>
      <c r="I36" s="36"/>
      <c r="J36" s="11"/>
      <c r="K36" s="36"/>
      <c r="L36" s="8"/>
      <c r="M36" s="8"/>
      <c r="N36" s="11"/>
    </row>
    <row r="37" spans="3:18" ht="25.35" customHeight="1">
      <c r="C37" s="3"/>
      <c r="D37" s="3"/>
      <c r="E37" s="9"/>
      <c r="F37" s="36"/>
      <c r="G37" s="37"/>
      <c r="H37" s="36"/>
      <c r="I37" s="36"/>
      <c r="J37" s="11"/>
      <c r="K37" s="36"/>
      <c r="L37" s="8"/>
      <c r="M37" s="8"/>
      <c r="N37" s="11"/>
    </row>
    <row r="38" spans="3:18" ht="25.35" customHeight="1">
      <c r="C38" s="3"/>
      <c r="D38" s="3"/>
      <c r="E38" s="9"/>
      <c r="F38" s="44"/>
      <c r="G38" s="99"/>
      <c r="H38" s="44"/>
      <c r="I38" s="8"/>
      <c r="J38" s="45"/>
      <c r="K38" s="44"/>
      <c r="L38" s="8"/>
      <c r="M38" s="8"/>
      <c r="N38" s="45"/>
    </row>
  </sheetData>
  <sheetProtection formatCells="0" formatColumns="0" formatRows="0" insertColumns="0" insertRows="0" insertHyperlinks="0" deleteColumns="0" deleteRows="0" sort="0" autoFilter="0" pivotTables="0"/>
  <autoFilter ref="C12:O34" xr:uid="{842A61C4-7B4F-41B1-8FE6-0A0C645AF4DB}">
    <filterColumn colId="12">
      <customFilters>
        <customFilter operator="notEqual" val=" "/>
      </customFilters>
    </filterColumn>
  </autoFilter>
  <mergeCells count="26">
    <mergeCell ref="C8:D8"/>
    <mergeCell ref="C1:E3"/>
    <mergeCell ref="F1:J3"/>
    <mergeCell ref="L1:M1"/>
    <mergeCell ref="P1:R2"/>
    <mergeCell ref="L2:M2"/>
    <mergeCell ref="L3:M3"/>
    <mergeCell ref="C4:D4"/>
    <mergeCell ref="C5:D6"/>
    <mergeCell ref="E5:I6"/>
    <mergeCell ref="J5:J6"/>
    <mergeCell ref="C7:D7"/>
    <mergeCell ref="A11:A12"/>
    <mergeCell ref="B11:B12"/>
    <mergeCell ref="C11:C12"/>
    <mergeCell ref="D11:D12"/>
    <mergeCell ref="E11:G11"/>
    <mergeCell ref="K11:K12"/>
    <mergeCell ref="L11:L12"/>
    <mergeCell ref="M11:M12"/>
    <mergeCell ref="N11:N12"/>
    <mergeCell ref="C9:D9"/>
    <mergeCell ref="C10:M10"/>
    <mergeCell ref="H11:H12"/>
    <mergeCell ref="I11:I12"/>
    <mergeCell ref="J11:J12"/>
  </mergeCells>
  <conditionalFormatting sqref="K14:L26">
    <cfRule type="expression" dxfId="23" priority="4">
      <formula>K14="LỖI DỮ LIỆU"</formula>
    </cfRule>
  </conditionalFormatting>
  <conditionalFormatting sqref="K14:M26">
    <cfRule type="cellIs" dxfId="22" priority="2" operator="equal">
      <formula>0</formula>
    </cfRule>
  </conditionalFormatting>
  <conditionalFormatting sqref="M14:M26">
    <cfRule type="cellIs" dxfId="21" priority="1" operator="equal">
      <formula>0</formula>
    </cfRule>
    <cfRule type="cellIs" dxfId="20" priority="3" operator="equal">
      <formula>0</formula>
    </cfRule>
  </conditionalFormatting>
  <dataValidations disablePrompts="1" count="3">
    <dataValidation type="list" allowBlank="1" showInputMessage="1" showErrorMessage="1" sqref="L25:L26 L23" xr:uid="{7D4332FE-9D37-41D0-B2A4-B879D0B153D6}">
      <formula1>$Z$4:$Z$7</formula1>
    </dataValidation>
    <dataValidation type="list" allowBlank="1" showInputMessage="1" showErrorMessage="1" sqref="L27" xr:uid="{2FD830CE-594E-48E6-8787-A21D742D1738}">
      <formula1>$W$2:$W$10</formula1>
    </dataValidation>
    <dataValidation type="list" allowBlank="1" showInputMessage="1" showErrorMessage="1" sqref="G34" xr:uid="{E8C424FB-6993-4BBC-8DEE-A1A5801E6509}">
      <formula1>$Y$2:$Y$3</formula1>
    </dataValidation>
  </dataValidations>
  <printOptions horizontalCentered="1"/>
  <pageMargins left="0" right="0" top="0.25" bottom="0.25" header="0" footer="0"/>
  <pageSetup paperSize="9" scale="52" orientation="landscape" r:id="rId1"/>
  <headerFooter scaleWithDoc="0" alignWithMargins="0">
    <oddFooter>Page &amp;P of &amp;N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3ABC5-AD0D-485A-B919-DE0671848858}">
  <sheetPr codeName="Sheet7" filterMode="1">
    <tabColor rgb="FFFFFF00"/>
  </sheetPr>
  <dimension ref="A1:AC38"/>
  <sheetViews>
    <sheetView view="pageBreakPreview" zoomScale="70" zoomScaleNormal="55" zoomScaleSheetLayoutView="70" workbookViewId="0">
      <pane ySplit="12" topLeftCell="A13" activePane="bottomLeft" state="frozen"/>
      <selection activeCell="Q4" sqref="Q4"/>
      <selection pane="bottomLeft" activeCell="Q4" sqref="Q4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81" customWidth="1"/>
    <col min="4" max="4" width="31.42578125" style="14" customWidth="1"/>
    <col min="5" max="5" width="7.42578125" style="14" customWidth="1"/>
    <col min="6" max="7" width="7.42578125" style="3" customWidth="1"/>
    <col min="8" max="8" width="7.42578125" style="14" customWidth="1"/>
    <col min="9" max="9" width="33.85546875" style="16" customWidth="1"/>
    <col min="10" max="10" width="43.85546875" style="16" customWidth="1"/>
    <col min="11" max="11" width="25.140625" style="14" customWidth="1"/>
    <col min="12" max="13" width="10.42578125" style="15" customWidth="1"/>
    <col min="14" max="14" width="4.85546875" style="16" customWidth="1"/>
    <col min="15" max="18" width="8.85546875" style="3" customWidth="1"/>
    <col min="19" max="22" width="4.85546875" style="3"/>
    <col min="23" max="23" width="11.85546875" style="3" customWidth="1"/>
    <col min="24" max="24" width="20.7109375" style="3" hidden="1" customWidth="1"/>
    <col min="25" max="25" width="13.7109375" style="3" hidden="1" customWidth="1"/>
    <col min="26" max="26" width="22.140625" style="3" hidden="1" customWidth="1"/>
    <col min="27" max="28" width="0" style="3" hidden="1" customWidth="1"/>
    <col min="29" max="29" width="13.7109375" style="3" hidden="1" customWidth="1"/>
    <col min="30" max="16384" width="4.85546875" style="3"/>
  </cols>
  <sheetData>
    <row r="1" spans="1:29" ht="27.75" customHeight="1">
      <c r="C1" s="320"/>
      <c r="D1" s="321"/>
      <c r="E1" s="322"/>
      <c r="F1" s="329" t="s">
        <v>141</v>
      </c>
      <c r="G1" s="330"/>
      <c r="H1" s="330"/>
      <c r="I1" s="330"/>
      <c r="J1" s="331"/>
      <c r="K1" s="144" t="s">
        <v>29</v>
      </c>
      <c r="L1" s="338" t="s">
        <v>44</v>
      </c>
      <c r="M1" s="339"/>
      <c r="N1" s="110"/>
      <c r="P1" s="340" t="s">
        <v>67</v>
      </c>
      <c r="Q1" s="341"/>
      <c r="R1" s="342"/>
    </row>
    <row r="2" spans="1:29" ht="27.75" customHeight="1" thickBot="1">
      <c r="C2" s="323"/>
      <c r="D2" s="324"/>
      <c r="E2" s="325"/>
      <c r="F2" s="332"/>
      <c r="G2" s="333"/>
      <c r="H2" s="333"/>
      <c r="I2" s="333"/>
      <c r="J2" s="334"/>
      <c r="K2" s="27" t="s">
        <v>30</v>
      </c>
      <c r="L2" s="346"/>
      <c r="M2" s="347"/>
      <c r="N2" s="215"/>
      <c r="P2" s="343"/>
      <c r="Q2" s="344"/>
      <c r="R2" s="345"/>
      <c r="W2" s="216"/>
      <c r="X2" s="30" t="s">
        <v>124</v>
      </c>
      <c r="Y2" s="30" t="s">
        <v>66</v>
      </c>
      <c r="Z2" s="30"/>
      <c r="AA2" s="30"/>
      <c r="AB2" s="30"/>
    </row>
    <row r="3" spans="1:29" ht="27.75" customHeight="1" thickBot="1">
      <c r="C3" s="326"/>
      <c r="D3" s="327"/>
      <c r="E3" s="328"/>
      <c r="F3" s="335"/>
      <c r="G3" s="336"/>
      <c r="H3" s="336"/>
      <c r="I3" s="336"/>
      <c r="J3" s="337"/>
      <c r="K3" s="27" t="s">
        <v>31</v>
      </c>
      <c r="L3" s="346"/>
      <c r="M3" s="347"/>
      <c r="N3" s="217"/>
      <c r="P3" s="48"/>
      <c r="Q3" s="100">
        <f>'BOM_Phan II'!Y3</f>
        <v>1</v>
      </c>
      <c r="R3" s="48"/>
      <c r="W3" s="216"/>
      <c r="X3" s="30" t="s">
        <v>125</v>
      </c>
      <c r="Y3" s="30"/>
      <c r="Z3" s="30"/>
      <c r="AA3" s="30"/>
      <c r="AB3" s="30"/>
      <c r="AC3" s="3" t="s">
        <v>124</v>
      </c>
    </row>
    <row r="4" spans="1:29" ht="25.35" customHeight="1">
      <c r="C4" s="348" t="s">
        <v>25</v>
      </c>
      <c r="D4" s="349"/>
      <c r="E4" s="102" t="str">
        <f>'BOM_Phan II'!E4</f>
        <v>LAGOME_BURNLEY MALTINGS</v>
      </c>
      <c r="F4" s="92"/>
      <c r="G4" s="92"/>
      <c r="H4" s="92"/>
      <c r="I4" s="92"/>
      <c r="J4" s="128" t="s">
        <v>24</v>
      </c>
      <c r="K4" s="218" t="str">
        <f>'BOM_Phan II'!P4</f>
        <v>2573_LAGOME_CT07</v>
      </c>
      <c r="L4" s="219"/>
      <c r="M4" s="219"/>
      <c r="N4" s="220"/>
      <c r="W4" s="216"/>
      <c r="X4" s="30" t="s">
        <v>86</v>
      </c>
      <c r="Y4" s="30"/>
      <c r="Z4" s="30" t="s">
        <v>76</v>
      </c>
      <c r="AA4" s="30"/>
      <c r="AB4" s="30"/>
      <c r="AC4" s="3" t="s">
        <v>125</v>
      </c>
    </row>
    <row r="5" spans="1:29" ht="25.35" customHeight="1">
      <c r="C5" s="350" t="s">
        <v>28</v>
      </c>
      <c r="D5" s="351"/>
      <c r="E5" s="354" t="str">
        <f>'BOM_Phan II'!E5</f>
        <v>Laundry_ (TH 11)</v>
      </c>
      <c r="F5" s="355"/>
      <c r="G5" s="355"/>
      <c r="H5" s="355"/>
      <c r="I5" s="356"/>
      <c r="J5" s="360" t="s">
        <v>27</v>
      </c>
      <c r="K5" s="221" t="s">
        <v>126</v>
      </c>
      <c r="L5" s="221" t="s">
        <v>127</v>
      </c>
      <c r="M5" s="221" t="s">
        <v>128</v>
      </c>
      <c r="N5" s="220"/>
      <c r="W5" s="216"/>
      <c r="X5" s="30" t="s">
        <v>64</v>
      </c>
      <c r="Y5" s="30"/>
      <c r="Z5" s="30" t="s">
        <v>77</v>
      </c>
      <c r="AA5" s="30"/>
      <c r="AB5" s="30"/>
      <c r="AC5" s="3" t="s">
        <v>86</v>
      </c>
    </row>
    <row r="6" spans="1:29" ht="25.35" customHeight="1">
      <c r="C6" s="352"/>
      <c r="D6" s="353"/>
      <c r="E6" s="357"/>
      <c r="F6" s="358"/>
      <c r="G6" s="358"/>
      <c r="H6" s="358"/>
      <c r="I6" s="359"/>
      <c r="J6" s="361"/>
      <c r="K6" s="221" t="str">
        <f>IFERROR(IF('BOM_Phan IV'!T13=2,AVERAGE('BOM_Phan IV'!M13:M1400),""),"")</f>
        <v/>
      </c>
      <c r="L6" s="221" t="str">
        <f>IFERROR(IF('BOM_Phan IV'!T13=2,AVERAGE('BOM_Phan IV'!L13:L1400),""),"")</f>
        <v/>
      </c>
      <c r="M6" s="221" t="str">
        <f>IFERROR(IF('BOM_Phan IV'!T13=2,AVERAGE('BOM_Phan IV'!K13:K1400),""),"")</f>
        <v/>
      </c>
      <c r="N6" s="220"/>
      <c r="W6" s="216"/>
      <c r="X6" s="30" t="s">
        <v>64</v>
      </c>
      <c r="Y6" s="30"/>
      <c r="Z6" s="30" t="s">
        <v>77</v>
      </c>
      <c r="AA6" s="30"/>
      <c r="AB6" s="30"/>
      <c r="AC6" s="3" t="s">
        <v>86</v>
      </c>
    </row>
    <row r="7" spans="1:29" ht="25.35" customHeight="1">
      <c r="C7" s="318" t="s">
        <v>23</v>
      </c>
      <c r="D7" s="319"/>
      <c r="E7" s="95" t="str">
        <f>'BOM_Phan II'!E6</f>
        <v>L01</v>
      </c>
      <c r="F7" s="94"/>
      <c r="G7" s="94"/>
      <c r="H7" s="94"/>
      <c r="I7" s="94"/>
      <c r="J7" s="127" t="s">
        <v>26</v>
      </c>
      <c r="K7" s="222" t="str">
        <f>IF(K6&lt;&gt;"",SUM('BOM_Phan IV'!N13:N1400),"")</f>
        <v/>
      </c>
      <c r="L7" s="223"/>
      <c r="M7" s="223"/>
      <c r="N7" s="220"/>
      <c r="W7" s="216"/>
      <c r="X7" s="30" t="s">
        <v>65</v>
      </c>
      <c r="Y7" s="30"/>
      <c r="Z7" s="30"/>
      <c r="AA7" s="30"/>
      <c r="AB7" s="30"/>
      <c r="AC7" s="3" t="s">
        <v>64</v>
      </c>
    </row>
    <row r="8" spans="1:29" ht="25.35" customHeight="1">
      <c r="C8" s="318" t="s">
        <v>21</v>
      </c>
      <c r="D8" s="319"/>
      <c r="E8" s="95">
        <f>'BOM_Phan II'!E7</f>
        <v>1.1000000000000001</v>
      </c>
      <c r="F8" s="94"/>
      <c r="G8" s="94"/>
      <c r="H8" s="94"/>
      <c r="I8" s="94"/>
      <c r="J8" s="127" t="s">
        <v>34</v>
      </c>
      <c r="K8" s="95" t="str">
        <f>'BOM_Phan II'!P7</f>
        <v>Theo module và giao rời</v>
      </c>
      <c r="L8" s="124"/>
      <c r="M8" s="124"/>
      <c r="N8" s="220"/>
      <c r="P8" s="46"/>
      <c r="W8" s="216"/>
      <c r="X8" s="30" t="s">
        <v>66</v>
      </c>
      <c r="Y8" s="30"/>
      <c r="Z8" s="30"/>
      <c r="AA8" s="30"/>
      <c r="AB8" s="30"/>
      <c r="AC8" s="3" t="s">
        <v>65</v>
      </c>
    </row>
    <row r="9" spans="1:29" ht="25.35" customHeight="1">
      <c r="C9" s="304" t="s">
        <v>9</v>
      </c>
      <c r="D9" s="305"/>
      <c r="E9" s="104" t="str">
        <f>'BOM_Phan II'!E8</f>
        <v xml:space="preserve">PB E1 chống ẩm 2M Melamine MEL1: MS 024T
</v>
      </c>
      <c r="F9" s="98"/>
      <c r="G9" s="98"/>
      <c r="H9" s="98"/>
      <c r="I9" s="98"/>
      <c r="J9" s="129" t="s">
        <v>22</v>
      </c>
      <c r="K9" s="104" t="str">
        <f>'BOM_Phan II'!P8</f>
        <v>MEL01,Đồng màu MEL1</v>
      </c>
      <c r="L9" s="126"/>
      <c r="M9" s="126"/>
      <c r="N9" s="220"/>
      <c r="W9" s="216"/>
      <c r="X9" s="30" t="s">
        <v>129</v>
      </c>
      <c r="Y9" s="30"/>
      <c r="Z9" s="30"/>
      <c r="AA9" s="30"/>
      <c r="AB9" s="30"/>
      <c r="AC9" s="3" t="s">
        <v>66</v>
      </c>
    </row>
    <row r="10" spans="1:29" ht="23.25" customHeight="1" thickBot="1">
      <c r="C10" s="306"/>
      <c r="D10" s="307"/>
      <c r="E10" s="307"/>
      <c r="F10" s="307"/>
      <c r="G10" s="307"/>
      <c r="H10" s="307"/>
      <c r="I10" s="307"/>
      <c r="J10" s="307"/>
      <c r="K10" s="308"/>
      <c r="L10" s="308"/>
      <c r="M10" s="308"/>
      <c r="N10" s="14"/>
      <c r="W10" s="216"/>
      <c r="X10" s="30"/>
      <c r="Y10" s="30"/>
      <c r="Z10" s="30"/>
      <c r="AA10" s="30"/>
      <c r="AB10" s="30"/>
      <c r="AC10" s="3" t="s">
        <v>88</v>
      </c>
    </row>
    <row r="11" spans="1:29" ht="33" customHeight="1">
      <c r="A11" s="313" t="s">
        <v>73</v>
      </c>
      <c r="B11" s="314" t="s">
        <v>74</v>
      </c>
      <c r="C11" s="315" t="s">
        <v>10</v>
      </c>
      <c r="D11" s="309" t="s">
        <v>43</v>
      </c>
      <c r="E11" s="317" t="s">
        <v>1</v>
      </c>
      <c r="F11" s="309"/>
      <c r="G11" s="309"/>
      <c r="H11" s="309" t="s">
        <v>0</v>
      </c>
      <c r="I11" s="309" t="s">
        <v>62</v>
      </c>
      <c r="J11" s="311" t="s">
        <v>69</v>
      </c>
      <c r="K11" s="297" t="s">
        <v>61</v>
      </c>
      <c r="L11" s="299" t="s">
        <v>47</v>
      </c>
      <c r="M11" s="301" t="s">
        <v>48</v>
      </c>
      <c r="N11" s="303" t="s">
        <v>78</v>
      </c>
      <c r="X11" s="30"/>
    </row>
    <row r="12" spans="1:29" ht="41.1" customHeight="1">
      <c r="A12" s="313"/>
      <c r="B12" s="314"/>
      <c r="C12" s="316"/>
      <c r="D12" s="310"/>
      <c r="E12" s="101" t="s">
        <v>18</v>
      </c>
      <c r="F12" s="101" t="s">
        <v>19</v>
      </c>
      <c r="G12" s="101" t="s">
        <v>20</v>
      </c>
      <c r="H12" s="310"/>
      <c r="I12" s="310"/>
      <c r="J12" s="312"/>
      <c r="K12" s="298"/>
      <c r="L12" s="300"/>
      <c r="M12" s="302"/>
      <c r="N12" s="303"/>
      <c r="O12" s="47" t="s">
        <v>56</v>
      </c>
      <c r="P12" s="31"/>
      <c r="Q12" s="31"/>
      <c r="R12" s="31"/>
      <c r="X12" s="30"/>
    </row>
    <row r="13" spans="1:29" s="233" customFormat="1" ht="35.1" customHeight="1">
      <c r="A13" s="224" t="str">
        <f t="shared" ref="A13:A27" si="0">IF(O13="IN",$E$7,"")</f>
        <v>L01</v>
      </c>
      <c r="B13" s="224" t="str">
        <f t="shared" ref="B13:B27" si="1">IF(O13="IN","Muc "&amp;$E$8,"")</f>
        <v>Muc 1.1</v>
      </c>
      <c r="C13" s="225" t="s">
        <v>14</v>
      </c>
      <c r="D13" s="226" t="s">
        <v>71</v>
      </c>
      <c r="E13" s="227"/>
      <c r="F13" s="227"/>
      <c r="G13" s="227"/>
      <c r="H13" s="227"/>
      <c r="I13" s="228"/>
      <c r="J13" s="229"/>
      <c r="K13" s="228"/>
      <c r="L13" s="230"/>
      <c r="M13" s="231"/>
      <c r="N13" s="232">
        <f>IF(O13="IN",$Q$3,"")</f>
        <v>1</v>
      </c>
      <c r="O13" s="232" t="str">
        <f t="shared" ref="O13:O27" si="2">IF(OR(C13&lt;&gt;"",D13&lt;&gt;""),"IN","")</f>
        <v>IN</v>
      </c>
      <c r="P13" s="110"/>
      <c r="Q13" s="232"/>
      <c r="R13" s="110"/>
      <c r="X13" s="43"/>
      <c r="Y13" s="43"/>
      <c r="AA13" s="43"/>
      <c r="AB13" s="43"/>
    </row>
    <row r="14" spans="1:29" s="244" customFormat="1" ht="39.950000000000003" customHeight="1">
      <c r="A14" s="234" t="str">
        <f t="shared" si="0"/>
        <v>L01</v>
      </c>
      <c r="B14" s="234" t="str">
        <f t="shared" si="1"/>
        <v>Muc 1.1</v>
      </c>
      <c r="C14" s="235">
        <v>1</v>
      </c>
      <c r="D14" s="236" t="s">
        <v>130</v>
      </c>
      <c r="E14" s="237">
        <v>25</v>
      </c>
      <c r="F14" s="237">
        <v>35</v>
      </c>
      <c r="G14" s="237" t="str">
        <f>IFERROR(IF((($K$6*2)+($L$6*2))&lt;0,0,($K$6*2)+($L$6*2)),"")</f>
        <v/>
      </c>
      <c r="H14" s="237" t="str">
        <f>+IFERROR(2*K7,"")</f>
        <v/>
      </c>
      <c r="I14" s="236" t="s">
        <v>131</v>
      </c>
      <c r="J14" s="238"/>
      <c r="K14" s="239"/>
      <c r="L14" s="240" t="s">
        <v>132</v>
      </c>
      <c r="M14" s="241" t="str">
        <f>IFERROR(IF(OR(L14="Con",L14="Cụm",L14="Hệ"),H14,IF(L14="Thanh",(G14*H14/2400),IF(L14="Tấm",(F14*G14*H14)/(1220*2440),IF(L14="M2",F14*G14*H14/10^6,IF(L14="M3",E14*F14*G14*H14/10^9,0))))),"")</f>
        <v/>
      </c>
      <c r="N14" s="242">
        <f t="shared" ref="N14:N27" si="3">IF(O14="IN",$Q$3,"")</f>
        <v>1</v>
      </c>
      <c r="O14" s="242" t="str">
        <f t="shared" si="2"/>
        <v>IN</v>
      </c>
      <c r="P14" s="243"/>
      <c r="Q14" s="242"/>
      <c r="R14" s="243"/>
    </row>
    <row r="15" spans="1:29" s="244" customFormat="1" ht="39.950000000000003" customHeight="1">
      <c r="A15" s="234" t="str">
        <f t="shared" si="0"/>
        <v>L01</v>
      </c>
      <c r="B15" s="234" t="str">
        <f t="shared" si="1"/>
        <v>Muc 1.1</v>
      </c>
      <c r="C15" s="235">
        <v>2</v>
      </c>
      <c r="D15" s="245" t="s">
        <v>133</v>
      </c>
      <c r="E15" s="246">
        <v>25</v>
      </c>
      <c r="F15" s="237">
        <v>35</v>
      </c>
      <c r="G15" s="237" t="str">
        <f>IFERROR(IF($M$6-$F$14-$F$14&lt;0,0,$M$6-$F$14-$F$14),"")</f>
        <v/>
      </c>
      <c r="H15" s="237" t="str">
        <f>+IFERROR(4*K7,"")</f>
        <v/>
      </c>
      <c r="I15" s="239" t="s">
        <v>131</v>
      </c>
      <c r="J15" s="238"/>
      <c r="K15" s="239"/>
      <c r="L15" s="240" t="s">
        <v>132</v>
      </c>
      <c r="M15" s="241" t="str">
        <f>IFERROR(IF(OR(L15="Con",L15="Cụm",L15="Hệ"),H15,IF(L15="Thanh",(G15*H15/2400),IF(L15="Tấm",(F15*G15*H15)/(1220*2440),IF(L15="M2",F15*G15*H15/10^6,IF(L15="M3",E15*F15*G15*H15/10^9,0))))),"")</f>
        <v/>
      </c>
      <c r="N15" s="242">
        <f t="shared" si="3"/>
        <v>1</v>
      </c>
      <c r="O15" s="242" t="str">
        <f t="shared" si="2"/>
        <v>IN</v>
      </c>
      <c r="P15" s="243"/>
      <c r="Q15" s="242"/>
      <c r="R15" s="243"/>
      <c r="X15" s="233"/>
      <c r="Y15" s="233"/>
      <c r="Z15" s="233"/>
    </row>
    <row r="16" spans="1:29" s="244" customFormat="1" ht="39.950000000000003" customHeight="1">
      <c r="A16" s="234" t="str">
        <f t="shared" si="0"/>
        <v>L01</v>
      </c>
      <c r="B16" s="234" t="str">
        <f t="shared" si="1"/>
        <v>Muc 1.1</v>
      </c>
      <c r="C16" s="235">
        <v>3</v>
      </c>
      <c r="D16" s="245" t="s">
        <v>134</v>
      </c>
      <c r="E16" s="246"/>
      <c r="F16" s="237"/>
      <c r="G16" s="237"/>
      <c r="H16" s="237"/>
      <c r="I16" s="239" t="s">
        <v>135</v>
      </c>
      <c r="J16" s="238"/>
      <c r="K16" s="239"/>
      <c r="L16" s="240" t="s">
        <v>136</v>
      </c>
      <c r="M16" s="241" t="str">
        <f>IFERROR(($K$6*$L$6*4+$L$6*$M$6*2)*10^-6*1.3/0.5*$K$7,"")</f>
        <v/>
      </c>
      <c r="N16" s="242">
        <f t="shared" si="3"/>
        <v>1</v>
      </c>
      <c r="O16" s="242" t="str">
        <f t="shared" si="2"/>
        <v>IN</v>
      </c>
      <c r="P16" s="243"/>
      <c r="Q16" s="242"/>
      <c r="R16" s="243"/>
      <c r="X16" s="233"/>
      <c r="Y16" s="233"/>
      <c r="Z16" s="233"/>
    </row>
    <row r="17" spans="1:26" s="244" customFormat="1" ht="39.950000000000003" customHeight="1">
      <c r="A17" s="234" t="str">
        <f t="shared" si="0"/>
        <v>L01</v>
      </c>
      <c r="B17" s="234" t="str">
        <f t="shared" si="1"/>
        <v>Muc 1.1</v>
      </c>
      <c r="C17" s="235">
        <v>4</v>
      </c>
      <c r="D17" s="245" t="s">
        <v>137</v>
      </c>
      <c r="E17" s="246"/>
      <c r="F17" s="237"/>
      <c r="G17" s="237"/>
      <c r="H17" s="237"/>
      <c r="I17" s="239" t="s">
        <v>138</v>
      </c>
      <c r="J17" s="238"/>
      <c r="K17" s="239"/>
      <c r="L17" s="240" t="s">
        <v>136</v>
      </c>
      <c r="M17" s="241" t="str">
        <f>IFERROR(($K$6*$L$6*4+$L$6*$M$6*2)*10^-6*1.3/1.2*$K$7,"")</f>
        <v/>
      </c>
      <c r="N17" s="242">
        <f t="shared" si="3"/>
        <v>1</v>
      </c>
      <c r="O17" s="242" t="str">
        <f t="shared" si="2"/>
        <v>IN</v>
      </c>
      <c r="P17" s="243"/>
      <c r="Q17" s="242"/>
      <c r="R17" s="243"/>
      <c r="X17" s="233"/>
      <c r="Y17" s="233"/>
      <c r="Z17" s="233"/>
    </row>
    <row r="18" spans="1:26" s="244" customFormat="1" ht="39.950000000000003" customHeight="1">
      <c r="A18" s="234" t="str">
        <f t="shared" si="0"/>
        <v>L01</v>
      </c>
      <c r="B18" s="234" t="str">
        <f t="shared" si="1"/>
        <v>Muc 1.1</v>
      </c>
      <c r="C18" s="235">
        <v>5</v>
      </c>
      <c r="D18" s="245" t="s">
        <v>139</v>
      </c>
      <c r="E18" s="246"/>
      <c r="F18" s="237"/>
      <c r="G18" s="237"/>
      <c r="H18" s="237"/>
      <c r="I18" s="239" t="s">
        <v>140</v>
      </c>
      <c r="J18" s="238"/>
      <c r="K18" s="239"/>
      <c r="L18" s="240" t="s">
        <v>136</v>
      </c>
      <c r="M18" s="241" t="str">
        <f>IFERROR(($K$6*2+$L$6*2+200*16)*10^-3*$K$7,"")</f>
        <v/>
      </c>
      <c r="N18" s="242">
        <f t="shared" si="3"/>
        <v>1</v>
      </c>
      <c r="O18" s="242" t="str">
        <f t="shared" si="2"/>
        <v>IN</v>
      </c>
      <c r="P18" s="243"/>
      <c r="Q18" s="242"/>
      <c r="R18" s="243"/>
      <c r="X18" s="233"/>
      <c r="Y18" s="233"/>
      <c r="Z18" s="233"/>
    </row>
    <row r="19" spans="1:26" s="244" customFormat="1" ht="39.950000000000003" hidden="1" customHeight="1">
      <c r="A19" s="234" t="str">
        <f t="shared" si="0"/>
        <v/>
      </c>
      <c r="B19" s="234" t="str">
        <f t="shared" si="1"/>
        <v/>
      </c>
      <c r="C19" s="235"/>
      <c r="D19" s="245"/>
      <c r="E19" s="246"/>
      <c r="F19" s="237"/>
      <c r="G19" s="237"/>
      <c r="H19" s="237"/>
      <c r="I19" s="239"/>
      <c r="J19" s="238"/>
      <c r="K19" s="239"/>
      <c r="L19" s="240"/>
      <c r="M19" s="241">
        <f t="shared" ref="M19:M26" si="4">IF(OR(L19="Con",L19="Cụm",L19="Hệ"),H19,IF(L19="Thanh",(G19*H19/2400),IF(L19="Tấm",(F19*G19*H19)/(1220*2440),IF(L19="Md",G19*H19/1000,IF(L19="M2",F19*G19*H19/10^6,IF(L19="M3",E19*F19*G19*H19/10^9,0))))))</f>
        <v>0</v>
      </c>
      <c r="N19" s="242" t="str">
        <f t="shared" si="3"/>
        <v/>
      </c>
      <c r="O19" s="242" t="str">
        <f t="shared" si="2"/>
        <v/>
      </c>
      <c r="P19" s="243"/>
      <c r="Q19" s="242"/>
      <c r="R19" s="243"/>
      <c r="X19" s="233"/>
      <c r="Y19" s="233"/>
      <c r="Z19" s="233"/>
    </row>
    <row r="20" spans="1:26" s="244" customFormat="1" ht="39.950000000000003" hidden="1" customHeight="1" thickBot="1">
      <c r="A20" s="234" t="str">
        <f t="shared" si="0"/>
        <v/>
      </c>
      <c r="B20" s="234" t="str">
        <f t="shared" si="1"/>
        <v/>
      </c>
      <c r="C20" s="235"/>
      <c r="D20" s="245"/>
      <c r="E20" s="246"/>
      <c r="F20" s="237"/>
      <c r="G20" s="237"/>
      <c r="H20" s="237"/>
      <c r="I20" s="239"/>
      <c r="J20" s="238"/>
      <c r="K20" s="239"/>
      <c r="L20" s="240"/>
      <c r="M20" s="241">
        <f t="shared" si="4"/>
        <v>0</v>
      </c>
      <c r="N20" s="242" t="str">
        <f t="shared" si="3"/>
        <v/>
      </c>
      <c r="O20" s="242" t="str">
        <f t="shared" si="2"/>
        <v/>
      </c>
      <c r="P20" s="243"/>
      <c r="Q20" s="242"/>
      <c r="R20" s="243"/>
      <c r="X20" s="233"/>
      <c r="Y20" s="233"/>
      <c r="Z20" s="233"/>
    </row>
    <row r="21" spans="1:26" s="244" customFormat="1" ht="39.950000000000003" hidden="1" customHeight="1" thickBot="1">
      <c r="A21" s="234" t="str">
        <f t="shared" si="0"/>
        <v/>
      </c>
      <c r="B21" s="234" t="str">
        <f t="shared" si="1"/>
        <v/>
      </c>
      <c r="C21" s="247"/>
      <c r="D21" s="245"/>
      <c r="E21" s="246"/>
      <c r="F21" s="237"/>
      <c r="G21" s="237"/>
      <c r="H21" s="237"/>
      <c r="I21" s="239"/>
      <c r="J21" s="238"/>
      <c r="K21" s="239"/>
      <c r="L21" s="240"/>
      <c r="M21" s="241">
        <f t="shared" si="4"/>
        <v>0</v>
      </c>
      <c r="N21" s="242" t="str">
        <f t="shared" si="3"/>
        <v/>
      </c>
      <c r="O21" s="242" t="str">
        <f t="shared" si="2"/>
        <v/>
      </c>
      <c r="P21" s="243"/>
      <c r="Q21" s="242"/>
      <c r="R21" s="243"/>
      <c r="X21" s="233"/>
      <c r="Y21" s="233"/>
      <c r="Z21" s="233"/>
    </row>
    <row r="22" spans="1:26" s="233" customFormat="1" ht="39.950000000000003" hidden="1" customHeight="1" thickBot="1">
      <c r="A22" s="224" t="str">
        <f t="shared" si="0"/>
        <v/>
      </c>
      <c r="B22" s="224" t="str">
        <f t="shared" si="1"/>
        <v/>
      </c>
      <c r="C22" s="237"/>
      <c r="D22" s="236"/>
      <c r="E22" s="237"/>
      <c r="F22" s="237"/>
      <c r="G22" s="237"/>
      <c r="H22" s="237"/>
      <c r="I22" s="236"/>
      <c r="J22" s="236"/>
      <c r="K22" s="239"/>
      <c r="L22" s="240"/>
      <c r="M22" s="241">
        <f t="shared" si="4"/>
        <v>0</v>
      </c>
      <c r="N22" s="232" t="str">
        <f t="shared" si="3"/>
        <v/>
      </c>
      <c r="O22" s="232" t="str">
        <f t="shared" si="2"/>
        <v/>
      </c>
      <c r="P22" s="110"/>
      <c r="Q22" s="232"/>
      <c r="R22" s="110"/>
    </row>
    <row r="23" spans="1:26" s="233" customFormat="1" ht="39.950000000000003" hidden="1" customHeight="1" thickBot="1">
      <c r="A23" s="224" t="str">
        <f t="shared" si="0"/>
        <v/>
      </c>
      <c r="B23" s="224" t="str">
        <f t="shared" si="1"/>
        <v/>
      </c>
      <c r="C23" s="248"/>
      <c r="D23" s="249"/>
      <c r="E23" s="248"/>
      <c r="F23" s="248"/>
      <c r="G23" s="248"/>
      <c r="H23" s="248"/>
      <c r="I23" s="249"/>
      <c r="J23" s="236"/>
      <c r="K23" s="239"/>
      <c r="L23" s="240"/>
      <c r="M23" s="241">
        <f t="shared" si="4"/>
        <v>0</v>
      </c>
      <c r="N23" s="232" t="str">
        <f t="shared" si="3"/>
        <v/>
      </c>
      <c r="O23" s="232" t="str">
        <f t="shared" si="2"/>
        <v/>
      </c>
      <c r="P23" s="110"/>
      <c r="Q23" s="232"/>
      <c r="R23" s="110"/>
    </row>
    <row r="24" spans="1:26" s="233" customFormat="1" ht="39.950000000000003" hidden="1" customHeight="1" thickBot="1">
      <c r="A24" s="224" t="str">
        <f t="shared" si="0"/>
        <v/>
      </c>
      <c r="B24" s="224" t="str">
        <f t="shared" si="1"/>
        <v/>
      </c>
      <c r="C24" s="237"/>
      <c r="D24" s="236"/>
      <c r="E24" s="237"/>
      <c r="F24" s="237"/>
      <c r="G24" s="237"/>
      <c r="H24" s="237"/>
      <c r="I24" s="236"/>
      <c r="J24" s="236"/>
      <c r="K24" s="239"/>
      <c r="L24" s="240"/>
      <c r="M24" s="241">
        <f t="shared" si="4"/>
        <v>0</v>
      </c>
      <c r="N24" s="232" t="str">
        <f t="shared" si="3"/>
        <v/>
      </c>
      <c r="O24" s="232" t="str">
        <f t="shared" si="2"/>
        <v/>
      </c>
      <c r="P24" s="110"/>
      <c r="Q24" s="232"/>
      <c r="R24" s="110"/>
    </row>
    <row r="25" spans="1:26" s="233" customFormat="1" ht="39.950000000000003" hidden="1" customHeight="1" thickBot="1">
      <c r="A25" s="224" t="str">
        <f t="shared" si="0"/>
        <v/>
      </c>
      <c r="B25" s="224" t="str">
        <f t="shared" si="1"/>
        <v/>
      </c>
      <c r="C25" s="248"/>
      <c r="D25" s="249"/>
      <c r="E25" s="248"/>
      <c r="F25" s="248"/>
      <c r="G25" s="248"/>
      <c r="H25" s="248"/>
      <c r="I25" s="249"/>
      <c r="J25" s="236"/>
      <c r="K25" s="239"/>
      <c r="L25" s="240"/>
      <c r="M25" s="241">
        <f t="shared" si="4"/>
        <v>0</v>
      </c>
      <c r="N25" s="232" t="str">
        <f t="shared" si="3"/>
        <v/>
      </c>
      <c r="O25" s="232" t="str">
        <f t="shared" si="2"/>
        <v/>
      </c>
      <c r="P25" s="110"/>
      <c r="Q25" s="232"/>
      <c r="R25" s="110"/>
    </row>
    <row r="26" spans="1:26" s="233" customFormat="1" ht="39.950000000000003" hidden="1" customHeight="1" thickBot="1">
      <c r="A26" s="224" t="str">
        <f t="shared" si="0"/>
        <v/>
      </c>
      <c r="B26" s="224" t="str">
        <f t="shared" si="1"/>
        <v/>
      </c>
      <c r="C26" s="248"/>
      <c r="D26" s="249"/>
      <c r="E26" s="248"/>
      <c r="F26" s="248"/>
      <c r="G26" s="248"/>
      <c r="H26" s="248"/>
      <c r="I26" s="249"/>
      <c r="J26" s="236"/>
      <c r="K26" s="239" t="s">
        <v>185</v>
      </c>
      <c r="L26" s="240"/>
      <c r="M26" s="241">
        <f t="shared" si="4"/>
        <v>0</v>
      </c>
      <c r="N26" s="232" t="str">
        <f t="shared" si="3"/>
        <v/>
      </c>
      <c r="O26" s="232" t="str">
        <f t="shared" si="2"/>
        <v/>
      </c>
      <c r="P26" s="110"/>
      <c r="Q26" s="232"/>
      <c r="R26" s="110"/>
    </row>
    <row r="27" spans="1:26" s="233" customFormat="1" ht="35.1" customHeight="1" thickBot="1">
      <c r="A27" s="224" t="str">
        <f t="shared" si="0"/>
        <v>L01</v>
      </c>
      <c r="B27" s="224" t="str">
        <f t="shared" si="1"/>
        <v>Muc 1.1</v>
      </c>
      <c r="C27" s="250"/>
      <c r="D27" s="251" t="s">
        <v>38</v>
      </c>
      <c r="E27" s="252"/>
      <c r="F27" s="252"/>
      <c r="G27" s="252"/>
      <c r="H27" s="252"/>
      <c r="I27" s="252"/>
      <c r="J27" s="253"/>
      <c r="K27" s="254"/>
      <c r="L27" s="255"/>
      <c r="M27" s="255"/>
      <c r="N27" s="232">
        <f t="shared" si="3"/>
        <v>1</v>
      </c>
      <c r="O27" s="232" t="str">
        <f t="shared" si="2"/>
        <v>IN</v>
      </c>
      <c r="P27" s="110"/>
      <c r="Q27" s="232"/>
      <c r="R27" s="110"/>
    </row>
    <row r="28" spans="1:26" ht="27" customHeight="1">
      <c r="D28" s="82" t="s">
        <v>45</v>
      </c>
      <c r="E28" s="34"/>
      <c r="F28" s="34"/>
      <c r="G28" s="34"/>
      <c r="H28" s="34"/>
      <c r="I28" s="34"/>
      <c r="J28" s="8"/>
      <c r="K28" s="34"/>
      <c r="L28" s="34"/>
      <c r="M28" s="34"/>
      <c r="N28" s="8"/>
      <c r="O28" s="69" t="s">
        <v>75</v>
      </c>
      <c r="P28" s="32"/>
      <c r="Q28" s="32"/>
      <c r="R28" s="32"/>
    </row>
    <row r="29" spans="1:26" ht="25.35" customHeight="1">
      <c r="C29" s="3"/>
      <c r="D29" s="35"/>
      <c r="E29" s="9"/>
      <c r="F29" s="36"/>
      <c r="G29" s="37"/>
      <c r="H29" s="36"/>
      <c r="I29" s="36"/>
      <c r="J29" s="11"/>
      <c r="K29" s="71" t="str">
        <f ca="1">"Ngày "&amp;DAY(NOW())&amp;" tháng "&amp;MONTH(NOW())&amp;" năm "&amp;YEAR(NOW())</f>
        <v>Ngày 17 tháng 6 năm 2026</v>
      </c>
      <c r="L29" s="8"/>
      <c r="M29" s="8"/>
      <c r="N29" s="11"/>
      <c r="O29" s="69" t="s">
        <v>75</v>
      </c>
      <c r="P29" s="32"/>
      <c r="Q29" s="32"/>
      <c r="R29" s="32"/>
    </row>
    <row r="30" spans="1:26" ht="25.35" customHeight="1">
      <c r="C30" s="3"/>
      <c r="D30" s="3"/>
      <c r="E30" s="9"/>
      <c r="F30" s="36"/>
      <c r="G30" s="71" t="s">
        <v>49</v>
      </c>
      <c r="H30" s="36"/>
      <c r="I30" s="36"/>
      <c r="J30" s="11"/>
      <c r="K30" s="71" t="s">
        <v>57</v>
      </c>
      <c r="L30" s="8"/>
      <c r="M30" s="8"/>
      <c r="N30" s="11"/>
      <c r="O30" s="69" t="s">
        <v>75</v>
      </c>
      <c r="P30" s="32"/>
      <c r="Q30" s="32"/>
      <c r="R30" s="32"/>
    </row>
    <row r="31" spans="1:26" ht="25.35" customHeight="1">
      <c r="C31" s="3"/>
      <c r="D31" s="3"/>
      <c r="E31" s="9"/>
      <c r="F31" s="36"/>
      <c r="G31" s="42"/>
      <c r="H31" s="36"/>
      <c r="I31" s="36"/>
      <c r="J31" s="11"/>
      <c r="K31" s="37"/>
      <c r="L31" s="8"/>
      <c r="M31" s="8"/>
      <c r="N31" s="11"/>
      <c r="O31" s="69" t="s">
        <v>75</v>
      </c>
      <c r="P31" s="32"/>
      <c r="Q31" s="32"/>
      <c r="R31" s="32"/>
    </row>
    <row r="32" spans="1:26" ht="25.35" customHeight="1">
      <c r="C32" s="3"/>
      <c r="D32" s="3"/>
      <c r="E32" s="9"/>
      <c r="F32" s="36"/>
      <c r="G32" s="42"/>
      <c r="H32" s="36"/>
      <c r="I32" s="36"/>
      <c r="J32" s="11"/>
      <c r="K32" s="37"/>
      <c r="L32" s="8"/>
      <c r="M32" s="8"/>
      <c r="N32" s="11"/>
      <c r="O32" s="69" t="s">
        <v>75</v>
      </c>
      <c r="P32" s="32"/>
      <c r="Q32" s="32"/>
      <c r="R32" s="32"/>
    </row>
    <row r="33" spans="3:18" ht="25.35" customHeight="1">
      <c r="C33" s="3"/>
      <c r="D33" s="3"/>
      <c r="E33" s="9"/>
      <c r="F33" s="36"/>
      <c r="G33" s="38"/>
      <c r="H33" s="36"/>
      <c r="I33" s="38"/>
      <c r="J33" s="11"/>
      <c r="K33" s="37"/>
      <c r="L33" s="8"/>
      <c r="M33" s="8"/>
      <c r="N33" s="11"/>
      <c r="O33" s="69" t="s">
        <v>75</v>
      </c>
      <c r="P33" s="32"/>
      <c r="Q33" s="32"/>
      <c r="R33" s="32"/>
    </row>
    <row r="34" spans="3:18" ht="25.35" customHeight="1">
      <c r="C34" s="3"/>
      <c r="D34" s="3"/>
      <c r="E34" s="9"/>
      <c r="F34" s="36"/>
      <c r="G34" s="37" t="s">
        <v>46</v>
      </c>
      <c r="H34" s="36"/>
      <c r="I34" s="40"/>
      <c r="J34" s="11"/>
      <c r="K34" s="37" t="str">
        <f>'BOM_Phan II'!P241</f>
        <v>Nguyễn Tân Hồng</v>
      </c>
      <c r="L34" s="8"/>
      <c r="M34" s="8"/>
      <c r="N34" s="11"/>
      <c r="O34" s="69" t="s">
        <v>75</v>
      </c>
      <c r="P34" s="32"/>
      <c r="Q34" s="32"/>
      <c r="R34" s="32"/>
    </row>
    <row r="35" spans="3:18" ht="25.35" customHeight="1">
      <c r="C35" s="3"/>
      <c r="D35" s="3"/>
      <c r="E35" s="9"/>
      <c r="F35" s="36"/>
      <c r="G35" s="37"/>
      <c r="H35" s="36"/>
      <c r="I35" s="36"/>
      <c r="J35" s="11"/>
      <c r="K35" s="36"/>
      <c r="L35" s="8"/>
      <c r="M35" s="8"/>
      <c r="N35" s="11"/>
    </row>
    <row r="36" spans="3:18" ht="25.35" customHeight="1">
      <c r="C36" s="43"/>
      <c r="D36" s="43"/>
      <c r="E36" s="9"/>
      <c r="F36" s="36"/>
      <c r="G36" s="37"/>
      <c r="H36" s="36"/>
      <c r="I36" s="36"/>
      <c r="J36" s="11"/>
      <c r="K36" s="36"/>
      <c r="L36" s="8"/>
      <c r="M36" s="8"/>
      <c r="N36" s="11"/>
    </row>
    <row r="37" spans="3:18" ht="25.35" customHeight="1">
      <c r="C37" s="3"/>
      <c r="D37" s="3"/>
      <c r="E37" s="9"/>
      <c r="F37" s="36"/>
      <c r="G37" s="37"/>
      <c r="H37" s="36"/>
      <c r="I37" s="36"/>
      <c r="J37" s="11"/>
      <c r="K37" s="36"/>
      <c r="L37" s="8"/>
      <c r="M37" s="8"/>
      <c r="N37" s="11"/>
    </row>
    <row r="38" spans="3:18" ht="25.35" customHeight="1">
      <c r="C38" s="3"/>
      <c r="D38" s="3"/>
      <c r="E38" s="9"/>
      <c r="F38" s="44"/>
      <c r="G38" s="99"/>
      <c r="H38" s="44"/>
      <c r="I38" s="8"/>
      <c r="J38" s="45"/>
      <c r="K38" s="44"/>
      <c r="L38" s="8"/>
      <c r="M38" s="8"/>
      <c r="N38" s="45"/>
    </row>
  </sheetData>
  <sheetProtection formatCells="0" formatColumns="0" formatRows="0" insertColumns="0" insertRows="0" insertHyperlinks="0" deleteColumns="0" deleteRows="0" sort="0" autoFilter="0" pivotTables="0"/>
  <autoFilter ref="C12:O34" xr:uid="{842A61C4-7B4F-41B1-8FE6-0A0C645AF4DB}">
    <filterColumn colId="12">
      <customFilters>
        <customFilter operator="notEqual" val=" "/>
      </customFilters>
    </filterColumn>
  </autoFilter>
  <mergeCells count="26">
    <mergeCell ref="C8:D8"/>
    <mergeCell ref="C1:E3"/>
    <mergeCell ref="F1:J3"/>
    <mergeCell ref="L1:M1"/>
    <mergeCell ref="P1:R2"/>
    <mergeCell ref="L2:M2"/>
    <mergeCell ref="L3:M3"/>
    <mergeCell ref="C4:D4"/>
    <mergeCell ref="C5:D6"/>
    <mergeCell ref="E5:I6"/>
    <mergeCell ref="J5:J6"/>
    <mergeCell ref="C7:D7"/>
    <mergeCell ref="A11:A12"/>
    <mergeCell ref="B11:B12"/>
    <mergeCell ref="C11:C12"/>
    <mergeCell ref="D11:D12"/>
    <mergeCell ref="E11:G11"/>
    <mergeCell ref="K11:K12"/>
    <mergeCell ref="L11:L12"/>
    <mergeCell ref="M11:M12"/>
    <mergeCell ref="N11:N12"/>
    <mergeCell ref="C9:D9"/>
    <mergeCell ref="C10:M10"/>
    <mergeCell ref="H11:H12"/>
    <mergeCell ref="I11:I12"/>
    <mergeCell ref="J11:J12"/>
  </mergeCells>
  <conditionalFormatting sqref="K14:L26">
    <cfRule type="expression" dxfId="19" priority="4">
      <formula>K14="LỖI DỮ LIỆU"</formula>
    </cfRule>
  </conditionalFormatting>
  <conditionalFormatting sqref="K14:M26">
    <cfRule type="cellIs" dxfId="18" priority="2" operator="equal">
      <formula>0</formula>
    </cfRule>
  </conditionalFormatting>
  <conditionalFormatting sqref="M14:M26">
    <cfRule type="cellIs" dxfId="17" priority="1" operator="equal">
      <formula>0</formula>
    </cfRule>
    <cfRule type="cellIs" dxfId="16" priority="3" operator="equal">
      <formula>0</formula>
    </cfRule>
  </conditionalFormatting>
  <dataValidations count="3">
    <dataValidation type="list" allowBlank="1" showInputMessage="1" showErrorMessage="1" sqref="G34" xr:uid="{4CC16AC9-F027-4F30-8F5C-8ED5211CB21B}">
      <formula1>$Y$2:$Y$3</formula1>
    </dataValidation>
    <dataValidation type="list" allowBlank="1" showInputMessage="1" showErrorMessage="1" sqref="L27" xr:uid="{C8B1EF9E-3114-4C08-A792-FC79533CA90F}">
      <formula1>$W$2:$W$10</formula1>
    </dataValidation>
    <dataValidation type="list" allowBlank="1" showInputMessage="1" showErrorMessage="1" sqref="L25:L26 L23" xr:uid="{449E6C38-7CC5-4FD2-9425-9CF67524223D}">
      <formula1>$Z$4:$Z$7</formula1>
    </dataValidation>
  </dataValidations>
  <printOptions horizontalCentered="1"/>
  <pageMargins left="0" right="0" top="0.25" bottom="0.25" header="0" footer="0"/>
  <pageSetup paperSize="9" scale="52" orientation="landscape" r:id="rId1"/>
  <headerFooter scaleWithDoc="0" alignWithMargins="0">
    <oddFooter>Page &amp;P of &amp;N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02286-CA8D-4009-8941-730398DC36B3}">
  <sheetPr codeName="Sheet8" filterMode="1">
    <tabColor rgb="FFFFFF00"/>
  </sheetPr>
  <dimension ref="A1:AJ53"/>
  <sheetViews>
    <sheetView view="pageBreakPreview" zoomScale="70" zoomScaleNormal="55" zoomScaleSheetLayoutView="70" workbookViewId="0">
      <pane ySplit="12" topLeftCell="A15" activePane="bottomLeft" state="frozen"/>
      <selection activeCell="Q4" sqref="Q4"/>
      <selection pane="bottomLeft" activeCell="J27" sqref="J27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81" customWidth="1"/>
    <col min="4" max="4" width="31.42578125" style="14" customWidth="1"/>
    <col min="5" max="5" width="7.42578125" style="14" customWidth="1"/>
    <col min="6" max="7" width="7.42578125" style="3" customWidth="1"/>
    <col min="8" max="8" width="7.42578125" style="14" customWidth="1"/>
    <col min="9" max="9" width="33.85546875" style="16" customWidth="1"/>
    <col min="10" max="10" width="43.85546875" style="16" customWidth="1"/>
    <col min="11" max="11" width="25.140625" style="14" customWidth="1"/>
    <col min="12" max="12" width="10.42578125" style="15" customWidth="1"/>
    <col min="13" max="13" width="14.28515625" style="15" bestFit="1" customWidth="1"/>
    <col min="14" max="14" width="4.85546875" style="16" customWidth="1"/>
    <col min="15" max="18" width="8.85546875" style="3" customWidth="1"/>
    <col min="19" max="22" width="4.85546875" style="3"/>
    <col min="23" max="23" width="11.85546875" style="3" customWidth="1"/>
    <col min="24" max="24" width="20.7109375" style="3" hidden="1" customWidth="1"/>
    <col min="25" max="25" width="13.7109375" style="3" hidden="1" customWidth="1"/>
    <col min="26" max="26" width="22.140625" style="3" hidden="1" customWidth="1"/>
    <col min="27" max="28" width="0" style="3" hidden="1" customWidth="1"/>
    <col min="29" max="29" width="13.7109375" style="3" hidden="1" customWidth="1"/>
    <col min="30" max="35" width="4.85546875" style="3"/>
    <col min="36" max="36" width="7.140625" style="3" customWidth="1"/>
    <col min="37" max="16384" width="4.85546875" style="3"/>
  </cols>
  <sheetData>
    <row r="1" spans="1:36" ht="27.75" customHeight="1">
      <c r="C1" s="320"/>
      <c r="D1" s="321"/>
      <c r="E1" s="322"/>
      <c r="F1" s="329" t="s">
        <v>142</v>
      </c>
      <c r="G1" s="330"/>
      <c r="H1" s="330"/>
      <c r="I1" s="330"/>
      <c r="J1" s="331"/>
      <c r="K1" s="144" t="s">
        <v>29</v>
      </c>
      <c r="L1" s="338" t="s">
        <v>44</v>
      </c>
      <c r="M1" s="339"/>
      <c r="N1" s="110"/>
      <c r="P1" s="340" t="s">
        <v>67</v>
      </c>
      <c r="Q1" s="341"/>
      <c r="R1" s="342"/>
    </row>
    <row r="2" spans="1:36" ht="27.75" customHeight="1" thickBot="1">
      <c r="C2" s="323"/>
      <c r="D2" s="324"/>
      <c r="E2" s="325"/>
      <c r="F2" s="332"/>
      <c r="G2" s="333"/>
      <c r="H2" s="333"/>
      <c r="I2" s="333"/>
      <c r="J2" s="334"/>
      <c r="K2" s="27" t="s">
        <v>30</v>
      </c>
      <c r="L2" s="346"/>
      <c r="M2" s="347"/>
      <c r="N2" s="215"/>
      <c r="P2" s="343"/>
      <c r="Q2" s="344"/>
      <c r="R2" s="345"/>
      <c r="W2" s="216"/>
      <c r="X2" s="30" t="s">
        <v>124</v>
      </c>
      <c r="Y2" s="30" t="s">
        <v>66</v>
      </c>
      <c r="Z2" s="30"/>
      <c r="AA2" s="30"/>
      <c r="AB2" s="30"/>
    </row>
    <row r="3" spans="1:36" ht="27.75" customHeight="1" thickBot="1">
      <c r="C3" s="326"/>
      <c r="D3" s="327"/>
      <c r="E3" s="328"/>
      <c r="F3" s="335"/>
      <c r="G3" s="336"/>
      <c r="H3" s="336"/>
      <c r="I3" s="336"/>
      <c r="J3" s="337"/>
      <c r="K3" s="27" t="s">
        <v>31</v>
      </c>
      <c r="L3" s="346"/>
      <c r="M3" s="347"/>
      <c r="N3" s="217"/>
      <c r="P3" s="48"/>
      <c r="Q3" s="100">
        <f>'BOM_Phan II'!Y3</f>
        <v>1</v>
      </c>
      <c r="R3" s="48"/>
      <c r="W3" s="216"/>
      <c r="X3" s="30" t="s">
        <v>125</v>
      </c>
      <c r="Y3" s="30"/>
      <c r="Z3" s="30"/>
      <c r="AA3" s="30"/>
      <c r="AB3" s="30"/>
      <c r="AC3" s="3" t="s">
        <v>124</v>
      </c>
    </row>
    <row r="4" spans="1:36" ht="25.35" customHeight="1">
      <c r="C4" s="348" t="s">
        <v>25</v>
      </c>
      <c r="D4" s="349"/>
      <c r="E4" s="102" t="str">
        <f>'BOM_Phan II'!E4</f>
        <v>LAGOME_BURNLEY MALTINGS</v>
      </c>
      <c r="F4" s="92"/>
      <c r="G4" s="92"/>
      <c r="H4" s="92"/>
      <c r="I4" s="92"/>
      <c r="J4" s="128" t="s">
        <v>24</v>
      </c>
      <c r="K4" s="218" t="str">
        <f>'BOM_Phan II'!P4</f>
        <v>2573_LAGOME_CT07</v>
      </c>
      <c r="L4" s="219"/>
      <c r="M4" s="219"/>
      <c r="N4" s="220"/>
      <c r="W4" s="216"/>
      <c r="X4" s="30" t="s">
        <v>86</v>
      </c>
      <c r="Y4" s="30"/>
      <c r="Z4" s="30" t="s">
        <v>76</v>
      </c>
      <c r="AA4" s="30"/>
      <c r="AB4" s="30"/>
      <c r="AC4" s="3" t="s">
        <v>125</v>
      </c>
    </row>
    <row r="5" spans="1:36" ht="25.35" customHeight="1">
      <c r="C5" s="350" t="s">
        <v>28</v>
      </c>
      <c r="D5" s="351"/>
      <c r="E5" s="354" t="str">
        <f>'BOM_Phan II'!E5</f>
        <v>Laundry_ (TH 11)</v>
      </c>
      <c r="F5" s="355"/>
      <c r="G5" s="355"/>
      <c r="H5" s="355"/>
      <c r="I5" s="356"/>
      <c r="J5" s="360" t="s">
        <v>27</v>
      </c>
      <c r="K5" s="221" t="s">
        <v>126</v>
      </c>
      <c r="L5" s="221" t="s">
        <v>127</v>
      </c>
      <c r="M5" s="221" t="s">
        <v>128</v>
      </c>
      <c r="N5" s="220"/>
      <c r="W5" s="216"/>
      <c r="X5" s="30" t="s">
        <v>64</v>
      </c>
      <c r="Y5" s="30"/>
      <c r="Z5" s="30" t="s">
        <v>77</v>
      </c>
      <c r="AA5" s="30"/>
      <c r="AB5" s="30"/>
      <c r="AC5" s="3" t="s">
        <v>86</v>
      </c>
    </row>
    <row r="6" spans="1:36" ht="25.35" customHeight="1">
      <c r="C6" s="352"/>
      <c r="D6" s="353"/>
      <c r="E6" s="357"/>
      <c r="F6" s="358"/>
      <c r="G6" s="358"/>
      <c r="H6" s="358"/>
      <c r="I6" s="359"/>
      <c r="J6" s="361"/>
      <c r="K6" s="221">
        <f>IFERROR(IF('BOM_Phan IV'!T13=3,AVERAGE('BOM_Phan IV'!M13:M1400),""),"")</f>
        <v>1499.7142857142858</v>
      </c>
      <c r="L6" s="221">
        <f>IFERROR(IF('BOM_Phan IV'!T13=3,AVERAGE('BOM_Phan IV'!L13:L1400),""),"")</f>
        <v>536.85714285714289</v>
      </c>
      <c r="M6" s="221">
        <f>IFERROR(IF('BOM_Phan IV'!T13=3,AVERAGE('BOM_Phan IV'!K13:K1400),""),"")</f>
        <v>183.85714285714286</v>
      </c>
      <c r="N6" s="220"/>
      <c r="W6" s="216"/>
      <c r="X6" s="30" t="s">
        <v>64</v>
      </c>
      <c r="Y6" s="30"/>
      <c r="Z6" s="30" t="s">
        <v>77</v>
      </c>
      <c r="AA6" s="30"/>
      <c r="AB6" s="30"/>
      <c r="AC6" s="3" t="s">
        <v>86</v>
      </c>
    </row>
    <row r="7" spans="1:36" ht="25.35" customHeight="1">
      <c r="C7" s="318" t="s">
        <v>23</v>
      </c>
      <c r="D7" s="319"/>
      <c r="E7" s="95" t="str">
        <f>'BOM_Phan II'!E6</f>
        <v>L01</v>
      </c>
      <c r="F7" s="94"/>
      <c r="G7" s="94"/>
      <c r="H7" s="94"/>
      <c r="I7" s="94"/>
      <c r="J7" s="127" t="s">
        <v>26</v>
      </c>
      <c r="K7" s="222">
        <f>IF(K6&lt;&gt;"",SUM('BOM_Phan IV'!N13:N1400),"")</f>
        <v>14</v>
      </c>
      <c r="L7" s="223"/>
      <c r="M7" s="223"/>
      <c r="N7" s="220"/>
      <c r="W7" s="216"/>
      <c r="X7" s="30" t="s">
        <v>65</v>
      </c>
      <c r="Y7" s="30"/>
      <c r="Z7" s="30"/>
      <c r="AA7" s="30"/>
      <c r="AB7" s="30"/>
      <c r="AC7" s="3" t="s">
        <v>64</v>
      </c>
    </row>
    <row r="8" spans="1:36" ht="25.35" customHeight="1">
      <c r="C8" s="318" t="s">
        <v>21</v>
      </c>
      <c r="D8" s="319"/>
      <c r="E8" s="95">
        <f>'BOM_Phan II'!E7</f>
        <v>1.1000000000000001</v>
      </c>
      <c r="F8" s="94"/>
      <c r="G8" s="94"/>
      <c r="H8" s="94"/>
      <c r="I8" s="94"/>
      <c r="J8" s="127" t="s">
        <v>34</v>
      </c>
      <c r="K8" s="95" t="str">
        <f>'BOM_Phan II'!P7</f>
        <v>Theo module và giao rời</v>
      </c>
      <c r="L8" s="124"/>
      <c r="M8" s="124"/>
      <c r="N8" s="220"/>
      <c r="P8" s="46"/>
      <c r="W8" s="216"/>
      <c r="X8" s="30" t="s">
        <v>66</v>
      </c>
      <c r="Y8" s="30"/>
      <c r="Z8" s="30"/>
      <c r="AA8" s="30"/>
      <c r="AB8" s="30"/>
      <c r="AC8" s="3" t="s">
        <v>65</v>
      </c>
    </row>
    <row r="9" spans="1:36" ht="25.35" customHeight="1">
      <c r="C9" s="304" t="s">
        <v>9</v>
      </c>
      <c r="D9" s="305"/>
      <c r="E9" s="104" t="str">
        <f>'BOM_Phan II'!E8</f>
        <v xml:space="preserve">PB E1 chống ẩm 2M Melamine MEL1: MS 024T
</v>
      </c>
      <c r="F9" s="98"/>
      <c r="G9" s="98"/>
      <c r="H9" s="98"/>
      <c r="I9" s="98"/>
      <c r="J9" s="129" t="s">
        <v>22</v>
      </c>
      <c r="K9" s="104" t="str">
        <f>'BOM_Phan II'!P8</f>
        <v>MEL01,Đồng màu MEL1</v>
      </c>
      <c r="L9" s="126"/>
      <c r="M9" s="126"/>
      <c r="N9" s="220"/>
      <c r="W9" s="216"/>
      <c r="X9" s="30" t="s">
        <v>129</v>
      </c>
      <c r="Y9" s="30"/>
      <c r="Z9" s="30"/>
      <c r="AA9" s="30"/>
      <c r="AB9" s="30"/>
      <c r="AC9" s="3" t="s">
        <v>66</v>
      </c>
    </row>
    <row r="10" spans="1:36" ht="23.25" customHeight="1" thickBot="1">
      <c r="C10" s="306"/>
      <c r="D10" s="307"/>
      <c r="E10" s="307"/>
      <c r="F10" s="307"/>
      <c r="G10" s="307"/>
      <c r="H10" s="307"/>
      <c r="I10" s="307"/>
      <c r="J10" s="307"/>
      <c r="K10" s="308"/>
      <c r="L10" s="308"/>
      <c r="M10" s="308"/>
      <c r="N10" s="14"/>
      <c r="W10" s="216"/>
      <c r="X10" s="30"/>
      <c r="Y10" s="30"/>
      <c r="Z10" s="30"/>
      <c r="AA10" s="30"/>
      <c r="AB10" s="30"/>
      <c r="AC10" s="3" t="s">
        <v>88</v>
      </c>
    </row>
    <row r="11" spans="1:36" ht="33" customHeight="1">
      <c r="A11" s="313" t="s">
        <v>73</v>
      </c>
      <c r="B11" s="314" t="s">
        <v>74</v>
      </c>
      <c r="C11" s="315" t="s">
        <v>10</v>
      </c>
      <c r="D11" s="309" t="s">
        <v>43</v>
      </c>
      <c r="E11" s="317" t="s">
        <v>1</v>
      </c>
      <c r="F11" s="309"/>
      <c r="G11" s="309"/>
      <c r="H11" s="309" t="s">
        <v>0</v>
      </c>
      <c r="I11" s="309" t="s">
        <v>62</v>
      </c>
      <c r="J11" s="311" t="s">
        <v>69</v>
      </c>
      <c r="K11" s="297" t="s">
        <v>61</v>
      </c>
      <c r="L11" s="299" t="s">
        <v>47</v>
      </c>
      <c r="M11" s="301" t="s">
        <v>48</v>
      </c>
      <c r="N11" s="303" t="s">
        <v>78</v>
      </c>
      <c r="X11" s="30"/>
    </row>
    <row r="12" spans="1:36" ht="41.1" customHeight="1">
      <c r="A12" s="313"/>
      <c r="B12" s="314"/>
      <c r="C12" s="316"/>
      <c r="D12" s="310"/>
      <c r="E12" s="101" t="s">
        <v>18</v>
      </c>
      <c r="F12" s="101" t="s">
        <v>19</v>
      </c>
      <c r="G12" s="101" t="s">
        <v>20</v>
      </c>
      <c r="H12" s="310"/>
      <c r="I12" s="310"/>
      <c r="J12" s="312"/>
      <c r="K12" s="298"/>
      <c r="L12" s="300"/>
      <c r="M12" s="302"/>
      <c r="N12" s="303"/>
      <c r="O12" s="47" t="s">
        <v>56</v>
      </c>
      <c r="P12" s="31"/>
      <c r="Q12" s="31"/>
      <c r="R12" s="31"/>
      <c r="X12" s="30"/>
    </row>
    <row r="13" spans="1:36" s="233" customFormat="1" ht="35.1" customHeight="1">
      <c r="A13" s="224" t="str">
        <f t="shared" ref="A13:A42" si="0">IF(O13="IN",$E$7,"")</f>
        <v>L01</v>
      </c>
      <c r="B13" s="224" t="str">
        <f t="shared" ref="B13:B42" si="1">IF(O13="IN","Muc "&amp;$E$8,"")</f>
        <v>Muc 1.1</v>
      </c>
      <c r="C13" s="225" t="s">
        <v>14</v>
      </c>
      <c r="D13" s="226" t="s">
        <v>71</v>
      </c>
      <c r="E13" s="227"/>
      <c r="F13" s="227"/>
      <c r="G13" s="227"/>
      <c r="H13" s="227"/>
      <c r="I13" s="228"/>
      <c r="J13" s="229"/>
      <c r="K13" s="228"/>
      <c r="L13" s="230"/>
      <c r="M13" s="231"/>
      <c r="N13" s="232">
        <f>IF(O13="IN",$Q$3,"")</f>
        <v>1</v>
      </c>
      <c r="O13" s="232" t="str">
        <f t="shared" ref="O13:O42" si="2">IF(OR(C13&lt;&gt;"",D13&lt;&gt;""),"IN","")</f>
        <v>IN</v>
      </c>
      <c r="P13" s="110"/>
      <c r="Q13" s="232"/>
      <c r="R13" s="110"/>
      <c r="X13" s="43"/>
      <c r="Y13" s="43"/>
      <c r="AA13" s="43"/>
      <c r="AB13" s="43"/>
    </row>
    <row r="14" spans="1:36" s="244" customFormat="1" ht="39.950000000000003" customHeight="1">
      <c r="A14" s="234" t="str">
        <f t="shared" si="0"/>
        <v>L01</v>
      </c>
      <c r="B14" s="234" t="str">
        <f t="shared" si="1"/>
        <v>Muc 1.1</v>
      </c>
      <c r="C14" s="235">
        <v>1</v>
      </c>
      <c r="D14" s="236" t="s">
        <v>143</v>
      </c>
      <c r="E14" s="237">
        <v>20</v>
      </c>
      <c r="F14" s="237">
        <f>IFERROR(IF($L$6-100-100&lt;0,0,$L$6-100-100),"")</f>
        <v>336.85714285714289</v>
      </c>
      <c r="G14" s="237">
        <f>IFERROR(IF($K$6-100-100&lt;0,0,$K$6-100-100),"")</f>
        <v>1299.7142857142858</v>
      </c>
      <c r="H14" s="237">
        <f>+IFERROR(2*K7,"")</f>
        <v>28</v>
      </c>
      <c r="I14" s="236" t="s">
        <v>144</v>
      </c>
      <c r="J14" s="238"/>
      <c r="K14" s="239"/>
      <c r="L14" s="240" t="s">
        <v>145</v>
      </c>
      <c r="M14" s="241">
        <f t="shared" ref="M14:M30" si="3">IFERROR(IF(OR(L14="Cái",L14="Cụm",L14="Hệ"),H14,IF(L14="Thanh",(G14*H14/2400),IF(L14="Tấm",(F14*G14*H14)/(1220*2440),IF(L14="Tấm1",(F14*G14*H14)/(2000*1000),IF(L14="Tấm2",(F14*G14*H14)/(1800*3100),IF(L14="M2",F14*G14*H14/10^6,IF(L14="M3",E14*F14*G14*H14/10^9,0))))))),"")</f>
        <v>6.1294525714285717</v>
      </c>
      <c r="N14" s="242">
        <f t="shared" ref="N14:N42" si="4">IF(O14="IN",$Q$3,"")</f>
        <v>1</v>
      </c>
      <c r="O14" s="242" t="str">
        <f t="shared" si="2"/>
        <v>IN</v>
      </c>
      <c r="P14" s="243"/>
      <c r="Q14" s="242"/>
      <c r="R14" s="243"/>
      <c r="W14" s="244" t="s">
        <v>144</v>
      </c>
      <c r="AJ14" s="240" t="s">
        <v>145</v>
      </c>
    </row>
    <row r="15" spans="1:36" s="244" customFormat="1" ht="39.950000000000003" customHeight="1">
      <c r="A15" s="234" t="str">
        <f t="shared" si="0"/>
        <v>L01</v>
      </c>
      <c r="B15" s="234" t="str">
        <f t="shared" si="1"/>
        <v>Muc 1.1</v>
      </c>
      <c r="C15" s="235">
        <v>2</v>
      </c>
      <c r="D15" s="245" t="s">
        <v>146</v>
      </c>
      <c r="E15" s="246">
        <v>20</v>
      </c>
      <c r="F15" s="237">
        <f>IFERROR(IF($L$6-100-100&lt;0,0,$L$6-100-100),"")</f>
        <v>336.85714285714289</v>
      </c>
      <c r="G15" s="237">
        <f>IFERROR(IF($M$6-100&lt;0,0,$M$6-100),"")</f>
        <v>83.857142857142861</v>
      </c>
      <c r="H15" s="237">
        <f>+IFERROR(2*K7,"")</f>
        <v>28</v>
      </c>
      <c r="I15" s="239" t="s">
        <v>144</v>
      </c>
      <c r="J15" s="238"/>
      <c r="K15" s="239"/>
      <c r="L15" s="240" t="s">
        <v>145</v>
      </c>
      <c r="M15" s="241">
        <f t="shared" si="3"/>
        <v>0.39547028571428572</v>
      </c>
      <c r="N15" s="242">
        <f t="shared" si="4"/>
        <v>1</v>
      </c>
      <c r="O15" s="242" t="str">
        <f t="shared" si="2"/>
        <v>IN</v>
      </c>
      <c r="P15" s="243"/>
      <c r="Q15" s="242"/>
      <c r="R15" s="243"/>
      <c r="W15" s="244" t="s">
        <v>147</v>
      </c>
      <c r="X15" s="233"/>
      <c r="Y15" s="233"/>
      <c r="Z15" s="233"/>
      <c r="AJ15" s="244" t="s">
        <v>148</v>
      </c>
    </row>
    <row r="16" spans="1:36" s="244" customFormat="1" ht="39.950000000000003" customHeight="1">
      <c r="A16" s="234" t="str">
        <f t="shared" si="0"/>
        <v>L01</v>
      </c>
      <c r="B16" s="234" t="str">
        <f t="shared" si="1"/>
        <v>Muc 1.1</v>
      </c>
      <c r="C16" s="235">
        <v>3</v>
      </c>
      <c r="D16" s="245" t="s">
        <v>149</v>
      </c>
      <c r="E16" s="246">
        <v>20</v>
      </c>
      <c r="F16" s="237">
        <f>IFERROR(IF($K$6-100-100&lt;0,0,$K$6-100-100),"")</f>
        <v>1299.7142857142858</v>
      </c>
      <c r="G16" s="237">
        <f>IFERROR(IF($M$6-100&lt;0,0,$M$6-100),"")</f>
        <v>83.857142857142861</v>
      </c>
      <c r="H16" s="237">
        <f>+IFERROR(2*K7,"")</f>
        <v>28</v>
      </c>
      <c r="I16" s="239" t="s">
        <v>144</v>
      </c>
      <c r="J16" s="238"/>
      <c r="K16" s="239"/>
      <c r="L16" s="240" t="s">
        <v>145</v>
      </c>
      <c r="M16" s="241">
        <f t="shared" si="3"/>
        <v>1.5258645714285715</v>
      </c>
      <c r="N16" s="242">
        <f t="shared" si="4"/>
        <v>1</v>
      </c>
      <c r="O16" s="242" t="str">
        <f t="shared" si="2"/>
        <v>IN</v>
      </c>
      <c r="P16" s="243"/>
      <c r="Q16" s="242"/>
      <c r="R16" s="243"/>
      <c r="X16" s="233"/>
      <c r="Y16" s="233"/>
      <c r="Z16" s="233"/>
    </row>
    <row r="17" spans="1:26" s="244" customFormat="1" ht="39.950000000000003" customHeight="1">
      <c r="A17" s="234" t="str">
        <f t="shared" si="0"/>
        <v>L01</v>
      </c>
      <c r="B17" s="234" t="str">
        <f t="shared" si="1"/>
        <v>Muc 1.1</v>
      </c>
      <c r="C17" s="235">
        <v>4</v>
      </c>
      <c r="D17" s="245" t="s">
        <v>150</v>
      </c>
      <c r="E17" s="246"/>
      <c r="F17" s="237">
        <v>100</v>
      </c>
      <c r="G17" s="237">
        <v>100</v>
      </c>
      <c r="H17" s="237">
        <f>+IFERROR(24*K7,"")</f>
        <v>336</v>
      </c>
      <c r="I17" s="239" t="s">
        <v>147</v>
      </c>
      <c r="J17" s="238"/>
      <c r="K17" s="239"/>
      <c r="L17" s="240" t="s">
        <v>148</v>
      </c>
      <c r="M17" s="241">
        <f t="shared" si="3"/>
        <v>0.60215053763440862</v>
      </c>
      <c r="N17" s="242">
        <f t="shared" si="4"/>
        <v>1</v>
      </c>
      <c r="O17" s="242" t="str">
        <f t="shared" si="2"/>
        <v>IN</v>
      </c>
      <c r="P17" s="243"/>
      <c r="Q17" s="242"/>
      <c r="R17" s="243"/>
      <c r="X17" s="233"/>
      <c r="Y17" s="233"/>
      <c r="Z17" s="233"/>
    </row>
    <row r="18" spans="1:26" s="244" customFormat="1" ht="39.950000000000003" customHeight="1">
      <c r="A18" s="234" t="str">
        <f t="shared" si="0"/>
        <v>L01</v>
      </c>
      <c r="B18" s="234" t="str">
        <f t="shared" si="1"/>
        <v>Muc 1.1</v>
      </c>
      <c r="C18" s="235">
        <v>5</v>
      </c>
      <c r="D18" s="245" t="s">
        <v>151</v>
      </c>
      <c r="E18" s="246">
        <v>20</v>
      </c>
      <c r="F18" s="237">
        <v>100</v>
      </c>
      <c r="G18" s="237">
        <v>100</v>
      </c>
      <c r="H18" s="237">
        <f>+IFERROR(8*K7,"")</f>
        <v>112</v>
      </c>
      <c r="I18" s="239" t="s">
        <v>152</v>
      </c>
      <c r="J18" s="238"/>
      <c r="K18" s="239"/>
      <c r="L18" s="240" t="s">
        <v>153</v>
      </c>
      <c r="M18" s="241">
        <f t="shared" si="3"/>
        <v>112</v>
      </c>
      <c r="N18" s="242">
        <f t="shared" si="4"/>
        <v>1</v>
      </c>
      <c r="O18" s="242" t="str">
        <f t="shared" si="2"/>
        <v>IN</v>
      </c>
      <c r="P18" s="243"/>
      <c r="Q18" s="242"/>
      <c r="R18" s="243"/>
      <c r="X18" s="233"/>
      <c r="Y18" s="233"/>
      <c r="Z18" s="233"/>
    </row>
    <row r="19" spans="1:26" s="244" customFormat="1" ht="39.950000000000003" customHeight="1">
      <c r="A19" s="234" t="str">
        <f t="shared" si="0"/>
        <v>L01</v>
      </c>
      <c r="B19" s="234" t="str">
        <f t="shared" si="1"/>
        <v>Muc 1.1</v>
      </c>
      <c r="C19" s="235">
        <v>6</v>
      </c>
      <c r="D19" s="245" t="s">
        <v>154</v>
      </c>
      <c r="E19" s="246"/>
      <c r="F19" s="237">
        <f>+$F$17-$E$18</f>
        <v>80</v>
      </c>
      <c r="G19" s="237">
        <f>+$G$17-$E$18</f>
        <v>80</v>
      </c>
      <c r="H19" s="237">
        <f>+IFERROR(24*K7,"")</f>
        <v>336</v>
      </c>
      <c r="I19" s="239" t="s">
        <v>147</v>
      </c>
      <c r="J19" s="238"/>
      <c r="K19" s="239"/>
      <c r="L19" s="240" t="s">
        <v>148</v>
      </c>
      <c r="M19" s="241">
        <f t="shared" si="3"/>
        <v>0.38537634408602151</v>
      </c>
      <c r="N19" s="242">
        <f t="shared" si="4"/>
        <v>1</v>
      </c>
      <c r="O19" s="242" t="str">
        <f t="shared" si="2"/>
        <v>IN</v>
      </c>
      <c r="P19" s="243"/>
      <c r="Q19" s="242"/>
      <c r="R19" s="243"/>
      <c r="X19" s="233"/>
      <c r="Y19" s="233"/>
      <c r="Z19" s="233"/>
    </row>
    <row r="20" spans="1:26" s="244" customFormat="1" ht="39.950000000000003" customHeight="1">
      <c r="A20" s="234" t="str">
        <f t="shared" si="0"/>
        <v>L01</v>
      </c>
      <c r="B20" s="234" t="str">
        <f t="shared" si="1"/>
        <v>Muc 1.1</v>
      </c>
      <c r="C20" s="235">
        <v>7</v>
      </c>
      <c r="D20" s="245" t="s">
        <v>155</v>
      </c>
      <c r="E20" s="246"/>
      <c r="F20" s="237">
        <v>100</v>
      </c>
      <c r="G20" s="237">
        <f>IFERROR(IF($M$6-100-100&lt;0,0,$M$6-100-100),"")</f>
        <v>0</v>
      </c>
      <c r="H20" s="237">
        <f>+IFERROR(8*K7,"")</f>
        <v>112</v>
      </c>
      <c r="I20" s="239" t="s">
        <v>147</v>
      </c>
      <c r="J20" s="238"/>
      <c r="K20" s="239"/>
      <c r="L20" s="240" t="s">
        <v>148</v>
      </c>
      <c r="M20" s="241">
        <f t="shared" si="3"/>
        <v>0</v>
      </c>
      <c r="N20" s="242">
        <f t="shared" si="4"/>
        <v>1</v>
      </c>
      <c r="O20" s="242" t="str">
        <f t="shared" si="2"/>
        <v>IN</v>
      </c>
      <c r="P20" s="243"/>
      <c r="Q20" s="242"/>
      <c r="R20" s="243"/>
      <c r="X20" s="233"/>
      <c r="Y20" s="233"/>
      <c r="Z20" s="233"/>
    </row>
    <row r="21" spans="1:26" s="244" customFormat="1" ht="39.950000000000003" customHeight="1">
      <c r="A21" s="234" t="str">
        <f t="shared" si="0"/>
        <v>L01</v>
      </c>
      <c r="B21" s="234" t="str">
        <f t="shared" si="1"/>
        <v>Muc 1.1</v>
      </c>
      <c r="C21" s="235">
        <v>8</v>
      </c>
      <c r="D21" s="245" t="s">
        <v>156</v>
      </c>
      <c r="E21" s="246">
        <v>20</v>
      </c>
      <c r="F21" s="237">
        <v>100</v>
      </c>
      <c r="G21" s="237">
        <f>+$G$20</f>
        <v>0</v>
      </c>
      <c r="H21" s="237">
        <f>+H20</f>
        <v>112</v>
      </c>
      <c r="I21" s="239" t="s">
        <v>144</v>
      </c>
      <c r="J21" s="238"/>
      <c r="K21" s="239"/>
      <c r="L21" s="240" t="s">
        <v>145</v>
      </c>
      <c r="M21" s="241">
        <f t="shared" si="3"/>
        <v>0</v>
      </c>
      <c r="N21" s="242">
        <f t="shared" si="4"/>
        <v>1</v>
      </c>
      <c r="O21" s="242" t="str">
        <f t="shared" si="2"/>
        <v>IN</v>
      </c>
      <c r="P21" s="243"/>
      <c r="Q21" s="242"/>
      <c r="R21" s="243"/>
      <c r="X21" s="233"/>
      <c r="Y21" s="233"/>
      <c r="Z21" s="233"/>
    </row>
    <row r="22" spans="1:26" s="244" customFormat="1" ht="39.950000000000003" customHeight="1">
      <c r="A22" s="234" t="str">
        <f t="shared" si="0"/>
        <v>L01</v>
      </c>
      <c r="B22" s="234" t="str">
        <f t="shared" si="1"/>
        <v>Muc 1.1</v>
      </c>
      <c r="C22" s="235">
        <v>9</v>
      </c>
      <c r="D22" s="245" t="s">
        <v>157</v>
      </c>
      <c r="E22" s="246"/>
      <c r="F22" s="237">
        <f>+$F$21-$E$21</f>
        <v>80</v>
      </c>
      <c r="G22" s="237">
        <f>+$G$21</f>
        <v>0</v>
      </c>
      <c r="H22" s="237">
        <f>+H21</f>
        <v>112</v>
      </c>
      <c r="I22" s="239" t="s">
        <v>147</v>
      </c>
      <c r="J22" s="238"/>
      <c r="K22" s="239"/>
      <c r="L22" s="240" t="s">
        <v>148</v>
      </c>
      <c r="M22" s="241">
        <f t="shared" si="3"/>
        <v>0</v>
      </c>
      <c r="N22" s="242">
        <f t="shared" si="4"/>
        <v>1</v>
      </c>
      <c r="O22" s="242" t="str">
        <f t="shared" si="2"/>
        <v>IN</v>
      </c>
      <c r="P22" s="243"/>
      <c r="Q22" s="242"/>
      <c r="R22" s="243"/>
      <c r="X22" s="233"/>
      <c r="Y22" s="233"/>
      <c r="Z22" s="233"/>
    </row>
    <row r="23" spans="1:26" s="244" customFormat="1" ht="39.950000000000003" customHeight="1">
      <c r="A23" s="234" t="str">
        <f t="shared" si="0"/>
        <v>L01</v>
      </c>
      <c r="B23" s="234" t="str">
        <f t="shared" si="1"/>
        <v>Muc 1.1</v>
      </c>
      <c r="C23" s="235">
        <v>10</v>
      </c>
      <c r="D23" s="245" t="s">
        <v>158</v>
      </c>
      <c r="E23" s="246"/>
      <c r="F23" s="237">
        <v>100</v>
      </c>
      <c r="G23" s="237">
        <f>IFERROR(IF($K$6-100-100&lt;0,0,$K$6-100-100),"")</f>
        <v>1299.7142857142858</v>
      </c>
      <c r="H23" s="237">
        <f>+IFERROR(4*K7,"")</f>
        <v>56</v>
      </c>
      <c r="I23" s="239" t="s">
        <v>147</v>
      </c>
      <c r="J23" s="238"/>
      <c r="K23" s="239"/>
      <c r="L23" s="240" t="s">
        <v>148</v>
      </c>
      <c r="M23" s="241">
        <f t="shared" si="3"/>
        <v>1.3043727598566308</v>
      </c>
      <c r="N23" s="242">
        <f t="shared" si="4"/>
        <v>1</v>
      </c>
      <c r="O23" s="242" t="str">
        <f t="shared" si="2"/>
        <v>IN</v>
      </c>
      <c r="P23" s="243"/>
      <c r="Q23" s="242"/>
      <c r="R23" s="243"/>
      <c r="X23" s="233"/>
      <c r="Y23" s="233"/>
      <c r="Z23" s="233"/>
    </row>
    <row r="24" spans="1:26" s="244" customFormat="1" ht="39.950000000000003" customHeight="1">
      <c r="A24" s="234" t="str">
        <f t="shared" si="0"/>
        <v>L01</v>
      </c>
      <c r="B24" s="234" t="str">
        <f t="shared" si="1"/>
        <v>Muc 1.1</v>
      </c>
      <c r="C24" s="235">
        <v>11</v>
      </c>
      <c r="D24" s="245" t="s">
        <v>159</v>
      </c>
      <c r="E24" s="246">
        <v>20</v>
      </c>
      <c r="F24" s="237">
        <f>+$F$23</f>
        <v>100</v>
      </c>
      <c r="G24" s="237">
        <f>+$G$23</f>
        <v>1299.7142857142858</v>
      </c>
      <c r="H24" s="237">
        <f>+H23</f>
        <v>56</v>
      </c>
      <c r="I24" s="239" t="s">
        <v>144</v>
      </c>
      <c r="J24" s="238"/>
      <c r="K24" s="239"/>
      <c r="L24" s="240" t="s">
        <v>145</v>
      </c>
      <c r="M24" s="241">
        <f t="shared" si="3"/>
        <v>3.6392000000000002</v>
      </c>
      <c r="N24" s="242">
        <f t="shared" si="4"/>
        <v>1</v>
      </c>
      <c r="O24" s="242" t="str">
        <f t="shared" si="2"/>
        <v>IN</v>
      </c>
      <c r="P24" s="243"/>
      <c r="Q24" s="242"/>
      <c r="R24" s="243"/>
      <c r="X24" s="233"/>
      <c r="Y24" s="233"/>
      <c r="Z24" s="233"/>
    </row>
    <row r="25" spans="1:26" s="244" customFormat="1" ht="39.950000000000003" customHeight="1">
      <c r="A25" s="234" t="str">
        <f t="shared" si="0"/>
        <v>L01</v>
      </c>
      <c r="B25" s="234" t="str">
        <f t="shared" si="1"/>
        <v>Muc 1.1</v>
      </c>
      <c r="C25" s="235">
        <v>12</v>
      </c>
      <c r="D25" s="245" t="s">
        <v>160</v>
      </c>
      <c r="E25" s="246"/>
      <c r="F25" s="237">
        <f>+$F$24-$E$24</f>
        <v>80</v>
      </c>
      <c r="G25" s="237">
        <f>+$G$24</f>
        <v>1299.7142857142858</v>
      </c>
      <c r="H25" s="237">
        <f>+H24</f>
        <v>56</v>
      </c>
      <c r="I25" s="239" t="s">
        <v>147</v>
      </c>
      <c r="J25" s="238"/>
      <c r="K25" s="239"/>
      <c r="L25" s="240" t="s">
        <v>148</v>
      </c>
      <c r="M25" s="241">
        <f t="shared" si="3"/>
        <v>1.0434982078853048</v>
      </c>
      <c r="N25" s="242">
        <f t="shared" si="4"/>
        <v>1</v>
      </c>
      <c r="O25" s="242" t="str">
        <f t="shared" si="2"/>
        <v>IN</v>
      </c>
      <c r="P25" s="243"/>
      <c r="Q25" s="242"/>
      <c r="R25" s="243"/>
      <c r="X25" s="233"/>
      <c r="Y25" s="233"/>
      <c r="Z25" s="233"/>
    </row>
    <row r="26" spans="1:26" s="244" customFormat="1" ht="39.950000000000003" customHeight="1">
      <c r="A26" s="234" t="str">
        <f t="shared" si="0"/>
        <v>L01</v>
      </c>
      <c r="B26" s="234" t="str">
        <f t="shared" si="1"/>
        <v>Muc 1.1</v>
      </c>
      <c r="C26" s="235">
        <v>13</v>
      </c>
      <c r="D26" s="245" t="s">
        <v>161</v>
      </c>
      <c r="E26" s="246"/>
      <c r="F26" s="237">
        <v>100</v>
      </c>
      <c r="G26" s="237">
        <f>IFERROR(IF($L$6-100-100&lt;0,0,$L$6-100-100),"")</f>
        <v>336.85714285714289</v>
      </c>
      <c r="H26" s="237">
        <f>+IFERROR(4*K7,"")</f>
        <v>56</v>
      </c>
      <c r="I26" s="239" t="s">
        <v>147</v>
      </c>
      <c r="J26" s="238"/>
      <c r="K26" s="239"/>
      <c r="L26" s="240" t="s">
        <v>148</v>
      </c>
      <c r="M26" s="241">
        <f t="shared" si="3"/>
        <v>0.33806451612903232</v>
      </c>
      <c r="N26" s="242">
        <f t="shared" si="4"/>
        <v>1</v>
      </c>
      <c r="O26" s="242" t="str">
        <f t="shared" si="2"/>
        <v>IN</v>
      </c>
      <c r="P26" s="243"/>
      <c r="Q26" s="242"/>
      <c r="R26" s="243"/>
      <c r="X26" s="233"/>
      <c r="Y26" s="233"/>
      <c r="Z26" s="233"/>
    </row>
    <row r="27" spans="1:26" s="244" customFormat="1" ht="39.950000000000003" customHeight="1">
      <c r="A27" s="234" t="str">
        <f t="shared" si="0"/>
        <v>L01</v>
      </c>
      <c r="B27" s="234" t="str">
        <f t="shared" si="1"/>
        <v>Muc 1.1</v>
      </c>
      <c r="C27" s="235">
        <v>14</v>
      </c>
      <c r="D27" s="245" t="s">
        <v>162</v>
      </c>
      <c r="E27" s="246">
        <v>20</v>
      </c>
      <c r="F27" s="237">
        <v>100</v>
      </c>
      <c r="G27" s="237">
        <f>+$G$26</f>
        <v>336.85714285714289</v>
      </c>
      <c r="H27" s="237">
        <f>+$H$26</f>
        <v>56</v>
      </c>
      <c r="I27" s="239" t="s">
        <v>144</v>
      </c>
      <c r="J27" s="238"/>
      <c r="K27" s="239"/>
      <c r="L27" s="240" t="s">
        <v>145</v>
      </c>
      <c r="M27" s="241">
        <f t="shared" si="3"/>
        <v>0.94320000000000015</v>
      </c>
      <c r="N27" s="242">
        <f t="shared" si="4"/>
        <v>1</v>
      </c>
      <c r="O27" s="242" t="str">
        <f t="shared" si="2"/>
        <v>IN</v>
      </c>
      <c r="P27" s="243"/>
      <c r="Q27" s="242"/>
      <c r="R27" s="243"/>
      <c r="X27" s="233"/>
      <c r="Y27" s="233"/>
      <c r="Z27" s="233"/>
    </row>
    <row r="28" spans="1:26" s="244" customFormat="1" ht="39.950000000000003" customHeight="1">
      <c r="A28" s="234" t="str">
        <f t="shared" si="0"/>
        <v>L01</v>
      </c>
      <c r="B28" s="234" t="str">
        <f t="shared" si="1"/>
        <v>Muc 1.1</v>
      </c>
      <c r="C28" s="235">
        <v>15</v>
      </c>
      <c r="D28" s="245" t="s">
        <v>163</v>
      </c>
      <c r="E28" s="246"/>
      <c r="F28" s="237">
        <f>+$F$27-$E$27</f>
        <v>80</v>
      </c>
      <c r="G28" s="237">
        <f>+$G$27</f>
        <v>336.85714285714289</v>
      </c>
      <c r="H28" s="237">
        <f>+$H$26</f>
        <v>56</v>
      </c>
      <c r="I28" s="239" t="s">
        <v>147</v>
      </c>
      <c r="J28" s="238"/>
      <c r="K28" s="239"/>
      <c r="L28" s="240" t="s">
        <v>148</v>
      </c>
      <c r="M28" s="241">
        <f t="shared" si="3"/>
        <v>0.27045161290322584</v>
      </c>
      <c r="N28" s="242">
        <f t="shared" si="4"/>
        <v>1</v>
      </c>
      <c r="O28" s="242" t="str">
        <f t="shared" si="2"/>
        <v>IN</v>
      </c>
      <c r="P28" s="243"/>
      <c r="Q28" s="242"/>
      <c r="R28" s="243"/>
      <c r="X28" s="233"/>
      <c r="Y28" s="233"/>
      <c r="Z28" s="233"/>
    </row>
    <row r="29" spans="1:26" s="244" customFormat="1" ht="39.950000000000003" customHeight="1">
      <c r="A29" s="234" t="str">
        <f t="shared" si="0"/>
        <v>L01</v>
      </c>
      <c r="B29" s="234" t="str">
        <f t="shared" si="1"/>
        <v>Muc 1.1</v>
      </c>
      <c r="C29" s="235">
        <v>16</v>
      </c>
      <c r="D29" s="245" t="s">
        <v>164</v>
      </c>
      <c r="E29" s="246">
        <v>20</v>
      </c>
      <c r="F29" s="237">
        <v>20</v>
      </c>
      <c r="G29" s="237">
        <f>IFERROR(IF($L$6+20&lt;0,0,$L$6+20),"")</f>
        <v>556.85714285714289</v>
      </c>
      <c r="H29" s="237">
        <f>+IFERROR(1*K7,"")</f>
        <v>14</v>
      </c>
      <c r="I29" s="239" t="s">
        <v>144</v>
      </c>
      <c r="J29" s="238"/>
      <c r="K29" s="239"/>
      <c r="L29" s="240" t="s">
        <v>145</v>
      </c>
      <c r="M29" s="241">
        <f t="shared" si="3"/>
        <v>7.7960000000000015E-2</v>
      </c>
      <c r="N29" s="242">
        <f t="shared" si="4"/>
        <v>1</v>
      </c>
      <c r="O29" s="242" t="str">
        <f t="shared" si="2"/>
        <v>IN</v>
      </c>
      <c r="P29" s="243"/>
      <c r="Q29" s="242"/>
      <c r="R29" s="243"/>
      <c r="X29" s="233"/>
      <c r="Y29" s="233"/>
      <c r="Z29" s="233"/>
    </row>
    <row r="30" spans="1:26" s="244" customFormat="1" ht="57.75" customHeight="1">
      <c r="A30" s="234" t="str">
        <f t="shared" si="0"/>
        <v>L01</v>
      </c>
      <c r="B30" s="234" t="str">
        <f t="shared" si="1"/>
        <v>Muc 1.1</v>
      </c>
      <c r="C30" s="235">
        <v>17</v>
      </c>
      <c r="D30" s="245" t="s">
        <v>165</v>
      </c>
      <c r="E30" s="246">
        <v>9</v>
      </c>
      <c r="F30" s="237">
        <f>+$L$6</f>
        <v>536.85714285714289</v>
      </c>
      <c r="G30" s="237">
        <f>+$K$6</f>
        <v>1499.7142857142858</v>
      </c>
      <c r="H30" s="237">
        <f>+IFERROR(2*K7,"")</f>
        <v>28</v>
      </c>
      <c r="I30" s="239" t="s">
        <v>166</v>
      </c>
      <c r="J30" s="256" t="s">
        <v>167</v>
      </c>
      <c r="K30" s="239"/>
      <c r="L30" s="240" t="s">
        <v>168</v>
      </c>
      <c r="M30" s="241">
        <f t="shared" si="3"/>
        <v>7.5731339501670067</v>
      </c>
      <c r="N30" s="242">
        <f t="shared" si="4"/>
        <v>1</v>
      </c>
      <c r="O30" s="242" t="str">
        <f t="shared" si="2"/>
        <v>IN</v>
      </c>
      <c r="P30" s="243"/>
      <c r="Q30" s="242"/>
      <c r="R30" s="243"/>
      <c r="X30" s="233"/>
      <c r="Y30" s="233"/>
      <c r="Z30" s="233"/>
    </row>
    <row r="31" spans="1:26" s="244" customFormat="1" ht="39.950000000000003" customHeight="1">
      <c r="A31" s="234" t="str">
        <f t="shared" si="0"/>
        <v>L01</v>
      </c>
      <c r="B31" s="234" t="str">
        <f t="shared" si="1"/>
        <v>Muc 1.1</v>
      </c>
      <c r="C31" s="235">
        <v>18</v>
      </c>
      <c r="D31" s="245" t="s">
        <v>134</v>
      </c>
      <c r="E31" s="246"/>
      <c r="F31" s="237"/>
      <c r="G31" s="237"/>
      <c r="H31" s="237"/>
      <c r="I31" s="239" t="s">
        <v>135</v>
      </c>
      <c r="J31" s="238"/>
      <c r="K31" s="239"/>
      <c r="L31" s="240" t="s">
        <v>136</v>
      </c>
      <c r="M31" s="241">
        <f>IFERROR(($K$6*$L$6*4+$L$6*$M$6*2)*10^-6*1.3/0.5*$K$7,"")</f>
        <v>124.41299222857144</v>
      </c>
      <c r="N31" s="242">
        <f t="shared" si="4"/>
        <v>1</v>
      </c>
      <c r="O31" s="242" t="str">
        <f t="shared" si="2"/>
        <v>IN</v>
      </c>
      <c r="P31" s="243"/>
      <c r="Q31" s="242"/>
      <c r="R31" s="243"/>
      <c r="X31" s="233"/>
      <c r="Y31" s="233"/>
      <c r="Z31" s="233"/>
    </row>
    <row r="32" spans="1:26" s="244" customFormat="1" ht="39.950000000000003" customHeight="1">
      <c r="A32" s="234" t="str">
        <f t="shared" si="0"/>
        <v>L01</v>
      </c>
      <c r="B32" s="234" t="str">
        <f t="shared" si="1"/>
        <v>Muc 1.1</v>
      </c>
      <c r="C32" s="235">
        <v>19</v>
      </c>
      <c r="D32" s="245" t="s">
        <v>137</v>
      </c>
      <c r="E32" s="246"/>
      <c r="F32" s="237"/>
      <c r="G32" s="237"/>
      <c r="H32" s="237"/>
      <c r="I32" s="239" t="s">
        <v>138</v>
      </c>
      <c r="J32" s="238"/>
      <c r="K32" s="239"/>
      <c r="L32" s="240" t="s">
        <v>136</v>
      </c>
      <c r="M32" s="241">
        <f>IFERROR(($K$6*$L$6*4+$L$6*$M$6*2)*10^-6*1.3/1.2*$K$7,"")</f>
        <v>51.838746761904765</v>
      </c>
      <c r="N32" s="242">
        <f t="shared" si="4"/>
        <v>1</v>
      </c>
      <c r="O32" s="242" t="str">
        <f t="shared" si="2"/>
        <v>IN</v>
      </c>
      <c r="P32" s="243"/>
      <c r="Q32" s="242"/>
      <c r="R32" s="243"/>
      <c r="X32" s="233"/>
      <c r="Y32" s="233"/>
      <c r="Z32" s="233"/>
    </row>
    <row r="33" spans="1:26" s="244" customFormat="1" ht="39.950000000000003" customHeight="1">
      <c r="A33" s="234" t="str">
        <f t="shared" si="0"/>
        <v>L01</v>
      </c>
      <c r="B33" s="234" t="str">
        <f t="shared" si="1"/>
        <v>Muc 1.1</v>
      </c>
      <c r="C33" s="235">
        <v>20</v>
      </c>
      <c r="D33" s="245" t="s">
        <v>169</v>
      </c>
      <c r="E33" s="246">
        <f>IFERROR($M$6+50,"")</f>
        <v>233.85714285714286</v>
      </c>
      <c r="F33" s="237">
        <f>IFERROR($L$6+50,"")</f>
        <v>586.85714285714289</v>
      </c>
      <c r="G33" s="237">
        <f>IFERROR($K$6+50,"")</f>
        <v>1549.7142857142858</v>
      </c>
      <c r="H33" s="237">
        <f>+IFERROR(1*K7,"")</f>
        <v>14</v>
      </c>
      <c r="I33" s="239" t="s">
        <v>147</v>
      </c>
      <c r="J33" s="256" t="s">
        <v>170</v>
      </c>
      <c r="K33" s="239"/>
      <c r="L33" s="240" t="s">
        <v>171</v>
      </c>
      <c r="M33" s="241">
        <f>IFERROR((G33+F33)*2*E33*10^-6/(1800*3100*10^-6),"")</f>
        <v>0.17908691390534706</v>
      </c>
      <c r="N33" s="242">
        <f t="shared" si="4"/>
        <v>1</v>
      </c>
      <c r="O33" s="242" t="str">
        <f t="shared" si="2"/>
        <v>IN</v>
      </c>
      <c r="P33" s="243"/>
      <c r="Q33" s="242"/>
      <c r="R33" s="243"/>
      <c r="X33" s="233"/>
      <c r="Y33" s="233"/>
      <c r="Z33" s="233"/>
    </row>
    <row r="34" spans="1:26" s="244" customFormat="1" ht="39.950000000000003" hidden="1" customHeight="1">
      <c r="A34" s="234" t="str">
        <f t="shared" si="0"/>
        <v/>
      </c>
      <c r="B34" s="234" t="str">
        <f t="shared" si="1"/>
        <v/>
      </c>
      <c r="C34" s="235"/>
      <c r="D34" s="245"/>
      <c r="E34" s="246"/>
      <c r="F34" s="237" t="s">
        <v>172</v>
      </c>
      <c r="G34" s="237"/>
      <c r="H34" s="237"/>
      <c r="I34" s="239"/>
      <c r="J34" s="238"/>
      <c r="K34" s="239"/>
      <c r="L34" s="240"/>
      <c r="M34" s="241">
        <f t="shared" ref="M34:M41" si="5">IF(OR(L34="Con",L34="Cụm",L34="Hệ"),H34,IF(L34="Thanh",(G34*H34/2400),IF(L34="Tấm",(F34*G34*H34)/(1220*2440),IF(L34="Md",G34*H34/1000,IF(L34="M2",F34*G34*H34/10^6,IF(L34="M3",E34*F34*G34*H34/10^9,0))))))</f>
        <v>0</v>
      </c>
      <c r="N34" s="242" t="str">
        <f t="shared" si="4"/>
        <v/>
      </c>
      <c r="O34" s="242" t="str">
        <f t="shared" si="2"/>
        <v/>
      </c>
      <c r="P34" s="243"/>
      <c r="Q34" s="242"/>
      <c r="R34" s="243"/>
      <c r="X34" s="233"/>
      <c r="Y34" s="233"/>
      <c r="Z34" s="233"/>
    </row>
    <row r="35" spans="1:26" s="244" customFormat="1" ht="39.950000000000003" hidden="1" customHeight="1">
      <c r="A35" s="234" t="str">
        <f t="shared" si="0"/>
        <v/>
      </c>
      <c r="B35" s="234" t="str">
        <f t="shared" si="1"/>
        <v/>
      </c>
      <c r="C35" s="235"/>
      <c r="D35" s="245"/>
      <c r="E35" s="246"/>
      <c r="F35" s="237"/>
      <c r="G35" s="237"/>
      <c r="H35" s="237"/>
      <c r="I35" s="239"/>
      <c r="J35" s="238"/>
      <c r="K35" s="239"/>
      <c r="L35" s="240"/>
      <c r="M35" s="241">
        <f t="shared" si="5"/>
        <v>0</v>
      </c>
      <c r="N35" s="242" t="str">
        <f t="shared" si="4"/>
        <v/>
      </c>
      <c r="O35" s="242" t="str">
        <f t="shared" si="2"/>
        <v/>
      </c>
      <c r="P35" s="243"/>
      <c r="Q35" s="242"/>
      <c r="R35" s="243"/>
      <c r="X35" s="233"/>
      <c r="Y35" s="233"/>
      <c r="Z35" s="233"/>
    </row>
    <row r="36" spans="1:26" s="244" customFormat="1" ht="39.950000000000003" hidden="1" customHeight="1">
      <c r="A36" s="234" t="str">
        <f t="shared" si="0"/>
        <v/>
      </c>
      <c r="B36" s="234" t="str">
        <f t="shared" si="1"/>
        <v/>
      </c>
      <c r="C36" s="247"/>
      <c r="D36" s="245"/>
      <c r="E36" s="246"/>
      <c r="F36" s="237"/>
      <c r="G36" s="237"/>
      <c r="H36" s="237"/>
      <c r="I36" s="239"/>
      <c r="J36" s="238"/>
      <c r="K36" s="239"/>
      <c r="L36" s="240"/>
      <c r="M36" s="241">
        <f t="shared" si="5"/>
        <v>0</v>
      </c>
      <c r="N36" s="242" t="str">
        <f t="shared" si="4"/>
        <v/>
      </c>
      <c r="O36" s="242" t="str">
        <f t="shared" si="2"/>
        <v/>
      </c>
      <c r="P36" s="243"/>
      <c r="Q36" s="242"/>
      <c r="R36" s="243"/>
      <c r="X36" s="233"/>
      <c r="Y36" s="233"/>
      <c r="Z36" s="233"/>
    </row>
    <row r="37" spans="1:26" s="233" customFormat="1" ht="39.950000000000003" hidden="1" customHeight="1">
      <c r="A37" s="224" t="str">
        <f t="shared" si="0"/>
        <v/>
      </c>
      <c r="B37" s="224" t="str">
        <f t="shared" si="1"/>
        <v/>
      </c>
      <c r="C37" s="237"/>
      <c r="D37" s="236"/>
      <c r="E37" s="237"/>
      <c r="F37" s="237"/>
      <c r="G37" s="237"/>
      <c r="H37" s="237"/>
      <c r="I37" s="236"/>
      <c r="J37" s="236"/>
      <c r="K37" s="239"/>
      <c r="L37" s="240"/>
      <c r="M37" s="241">
        <f t="shared" si="5"/>
        <v>0</v>
      </c>
      <c r="N37" s="232" t="str">
        <f t="shared" si="4"/>
        <v/>
      </c>
      <c r="O37" s="232" t="str">
        <f t="shared" si="2"/>
        <v/>
      </c>
      <c r="P37" s="110"/>
      <c r="Q37" s="232"/>
      <c r="R37" s="110"/>
    </row>
    <row r="38" spans="1:26" s="233" customFormat="1" ht="39.950000000000003" hidden="1" customHeight="1">
      <c r="A38" s="224" t="str">
        <f t="shared" si="0"/>
        <v/>
      </c>
      <c r="B38" s="224" t="str">
        <f t="shared" si="1"/>
        <v/>
      </c>
      <c r="C38" s="248"/>
      <c r="D38" s="249"/>
      <c r="E38" s="248"/>
      <c r="F38" s="248"/>
      <c r="G38" s="248"/>
      <c r="H38" s="248"/>
      <c r="I38" s="249"/>
      <c r="J38" s="236"/>
      <c r="K38" s="239"/>
      <c r="L38" s="240"/>
      <c r="M38" s="241">
        <f t="shared" si="5"/>
        <v>0</v>
      </c>
      <c r="N38" s="232" t="str">
        <f t="shared" si="4"/>
        <v/>
      </c>
      <c r="O38" s="232" t="str">
        <f t="shared" si="2"/>
        <v/>
      </c>
      <c r="P38" s="110"/>
      <c r="Q38" s="232"/>
      <c r="R38" s="110"/>
    </row>
    <row r="39" spans="1:26" s="233" customFormat="1" ht="39.950000000000003" hidden="1" customHeight="1">
      <c r="A39" s="224" t="str">
        <f t="shared" si="0"/>
        <v/>
      </c>
      <c r="B39" s="224" t="str">
        <f t="shared" si="1"/>
        <v/>
      </c>
      <c r="C39" s="237"/>
      <c r="D39" s="236"/>
      <c r="E39" s="237"/>
      <c r="F39" s="237"/>
      <c r="G39" s="237"/>
      <c r="H39" s="237"/>
      <c r="I39" s="236"/>
      <c r="J39" s="236"/>
      <c r="K39" s="239"/>
      <c r="L39" s="240"/>
      <c r="M39" s="241">
        <f t="shared" si="5"/>
        <v>0</v>
      </c>
      <c r="N39" s="232" t="str">
        <f t="shared" si="4"/>
        <v/>
      </c>
      <c r="O39" s="232" t="str">
        <f t="shared" si="2"/>
        <v/>
      </c>
      <c r="P39" s="110"/>
      <c r="Q39" s="232"/>
      <c r="R39" s="110"/>
    </row>
    <row r="40" spans="1:26" s="233" customFormat="1" ht="39.950000000000003" hidden="1" customHeight="1">
      <c r="A40" s="224" t="str">
        <f t="shared" si="0"/>
        <v/>
      </c>
      <c r="B40" s="224" t="str">
        <f t="shared" si="1"/>
        <v/>
      </c>
      <c r="C40" s="248"/>
      <c r="D40" s="249"/>
      <c r="E40" s="248"/>
      <c r="F40" s="248"/>
      <c r="G40" s="248"/>
      <c r="H40" s="248"/>
      <c r="I40" s="249"/>
      <c r="J40" s="236"/>
      <c r="K40" s="239"/>
      <c r="L40" s="240"/>
      <c r="M40" s="241">
        <f t="shared" si="5"/>
        <v>0</v>
      </c>
      <c r="N40" s="232" t="str">
        <f t="shared" si="4"/>
        <v/>
      </c>
      <c r="O40" s="232" t="str">
        <f t="shared" si="2"/>
        <v/>
      </c>
      <c r="P40" s="110"/>
      <c r="Q40" s="232"/>
      <c r="R40" s="110"/>
    </row>
    <row r="41" spans="1:26" s="233" customFormat="1" ht="39.950000000000003" hidden="1" customHeight="1">
      <c r="A41" s="224" t="str">
        <f t="shared" si="0"/>
        <v/>
      </c>
      <c r="B41" s="224" t="str">
        <f t="shared" si="1"/>
        <v/>
      </c>
      <c r="C41" s="248"/>
      <c r="D41" s="249"/>
      <c r="E41" s="248"/>
      <c r="F41" s="248"/>
      <c r="G41" s="248"/>
      <c r="H41" s="248"/>
      <c r="I41" s="249"/>
      <c r="J41" s="236"/>
      <c r="K41" s="239" t="s">
        <v>185</v>
      </c>
      <c r="L41" s="240"/>
      <c r="M41" s="241">
        <f t="shared" si="5"/>
        <v>0</v>
      </c>
      <c r="N41" s="232" t="str">
        <f t="shared" si="4"/>
        <v/>
      </c>
      <c r="O41" s="232" t="str">
        <f t="shared" si="2"/>
        <v/>
      </c>
      <c r="P41" s="110"/>
      <c r="Q41" s="232"/>
      <c r="R41" s="110"/>
    </row>
    <row r="42" spans="1:26" s="233" customFormat="1" ht="35.1" customHeight="1" thickBot="1">
      <c r="A42" s="224" t="str">
        <f t="shared" si="0"/>
        <v>L01</v>
      </c>
      <c r="B42" s="224" t="str">
        <f t="shared" si="1"/>
        <v>Muc 1.1</v>
      </c>
      <c r="C42" s="250"/>
      <c r="D42" s="251" t="s">
        <v>38</v>
      </c>
      <c r="E42" s="252"/>
      <c r="F42" s="252"/>
      <c r="G42" s="252"/>
      <c r="H42" s="252"/>
      <c r="I42" s="252"/>
      <c r="J42" s="253"/>
      <c r="K42" s="254"/>
      <c r="L42" s="255"/>
      <c r="M42" s="255"/>
      <c r="N42" s="232">
        <f t="shared" si="4"/>
        <v>1</v>
      </c>
      <c r="O42" s="232" t="str">
        <f t="shared" si="2"/>
        <v>IN</v>
      </c>
      <c r="P42" s="110"/>
      <c r="Q42" s="232"/>
      <c r="R42" s="110"/>
    </row>
    <row r="43" spans="1:26" ht="27" customHeight="1">
      <c r="D43" s="82" t="s">
        <v>45</v>
      </c>
      <c r="E43" s="34"/>
      <c r="F43" s="34"/>
      <c r="G43" s="34"/>
      <c r="H43" s="34"/>
      <c r="I43" s="34"/>
      <c r="J43" s="8"/>
      <c r="K43" s="34"/>
      <c r="L43" s="34"/>
      <c r="M43" s="34"/>
      <c r="N43" s="8"/>
      <c r="O43" s="69" t="s">
        <v>75</v>
      </c>
      <c r="P43" s="32"/>
      <c r="Q43" s="32"/>
      <c r="R43" s="32"/>
    </row>
    <row r="44" spans="1:26" ht="25.35" customHeight="1">
      <c r="C44" s="3"/>
      <c r="D44" s="35"/>
      <c r="E44" s="9"/>
      <c r="F44" s="36"/>
      <c r="G44" s="37"/>
      <c r="H44" s="36"/>
      <c r="I44" s="36"/>
      <c r="J44" s="11"/>
      <c r="K44" s="71" t="str">
        <f ca="1">"Ngày "&amp;DAY(NOW())&amp;" tháng "&amp;MONTH(NOW())&amp;" năm "&amp;YEAR(NOW())</f>
        <v>Ngày 17 tháng 6 năm 2026</v>
      </c>
      <c r="L44" s="8"/>
      <c r="M44" s="8"/>
      <c r="N44" s="11"/>
      <c r="O44" s="69" t="s">
        <v>75</v>
      </c>
      <c r="P44" s="32"/>
      <c r="Q44" s="32"/>
      <c r="R44" s="32"/>
    </row>
    <row r="45" spans="1:26" ht="25.35" customHeight="1">
      <c r="C45" s="3"/>
      <c r="D45" s="3"/>
      <c r="E45" s="9"/>
      <c r="F45" s="36"/>
      <c r="G45" s="71" t="s">
        <v>49</v>
      </c>
      <c r="H45" s="36"/>
      <c r="I45" s="36"/>
      <c r="J45" s="11"/>
      <c r="K45" s="71" t="s">
        <v>57</v>
      </c>
      <c r="L45" s="8"/>
      <c r="M45" s="8"/>
      <c r="N45" s="11"/>
      <c r="O45" s="69" t="s">
        <v>75</v>
      </c>
      <c r="P45" s="32"/>
      <c r="Q45" s="32"/>
      <c r="R45" s="32"/>
    </row>
    <row r="46" spans="1:26" ht="25.35" customHeight="1">
      <c r="C46" s="3"/>
      <c r="D46" s="3"/>
      <c r="E46" s="9"/>
      <c r="F46" s="36"/>
      <c r="G46" s="42"/>
      <c r="H46" s="36"/>
      <c r="I46" s="36"/>
      <c r="J46" s="11"/>
      <c r="K46" s="37"/>
      <c r="L46" s="8"/>
      <c r="M46" s="8"/>
      <c r="N46" s="11"/>
      <c r="O46" s="69" t="s">
        <v>75</v>
      </c>
      <c r="P46" s="32"/>
      <c r="Q46" s="32"/>
      <c r="R46" s="32"/>
    </row>
    <row r="47" spans="1:26" ht="25.35" customHeight="1">
      <c r="C47" s="3"/>
      <c r="D47" s="3"/>
      <c r="E47" s="9"/>
      <c r="F47" s="36"/>
      <c r="G47" s="42"/>
      <c r="H47" s="36"/>
      <c r="I47" s="36"/>
      <c r="J47" s="11"/>
      <c r="K47" s="37"/>
      <c r="L47" s="8"/>
      <c r="M47" s="8"/>
      <c r="N47" s="11"/>
      <c r="O47" s="69" t="s">
        <v>75</v>
      </c>
      <c r="P47" s="32"/>
      <c r="Q47" s="32"/>
      <c r="R47" s="32"/>
    </row>
    <row r="48" spans="1:26" ht="25.35" customHeight="1">
      <c r="C48" s="3"/>
      <c r="D48" s="3"/>
      <c r="E48" s="9"/>
      <c r="F48" s="36"/>
      <c r="G48" s="38"/>
      <c r="H48" s="36"/>
      <c r="I48" s="38"/>
      <c r="J48" s="11"/>
      <c r="K48" s="37"/>
      <c r="L48" s="8"/>
      <c r="M48" s="8"/>
      <c r="N48" s="11"/>
      <c r="O48" s="69" t="s">
        <v>75</v>
      </c>
      <c r="P48" s="32"/>
      <c r="Q48" s="32"/>
      <c r="R48" s="32"/>
    </row>
    <row r="49" spans="3:18" ht="25.35" customHeight="1">
      <c r="C49" s="3"/>
      <c r="D49" s="3"/>
      <c r="E49" s="9"/>
      <c r="F49" s="36"/>
      <c r="G49" s="37" t="s">
        <v>46</v>
      </c>
      <c r="H49" s="36"/>
      <c r="I49" s="40"/>
      <c r="J49" s="11"/>
      <c r="K49" s="37" t="str">
        <f>'BOM_Phan II'!P241</f>
        <v>Nguyễn Tân Hồng</v>
      </c>
      <c r="L49" s="8"/>
      <c r="M49" s="8"/>
      <c r="N49" s="11"/>
      <c r="O49" s="69" t="s">
        <v>75</v>
      </c>
      <c r="P49" s="32"/>
      <c r="Q49" s="32"/>
      <c r="R49" s="32"/>
    </row>
    <row r="50" spans="3:18" ht="25.35" customHeight="1">
      <c r="C50" s="3"/>
      <c r="D50" s="3"/>
      <c r="E50" s="9"/>
      <c r="F50" s="36"/>
      <c r="G50" s="37"/>
      <c r="H50" s="36"/>
      <c r="I50" s="36"/>
      <c r="J50" s="11"/>
      <c r="K50" s="36"/>
      <c r="L50" s="8"/>
      <c r="M50" s="8"/>
      <c r="N50" s="11"/>
    </row>
    <row r="51" spans="3:18" ht="25.35" customHeight="1">
      <c r="C51" s="43"/>
      <c r="D51" s="43"/>
      <c r="E51" s="9"/>
      <c r="F51" s="36"/>
      <c r="G51" s="37"/>
      <c r="H51" s="36"/>
      <c r="I51" s="36"/>
      <c r="J51" s="11"/>
      <c r="K51" s="36"/>
      <c r="L51" s="8"/>
      <c r="M51" s="8"/>
      <c r="N51" s="11"/>
    </row>
    <row r="52" spans="3:18" ht="25.35" customHeight="1">
      <c r="C52" s="3"/>
      <c r="D52" s="3"/>
      <c r="E52" s="9"/>
      <c r="F52" s="36"/>
      <c r="G52" s="37"/>
      <c r="H52" s="36"/>
      <c r="I52" s="36"/>
      <c r="J52" s="11"/>
      <c r="K52" s="36"/>
      <c r="L52" s="8"/>
      <c r="M52" s="8"/>
      <c r="N52" s="11"/>
    </row>
    <row r="53" spans="3:18" ht="25.35" customHeight="1">
      <c r="C53" s="3"/>
      <c r="D53" s="3"/>
      <c r="E53" s="9"/>
      <c r="F53" s="44"/>
      <c r="G53" s="99"/>
      <c r="H53" s="44"/>
      <c r="I53" s="8"/>
      <c r="J53" s="45"/>
      <c r="K53" s="44"/>
      <c r="L53" s="8"/>
      <c r="M53" s="8"/>
      <c r="N53" s="45"/>
    </row>
  </sheetData>
  <sheetProtection formatCells="0" formatColumns="0" formatRows="0" insertColumns="0" insertRows="0" insertHyperlinks="0" deleteColumns="0" deleteRows="0" sort="0" autoFilter="0" pivotTables="0"/>
  <autoFilter ref="C12:O49" xr:uid="{842A61C4-7B4F-41B1-8FE6-0A0C645AF4DB}">
    <filterColumn colId="12">
      <customFilters>
        <customFilter operator="notEqual" val=" "/>
      </customFilters>
    </filterColumn>
  </autoFilter>
  <mergeCells count="26">
    <mergeCell ref="C8:D8"/>
    <mergeCell ref="C1:E3"/>
    <mergeCell ref="F1:J3"/>
    <mergeCell ref="L1:M1"/>
    <mergeCell ref="P1:R2"/>
    <mergeCell ref="L2:M2"/>
    <mergeCell ref="L3:M3"/>
    <mergeCell ref="C4:D4"/>
    <mergeCell ref="C5:D6"/>
    <mergeCell ref="E5:I6"/>
    <mergeCell ref="J5:J6"/>
    <mergeCell ref="C7:D7"/>
    <mergeCell ref="A11:A12"/>
    <mergeCell ref="B11:B12"/>
    <mergeCell ref="C11:C12"/>
    <mergeCell ref="D11:D12"/>
    <mergeCell ref="E11:G11"/>
    <mergeCell ref="K11:K12"/>
    <mergeCell ref="L11:L12"/>
    <mergeCell ref="M11:M12"/>
    <mergeCell ref="N11:N12"/>
    <mergeCell ref="C9:D9"/>
    <mergeCell ref="C10:M10"/>
    <mergeCell ref="H11:H12"/>
    <mergeCell ref="I11:I12"/>
    <mergeCell ref="J11:J12"/>
  </mergeCells>
  <conditionalFormatting sqref="K14:L41">
    <cfRule type="expression" dxfId="106" priority="6">
      <formula>K14="LỖI DỮ LIỆU"</formula>
    </cfRule>
  </conditionalFormatting>
  <conditionalFormatting sqref="K14:M41">
    <cfRule type="cellIs" dxfId="105" priority="4" operator="equal">
      <formula>0</formula>
    </cfRule>
  </conditionalFormatting>
  <conditionalFormatting sqref="M14:M41">
    <cfRule type="cellIs" dxfId="104" priority="3" operator="equal">
      <formula>0</formula>
    </cfRule>
    <cfRule type="cellIs" dxfId="103" priority="5" operator="equal">
      <formula>0</formula>
    </cfRule>
  </conditionalFormatting>
  <conditionalFormatting sqref="AJ14">
    <cfRule type="cellIs" dxfId="102" priority="1" operator="equal">
      <formula>0</formula>
    </cfRule>
    <cfRule type="expression" dxfId="101" priority="2">
      <formula>AJ14="LỖI DỮ LIỆU"</formula>
    </cfRule>
  </conditionalFormatting>
  <dataValidations disablePrompts="1" count="3">
    <dataValidation type="list" allowBlank="1" showInputMessage="1" showErrorMessage="1" sqref="L40:L41 L38" xr:uid="{6259CAFB-9E50-420F-A9FF-71B06BA35859}">
      <formula1>$Z$4:$Z$7</formula1>
    </dataValidation>
    <dataValidation type="list" allowBlank="1" showInputMessage="1" showErrorMessage="1" sqref="L42" xr:uid="{23FA6AF4-FABF-4D48-BF77-0179748E8961}">
      <formula1>$W$2:$W$10</formula1>
    </dataValidation>
    <dataValidation type="list" allowBlank="1" showInputMessage="1" showErrorMessage="1" sqref="G49" xr:uid="{FA800029-C857-4231-8AE5-1981F95D835E}">
      <formula1>$Y$2:$Y$3</formula1>
    </dataValidation>
  </dataValidations>
  <printOptions horizontalCentered="1"/>
  <pageMargins left="0" right="0" top="0.25" bottom="0.25" header="0" footer="0"/>
  <pageSetup paperSize="9" scale="52" orientation="landscape" r:id="rId1"/>
  <headerFooter scaleWithDoc="0" alignWithMargins="0">
    <oddFooter>Page &amp;P of &amp;N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4ABFB-BF19-4262-A8D3-6B4498EDECF4}">
  <sheetPr codeName="Sheet9" filterMode="1">
    <tabColor rgb="FFFFFF00"/>
  </sheetPr>
  <dimension ref="A1:AC43"/>
  <sheetViews>
    <sheetView view="pageBreakPreview" zoomScale="85" zoomScaleNormal="55" zoomScaleSheetLayoutView="85" workbookViewId="0">
      <pane ySplit="12" topLeftCell="A13" activePane="bottomLeft" state="frozen"/>
      <selection activeCell="Q4" sqref="Q4"/>
      <selection pane="bottomLeft" activeCell="Q4" sqref="Q4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81" customWidth="1"/>
    <col min="4" max="4" width="31.42578125" style="14" customWidth="1"/>
    <col min="5" max="5" width="7.42578125" style="14" customWidth="1"/>
    <col min="6" max="7" width="7.42578125" style="3" customWidth="1"/>
    <col min="8" max="8" width="7.42578125" style="14" customWidth="1"/>
    <col min="9" max="9" width="39.140625" style="16" customWidth="1"/>
    <col min="10" max="10" width="43.85546875" style="16" customWidth="1"/>
    <col min="11" max="11" width="25.140625" style="14" customWidth="1"/>
    <col min="12" max="13" width="10.42578125" style="15" customWidth="1"/>
    <col min="14" max="14" width="4.85546875" style="16" customWidth="1"/>
    <col min="15" max="18" width="8.85546875" style="3" customWidth="1"/>
    <col min="19" max="22" width="4.85546875" style="3"/>
    <col min="23" max="23" width="11.85546875" style="3" customWidth="1"/>
    <col min="24" max="24" width="20.7109375" style="3" hidden="1" customWidth="1"/>
    <col min="25" max="25" width="13.7109375" style="3" hidden="1" customWidth="1"/>
    <col min="26" max="26" width="22.140625" style="3" hidden="1" customWidth="1"/>
    <col min="27" max="28" width="0" style="3" hidden="1" customWidth="1"/>
    <col min="29" max="29" width="13.7109375" style="3" hidden="1" customWidth="1"/>
    <col min="30" max="16384" width="4.85546875" style="3"/>
  </cols>
  <sheetData>
    <row r="1" spans="1:29" ht="27.75" customHeight="1">
      <c r="C1" s="320"/>
      <c r="D1" s="321"/>
      <c r="E1" s="322"/>
      <c r="F1" s="329" t="s">
        <v>173</v>
      </c>
      <c r="G1" s="330"/>
      <c r="H1" s="330"/>
      <c r="I1" s="330"/>
      <c r="J1" s="331"/>
      <c r="K1" s="144" t="s">
        <v>29</v>
      </c>
      <c r="L1" s="338" t="s">
        <v>44</v>
      </c>
      <c r="M1" s="339"/>
      <c r="N1" s="110"/>
      <c r="P1" s="340" t="s">
        <v>67</v>
      </c>
      <c r="Q1" s="341"/>
      <c r="R1" s="342"/>
    </row>
    <row r="2" spans="1:29" ht="27.75" customHeight="1" thickBot="1">
      <c r="C2" s="323"/>
      <c r="D2" s="324"/>
      <c r="E2" s="325"/>
      <c r="F2" s="332"/>
      <c r="G2" s="333"/>
      <c r="H2" s="333"/>
      <c r="I2" s="333"/>
      <c r="J2" s="334"/>
      <c r="K2" s="27" t="s">
        <v>30</v>
      </c>
      <c r="L2" s="346"/>
      <c r="M2" s="347"/>
      <c r="N2" s="215"/>
      <c r="P2" s="343"/>
      <c r="Q2" s="344"/>
      <c r="R2" s="345"/>
      <c r="W2" s="216"/>
      <c r="X2" s="30" t="s">
        <v>124</v>
      </c>
      <c r="Y2" s="30" t="s">
        <v>66</v>
      </c>
      <c r="Z2" s="30"/>
      <c r="AA2" s="30"/>
      <c r="AB2" s="30"/>
    </row>
    <row r="3" spans="1:29" ht="27.75" customHeight="1" thickBot="1">
      <c r="C3" s="326"/>
      <c r="D3" s="327"/>
      <c r="E3" s="328"/>
      <c r="F3" s="335"/>
      <c r="G3" s="336"/>
      <c r="H3" s="336"/>
      <c r="I3" s="336"/>
      <c r="J3" s="337"/>
      <c r="K3" s="27" t="s">
        <v>31</v>
      </c>
      <c r="L3" s="346"/>
      <c r="M3" s="347"/>
      <c r="N3" s="217"/>
      <c r="P3" s="48"/>
      <c r="Q3" s="100">
        <f>'BOM_Phan II'!Y3</f>
        <v>1</v>
      </c>
      <c r="R3" s="48"/>
      <c r="W3" s="216"/>
      <c r="X3" s="30" t="s">
        <v>125</v>
      </c>
      <c r="Y3" s="30"/>
      <c r="Z3" s="30"/>
      <c r="AA3" s="30"/>
      <c r="AB3" s="30"/>
      <c r="AC3" s="3" t="s">
        <v>124</v>
      </c>
    </row>
    <row r="4" spans="1:29" ht="25.35" customHeight="1">
      <c r="C4" s="348" t="s">
        <v>25</v>
      </c>
      <c r="D4" s="349"/>
      <c r="E4" s="102" t="str">
        <f>'BOM_Phan II'!E4</f>
        <v>LAGOME_BURNLEY MALTINGS</v>
      </c>
      <c r="F4" s="92"/>
      <c r="G4" s="92"/>
      <c r="H4" s="92"/>
      <c r="I4" s="92"/>
      <c r="J4" s="128" t="s">
        <v>24</v>
      </c>
      <c r="K4" s="218" t="str">
        <f>'BOM_Phan II'!P4</f>
        <v>2573_LAGOME_CT07</v>
      </c>
      <c r="L4" s="219"/>
      <c r="M4" s="219"/>
      <c r="N4" s="220"/>
      <c r="W4" s="216"/>
      <c r="X4" s="30" t="s">
        <v>86</v>
      </c>
      <c r="Y4" s="30"/>
      <c r="Z4" s="30" t="s">
        <v>76</v>
      </c>
      <c r="AA4" s="30"/>
      <c r="AB4" s="30"/>
      <c r="AC4" s="3" t="s">
        <v>125</v>
      </c>
    </row>
    <row r="5" spans="1:29" ht="25.35" customHeight="1">
      <c r="C5" s="350" t="s">
        <v>28</v>
      </c>
      <c r="D5" s="351"/>
      <c r="E5" s="354" t="str">
        <f>'BOM_Phan II'!E5</f>
        <v>Laundry_ (TH 11)</v>
      </c>
      <c r="F5" s="355"/>
      <c r="G5" s="355"/>
      <c r="H5" s="355"/>
      <c r="I5" s="356"/>
      <c r="J5" s="360" t="s">
        <v>27</v>
      </c>
      <c r="K5" s="221" t="s">
        <v>126</v>
      </c>
      <c r="L5" s="221" t="s">
        <v>127</v>
      </c>
      <c r="M5" s="221" t="s">
        <v>128</v>
      </c>
      <c r="N5" s="220"/>
      <c r="W5" s="216"/>
      <c r="X5" s="30" t="s">
        <v>64</v>
      </c>
      <c r="Y5" s="30"/>
      <c r="Z5" s="30" t="s">
        <v>77</v>
      </c>
      <c r="AA5" s="30"/>
      <c r="AB5" s="30"/>
      <c r="AC5" s="3" t="s">
        <v>86</v>
      </c>
    </row>
    <row r="6" spans="1:29" ht="25.35" customHeight="1">
      <c r="C6" s="352"/>
      <c r="D6" s="353"/>
      <c r="E6" s="357"/>
      <c r="F6" s="358"/>
      <c r="G6" s="358"/>
      <c r="H6" s="358"/>
      <c r="I6" s="359"/>
      <c r="J6" s="361"/>
      <c r="K6" s="221" t="str">
        <f>IFERROR(IF('BOM_Phan IV'!T13=4,AVERAGE('BOM_Phan IV'!M13:M1400),""),"")</f>
        <v/>
      </c>
      <c r="L6" s="221" t="str">
        <f>IFERROR(IF('BOM_Phan IV'!T13=4,AVERAGE('BOM_Phan IV'!L13:L1400),""),"")</f>
        <v/>
      </c>
      <c r="M6" s="221" t="str">
        <f>IFERROR(IF('BOM_Phan IV'!T13=4,AVERAGE('BOM_Phan IV'!K13:K1400),""),"")</f>
        <v/>
      </c>
      <c r="N6" s="220"/>
      <c r="W6" s="216"/>
      <c r="X6" s="30" t="s">
        <v>64</v>
      </c>
      <c r="Y6" s="30"/>
      <c r="Z6" s="30" t="s">
        <v>77</v>
      </c>
      <c r="AA6" s="30"/>
      <c r="AB6" s="30"/>
      <c r="AC6" s="3" t="s">
        <v>86</v>
      </c>
    </row>
    <row r="7" spans="1:29" ht="25.35" customHeight="1">
      <c r="C7" s="318" t="s">
        <v>23</v>
      </c>
      <c r="D7" s="319"/>
      <c r="E7" s="95" t="str">
        <f>'BOM_Phan II'!E6</f>
        <v>L01</v>
      </c>
      <c r="F7" s="94"/>
      <c r="G7" s="94"/>
      <c r="H7" s="94"/>
      <c r="I7" s="94"/>
      <c r="J7" s="127" t="s">
        <v>26</v>
      </c>
      <c r="K7" s="222" t="str">
        <f>IF(K6&lt;&gt;"",SUM('BOM_Phan IV'!N13:N1400),"")</f>
        <v/>
      </c>
      <c r="L7" s="223"/>
      <c r="M7" s="223"/>
      <c r="N7" s="220"/>
      <c r="W7" s="216"/>
      <c r="X7" s="30" t="s">
        <v>65</v>
      </c>
      <c r="Y7" s="30"/>
      <c r="Z7" s="30"/>
      <c r="AA7" s="30"/>
      <c r="AB7" s="30"/>
      <c r="AC7" s="3" t="s">
        <v>64</v>
      </c>
    </row>
    <row r="8" spans="1:29" ht="25.35" customHeight="1">
      <c r="C8" s="318" t="s">
        <v>21</v>
      </c>
      <c r="D8" s="319"/>
      <c r="E8" s="95">
        <f>'BOM_Phan II'!E7</f>
        <v>1.1000000000000001</v>
      </c>
      <c r="F8" s="94"/>
      <c r="G8" s="94"/>
      <c r="H8" s="94"/>
      <c r="I8" s="94"/>
      <c r="J8" s="127" t="s">
        <v>34</v>
      </c>
      <c r="K8" s="95" t="str">
        <f>'BOM_Phan II'!P7</f>
        <v>Theo module và giao rời</v>
      </c>
      <c r="L8" s="124"/>
      <c r="M8" s="124"/>
      <c r="N8" s="220"/>
      <c r="P8" s="46"/>
      <c r="W8" s="216"/>
      <c r="X8" s="30" t="s">
        <v>66</v>
      </c>
      <c r="Y8" s="30"/>
      <c r="Z8" s="30"/>
      <c r="AA8" s="30"/>
      <c r="AB8" s="30"/>
      <c r="AC8" s="3" t="s">
        <v>65</v>
      </c>
    </row>
    <row r="9" spans="1:29" ht="25.35" customHeight="1">
      <c r="C9" s="304" t="s">
        <v>9</v>
      </c>
      <c r="D9" s="305"/>
      <c r="E9" s="104" t="str">
        <f>'BOM_Phan II'!E8</f>
        <v xml:space="preserve">PB E1 chống ẩm 2M Melamine MEL1: MS 024T
</v>
      </c>
      <c r="F9" s="98"/>
      <c r="G9" s="98"/>
      <c r="H9" s="98"/>
      <c r="I9" s="98"/>
      <c r="J9" s="129" t="s">
        <v>22</v>
      </c>
      <c r="K9" s="104" t="str">
        <f>'BOM_Phan II'!P8</f>
        <v>MEL01,Đồng màu MEL1</v>
      </c>
      <c r="L9" s="126"/>
      <c r="M9" s="126"/>
      <c r="N9" s="220"/>
      <c r="W9" s="216"/>
      <c r="X9" s="30" t="s">
        <v>129</v>
      </c>
      <c r="Y9" s="30"/>
      <c r="Z9" s="30"/>
      <c r="AA9" s="30"/>
      <c r="AB9" s="30"/>
      <c r="AC9" s="3" t="s">
        <v>66</v>
      </c>
    </row>
    <row r="10" spans="1:29" ht="23.25" customHeight="1" thickBot="1">
      <c r="C10" s="306"/>
      <c r="D10" s="307"/>
      <c r="E10" s="307"/>
      <c r="F10" s="307"/>
      <c r="G10" s="307"/>
      <c r="H10" s="307"/>
      <c r="I10" s="307"/>
      <c r="J10" s="307"/>
      <c r="K10" s="308"/>
      <c r="L10" s="308"/>
      <c r="M10" s="308"/>
      <c r="N10" s="14"/>
      <c r="W10" s="216"/>
      <c r="X10" s="30"/>
      <c r="Y10" s="30"/>
      <c r="Z10" s="30"/>
      <c r="AA10" s="30"/>
      <c r="AB10" s="30"/>
      <c r="AC10" s="3" t="s">
        <v>88</v>
      </c>
    </row>
    <row r="11" spans="1:29" ht="33" customHeight="1">
      <c r="A11" s="313" t="s">
        <v>73</v>
      </c>
      <c r="B11" s="314" t="s">
        <v>74</v>
      </c>
      <c r="C11" s="315" t="s">
        <v>10</v>
      </c>
      <c r="D11" s="309" t="s">
        <v>43</v>
      </c>
      <c r="E11" s="317" t="s">
        <v>1</v>
      </c>
      <c r="F11" s="309"/>
      <c r="G11" s="309"/>
      <c r="H11" s="309" t="s">
        <v>0</v>
      </c>
      <c r="I11" s="309" t="s">
        <v>62</v>
      </c>
      <c r="J11" s="311" t="s">
        <v>69</v>
      </c>
      <c r="K11" s="297" t="s">
        <v>61</v>
      </c>
      <c r="L11" s="299" t="s">
        <v>47</v>
      </c>
      <c r="M11" s="301" t="s">
        <v>48</v>
      </c>
      <c r="N11" s="303" t="s">
        <v>78</v>
      </c>
      <c r="X11" s="30"/>
    </row>
    <row r="12" spans="1:29" ht="41.1" customHeight="1">
      <c r="A12" s="313"/>
      <c r="B12" s="314"/>
      <c r="C12" s="316"/>
      <c r="D12" s="310"/>
      <c r="E12" s="101" t="s">
        <v>18</v>
      </c>
      <c r="F12" s="101" t="s">
        <v>19</v>
      </c>
      <c r="G12" s="101" t="s">
        <v>20</v>
      </c>
      <c r="H12" s="310"/>
      <c r="I12" s="310"/>
      <c r="J12" s="312"/>
      <c r="K12" s="298"/>
      <c r="L12" s="300"/>
      <c r="M12" s="302"/>
      <c r="N12" s="303"/>
      <c r="O12" s="47" t="s">
        <v>56</v>
      </c>
      <c r="P12" s="31"/>
      <c r="Q12" s="31"/>
      <c r="R12" s="31"/>
      <c r="X12" s="30"/>
    </row>
    <row r="13" spans="1:29" s="233" customFormat="1" ht="35.1" customHeight="1">
      <c r="A13" s="224" t="str">
        <f t="shared" ref="A13:A32" si="0">IF(O13="IN",$E$7,"")</f>
        <v>L01</v>
      </c>
      <c r="B13" s="224" t="str">
        <f t="shared" ref="B13:B32" si="1">IF(O13="IN","Muc "&amp;$E$8,"")</f>
        <v>Muc 1.1</v>
      </c>
      <c r="C13" s="225" t="s">
        <v>14</v>
      </c>
      <c r="D13" s="226" t="s">
        <v>71</v>
      </c>
      <c r="E13" s="227"/>
      <c r="F13" s="227"/>
      <c r="G13" s="227"/>
      <c r="H13" s="227"/>
      <c r="I13" s="228"/>
      <c r="J13" s="229"/>
      <c r="K13" s="228"/>
      <c r="L13" s="230"/>
      <c r="M13" s="231"/>
      <c r="N13" s="232">
        <f>IF(O13="IN",$Q$3,"")</f>
        <v>1</v>
      </c>
      <c r="O13" s="232" t="str">
        <f t="shared" ref="O13:O32" si="2">IF(OR(C13&lt;&gt;"",D13&lt;&gt;""),"IN","")</f>
        <v>IN</v>
      </c>
      <c r="P13" s="110"/>
      <c r="Q13" s="232"/>
      <c r="R13" s="110"/>
      <c r="X13" s="43"/>
      <c r="Y13" s="43"/>
      <c r="AA13" s="43"/>
      <c r="AB13" s="43"/>
    </row>
    <row r="14" spans="1:29" s="244" customFormat="1" ht="39.950000000000003" customHeight="1">
      <c r="A14" s="234" t="str">
        <f t="shared" si="0"/>
        <v>L01</v>
      </c>
      <c r="B14" s="234" t="str">
        <f t="shared" si="1"/>
        <v>Muc 1.1</v>
      </c>
      <c r="C14" s="235">
        <v>1</v>
      </c>
      <c r="D14" s="236" t="s">
        <v>130</v>
      </c>
      <c r="E14" s="237">
        <v>25</v>
      </c>
      <c r="F14" s="237">
        <v>35</v>
      </c>
      <c r="G14" s="237" t="str">
        <f>IFERROR(IF((($K$6*2)+($L$6*2))&lt;0,0,($K$6*2)+($L$6*2)),"")</f>
        <v/>
      </c>
      <c r="H14" s="237" t="str">
        <f>+IFERROR(2*K7,"")</f>
        <v/>
      </c>
      <c r="I14" s="236" t="s">
        <v>131</v>
      </c>
      <c r="J14" s="238"/>
      <c r="K14" s="239"/>
      <c r="L14" s="240" t="s">
        <v>132</v>
      </c>
      <c r="M14" s="241" t="str">
        <f t="shared" ref="M14:M20" si="3">IFERROR(IF(OR(L14="Cái",L14="Cụm",L14="Hệ"),H14,IF(L14="Thanh",(G14*H14/2400),IF(L14="Tấm",(F14*G14*H14)/(1220*2440),IF(L14="M2",F14*G14*H14/10^6,IF(L14="M3",E14*F14*G14*H14/10^9,0))))),"")</f>
        <v/>
      </c>
      <c r="N14" s="242">
        <f t="shared" ref="N14:N32" si="4">IF(O14="IN",$Q$3,"")</f>
        <v>1</v>
      </c>
      <c r="O14" s="242" t="str">
        <f t="shared" si="2"/>
        <v>IN</v>
      </c>
      <c r="P14" s="243"/>
      <c r="Q14" s="242"/>
      <c r="R14" s="243"/>
    </row>
    <row r="15" spans="1:29" s="244" customFormat="1" ht="39.950000000000003" customHeight="1">
      <c r="A15" s="234" t="str">
        <f t="shared" si="0"/>
        <v>L01</v>
      </c>
      <c r="B15" s="234" t="str">
        <f t="shared" si="1"/>
        <v>Muc 1.1</v>
      </c>
      <c r="C15" s="235">
        <v>2</v>
      </c>
      <c r="D15" s="245" t="s">
        <v>133</v>
      </c>
      <c r="E15" s="246">
        <v>25</v>
      </c>
      <c r="F15" s="237">
        <v>35</v>
      </c>
      <c r="G15" s="237" t="str">
        <f>IFERROR(IF($M$6-$F$14-$F$14&lt;0,0,$M$6-$F$14-$F$14),"")</f>
        <v/>
      </c>
      <c r="H15" s="237" t="str">
        <f>+IFERROR(4*K7,"")</f>
        <v/>
      </c>
      <c r="I15" s="239" t="s">
        <v>131</v>
      </c>
      <c r="J15" s="238"/>
      <c r="K15" s="239"/>
      <c r="L15" s="240" t="s">
        <v>132</v>
      </c>
      <c r="M15" s="241" t="str">
        <f t="shared" si="3"/>
        <v/>
      </c>
      <c r="N15" s="242">
        <f t="shared" si="4"/>
        <v>1</v>
      </c>
      <c r="O15" s="242" t="str">
        <f t="shared" si="2"/>
        <v>IN</v>
      </c>
      <c r="P15" s="243"/>
      <c r="Q15" s="242"/>
      <c r="R15" s="243"/>
      <c r="X15" s="233"/>
      <c r="Y15" s="233"/>
      <c r="Z15" s="233"/>
    </row>
    <row r="16" spans="1:29" s="244" customFormat="1" ht="50.1" customHeight="1">
      <c r="A16" s="234" t="str">
        <f t="shared" si="0"/>
        <v>L01</v>
      </c>
      <c r="B16" s="234" t="str">
        <f t="shared" si="1"/>
        <v>Muc 1.1</v>
      </c>
      <c r="C16" s="235">
        <v>3</v>
      </c>
      <c r="D16" s="245" t="s">
        <v>174</v>
      </c>
      <c r="E16" s="246">
        <v>18</v>
      </c>
      <c r="F16" s="237">
        <v>100</v>
      </c>
      <c r="G16" s="237" t="str">
        <f>IFERROR(IF(M6+E17+E18+E19+60&lt;0,0,M6+E17+E18+E19+60),"")</f>
        <v/>
      </c>
      <c r="H16" s="237" t="str">
        <f>+IFERROR(8*K7,"")</f>
        <v/>
      </c>
      <c r="I16" s="239" t="s">
        <v>175</v>
      </c>
      <c r="J16" s="238"/>
      <c r="K16" s="239"/>
      <c r="L16" s="240" t="s">
        <v>168</v>
      </c>
      <c r="M16" s="241" t="str">
        <f t="shared" si="3"/>
        <v/>
      </c>
      <c r="N16" s="242">
        <f t="shared" si="4"/>
        <v>1</v>
      </c>
      <c r="O16" s="242" t="str">
        <f t="shared" si="2"/>
        <v>IN</v>
      </c>
      <c r="P16" s="243"/>
      <c r="Q16" s="242"/>
      <c r="R16" s="243"/>
      <c r="X16" s="233"/>
      <c r="Y16" s="233"/>
      <c r="Z16" s="233"/>
    </row>
    <row r="17" spans="1:26" s="244" customFormat="1" ht="50.1" customHeight="1">
      <c r="A17" s="234" t="str">
        <f t="shared" si="0"/>
        <v>L01</v>
      </c>
      <c r="B17" s="234" t="str">
        <f t="shared" si="1"/>
        <v>Muc 1.1</v>
      </c>
      <c r="C17" s="235">
        <v>4</v>
      </c>
      <c r="D17" s="245" t="s">
        <v>176</v>
      </c>
      <c r="E17" s="246">
        <v>18</v>
      </c>
      <c r="F17" s="237">
        <v>100</v>
      </c>
      <c r="G17" s="237" t="str">
        <f>$K$6</f>
        <v/>
      </c>
      <c r="H17" s="237" t="str">
        <f>+IFERROR(4*K7,"")</f>
        <v/>
      </c>
      <c r="I17" s="239" t="s">
        <v>175</v>
      </c>
      <c r="J17" s="238"/>
      <c r="K17" s="239"/>
      <c r="L17" s="240" t="s">
        <v>168</v>
      </c>
      <c r="M17" s="241" t="str">
        <f t="shared" si="3"/>
        <v/>
      </c>
      <c r="N17" s="242">
        <f t="shared" si="4"/>
        <v>1</v>
      </c>
      <c r="O17" s="242" t="str">
        <f t="shared" si="2"/>
        <v>IN</v>
      </c>
      <c r="P17" s="243"/>
      <c r="Q17" s="242"/>
      <c r="R17" s="243"/>
      <c r="X17" s="233"/>
      <c r="Y17" s="233"/>
      <c r="Z17" s="233"/>
    </row>
    <row r="18" spans="1:26" s="244" customFormat="1" ht="50.1" customHeight="1">
      <c r="A18" s="234" t="str">
        <f t="shared" si="0"/>
        <v>L01</v>
      </c>
      <c r="B18" s="234" t="str">
        <f t="shared" si="1"/>
        <v>Muc 1.1</v>
      </c>
      <c r="C18" s="235">
        <v>5</v>
      </c>
      <c r="D18" s="245" t="s">
        <v>177</v>
      </c>
      <c r="E18" s="246">
        <v>18</v>
      </c>
      <c r="F18" s="237">
        <v>100</v>
      </c>
      <c r="G18" s="237" t="str">
        <f>$K$6</f>
        <v/>
      </c>
      <c r="H18" s="237" t="str">
        <f>+IFERROR(2*K7,"")</f>
        <v/>
      </c>
      <c r="I18" s="239" t="s">
        <v>175</v>
      </c>
      <c r="J18" s="238"/>
      <c r="K18" s="239"/>
      <c r="L18" s="240" t="s">
        <v>168</v>
      </c>
      <c r="M18" s="241" t="str">
        <f t="shared" si="3"/>
        <v/>
      </c>
      <c r="N18" s="242">
        <f t="shared" si="4"/>
        <v>1</v>
      </c>
      <c r="O18" s="242" t="str">
        <f t="shared" si="2"/>
        <v>IN</v>
      </c>
      <c r="P18" s="243"/>
      <c r="Q18" s="242"/>
      <c r="R18" s="243"/>
      <c r="X18" s="233"/>
      <c r="Y18" s="233"/>
      <c r="Z18" s="233"/>
    </row>
    <row r="19" spans="1:26" s="244" customFormat="1" ht="50.1" customHeight="1">
      <c r="A19" s="234" t="str">
        <f t="shared" si="0"/>
        <v>L01</v>
      </c>
      <c r="B19" s="234" t="str">
        <f t="shared" si="1"/>
        <v>Muc 1.1</v>
      </c>
      <c r="C19" s="235">
        <v>6</v>
      </c>
      <c r="D19" s="245" t="s">
        <v>177</v>
      </c>
      <c r="E19" s="246">
        <v>18</v>
      </c>
      <c r="F19" s="237">
        <v>100</v>
      </c>
      <c r="G19" s="237" t="str">
        <f>IFERROR(IF($L$6-$F$18-$F$18&lt;0,0,$L$6-$F$18-$F$18),"")</f>
        <v/>
      </c>
      <c r="H19" s="237" t="str">
        <f>+IFERROR(2*K7,"")</f>
        <v/>
      </c>
      <c r="I19" s="239" t="s">
        <v>175</v>
      </c>
      <c r="J19" s="238"/>
      <c r="K19" s="239"/>
      <c r="L19" s="240" t="s">
        <v>168</v>
      </c>
      <c r="M19" s="241" t="str">
        <f t="shared" si="3"/>
        <v/>
      </c>
      <c r="N19" s="242">
        <f t="shared" si="4"/>
        <v>1</v>
      </c>
      <c r="O19" s="242" t="str">
        <f t="shared" si="2"/>
        <v>IN</v>
      </c>
      <c r="P19" s="243"/>
      <c r="Q19" s="242"/>
      <c r="R19" s="243"/>
      <c r="X19" s="233"/>
      <c r="Y19" s="233"/>
      <c r="Z19" s="233"/>
    </row>
    <row r="20" spans="1:26" s="244" customFormat="1" ht="50.1" customHeight="1">
      <c r="A20" s="234" t="str">
        <f t="shared" si="0"/>
        <v>L01</v>
      </c>
      <c r="B20" s="234" t="str">
        <f t="shared" si="1"/>
        <v>Muc 1.1</v>
      </c>
      <c r="C20" s="235">
        <v>7</v>
      </c>
      <c r="D20" s="245" t="s">
        <v>177</v>
      </c>
      <c r="E20" s="246">
        <v>18</v>
      </c>
      <c r="F20" s="237">
        <v>100</v>
      </c>
      <c r="G20" s="237">
        <v>100</v>
      </c>
      <c r="H20" s="237" t="str">
        <f>+IFERROR(40*K7,"")</f>
        <v/>
      </c>
      <c r="I20" s="239" t="s">
        <v>175</v>
      </c>
      <c r="J20" s="238" t="s">
        <v>178</v>
      </c>
      <c r="K20" s="239"/>
      <c r="L20" s="240" t="s">
        <v>168</v>
      </c>
      <c r="M20" s="241" t="str">
        <f t="shared" si="3"/>
        <v/>
      </c>
      <c r="N20" s="242">
        <f t="shared" si="4"/>
        <v>1</v>
      </c>
      <c r="O20" s="242" t="str">
        <f t="shared" si="2"/>
        <v>IN</v>
      </c>
      <c r="P20" s="243"/>
      <c r="Q20" s="242"/>
      <c r="R20" s="243"/>
      <c r="X20" s="233"/>
      <c r="Y20" s="233"/>
      <c r="Z20" s="233"/>
    </row>
    <row r="21" spans="1:26" s="244" customFormat="1" ht="39.950000000000003" customHeight="1">
      <c r="A21" s="234" t="str">
        <f t="shared" si="0"/>
        <v>L01</v>
      </c>
      <c r="B21" s="234" t="str">
        <f t="shared" si="1"/>
        <v>Muc 1.1</v>
      </c>
      <c r="C21" s="235">
        <v>8</v>
      </c>
      <c r="D21" s="245" t="s">
        <v>134</v>
      </c>
      <c r="E21" s="246"/>
      <c r="F21" s="237"/>
      <c r="G21" s="237"/>
      <c r="H21" s="237"/>
      <c r="I21" s="239" t="s">
        <v>135</v>
      </c>
      <c r="J21" s="238"/>
      <c r="K21" s="239"/>
      <c r="L21" s="240" t="s">
        <v>136</v>
      </c>
      <c r="M21" s="241" t="str">
        <f>IFERROR(($K$6*$L$6*4+$L$6*$M$6*2)*10^-6*1.3/0.5*$K$7,"")</f>
        <v/>
      </c>
      <c r="N21" s="242">
        <f t="shared" si="4"/>
        <v>1</v>
      </c>
      <c r="O21" s="242" t="str">
        <f t="shared" si="2"/>
        <v>IN</v>
      </c>
      <c r="P21" s="243"/>
      <c r="Q21" s="242"/>
      <c r="R21" s="243"/>
      <c r="X21" s="233"/>
      <c r="Y21" s="233"/>
      <c r="Z21" s="233"/>
    </row>
    <row r="22" spans="1:26" s="244" customFormat="1" ht="39.950000000000003" customHeight="1">
      <c r="A22" s="234" t="str">
        <f t="shared" si="0"/>
        <v>L01</v>
      </c>
      <c r="B22" s="234" t="str">
        <f t="shared" si="1"/>
        <v>Muc 1.1</v>
      </c>
      <c r="C22" s="235">
        <v>9</v>
      </c>
      <c r="D22" s="245" t="s">
        <v>137</v>
      </c>
      <c r="E22" s="246"/>
      <c r="F22" s="237"/>
      <c r="G22" s="237"/>
      <c r="H22" s="237"/>
      <c r="I22" s="239" t="s">
        <v>138</v>
      </c>
      <c r="J22" s="238"/>
      <c r="K22" s="239"/>
      <c r="L22" s="240" t="s">
        <v>136</v>
      </c>
      <c r="M22" s="241" t="str">
        <f>IFERROR(($K$6*$L$6*4+$L$6*$M$6*2)*10^-6*1.3/1.2*$K$7,"")</f>
        <v/>
      </c>
      <c r="N22" s="242">
        <f t="shared" si="4"/>
        <v>1</v>
      </c>
      <c r="O22" s="242" t="str">
        <f t="shared" si="2"/>
        <v>IN</v>
      </c>
      <c r="P22" s="243"/>
      <c r="Q22" s="242"/>
      <c r="R22" s="243"/>
      <c r="X22" s="233"/>
      <c r="Y22" s="233"/>
      <c r="Z22" s="233"/>
    </row>
    <row r="23" spans="1:26" s="244" customFormat="1" ht="39.950000000000003" customHeight="1">
      <c r="A23" s="234" t="str">
        <f t="shared" si="0"/>
        <v>L01</v>
      </c>
      <c r="B23" s="234" t="str">
        <f t="shared" si="1"/>
        <v>Muc 1.1</v>
      </c>
      <c r="C23" s="235">
        <v>10</v>
      </c>
      <c r="D23" s="245" t="s">
        <v>179</v>
      </c>
      <c r="E23" s="246"/>
      <c r="F23" s="237"/>
      <c r="G23" s="237"/>
      <c r="H23" s="237"/>
      <c r="I23" s="239" t="s">
        <v>180</v>
      </c>
      <c r="J23" s="238"/>
      <c r="K23" s="239"/>
      <c r="L23" s="240" t="s">
        <v>136</v>
      </c>
      <c r="M23" s="241" t="str">
        <f>IFERROR(($K$6*8+$L$6*8+$M$6*80)*10^-3*$K$7,"")</f>
        <v/>
      </c>
      <c r="N23" s="242">
        <f t="shared" si="4"/>
        <v>1</v>
      </c>
      <c r="O23" s="242" t="str">
        <f t="shared" si="2"/>
        <v>IN</v>
      </c>
      <c r="P23" s="243"/>
      <c r="Q23" s="242"/>
      <c r="R23" s="243"/>
      <c r="X23" s="233"/>
      <c r="Y23" s="233"/>
      <c r="Z23" s="233"/>
    </row>
    <row r="24" spans="1:26" s="244" customFormat="1" ht="39.950000000000003" hidden="1" customHeight="1">
      <c r="A24" s="234" t="str">
        <f t="shared" si="0"/>
        <v/>
      </c>
      <c r="B24" s="234" t="str">
        <f t="shared" si="1"/>
        <v/>
      </c>
      <c r="C24" s="235"/>
      <c r="D24" s="245"/>
      <c r="E24" s="246"/>
      <c r="F24" s="237"/>
      <c r="G24" s="237"/>
      <c r="H24" s="237"/>
      <c r="I24" s="239"/>
      <c r="J24" s="238"/>
      <c r="K24" s="239"/>
      <c r="L24" s="240"/>
      <c r="M24" s="241">
        <f t="shared" ref="M24:M31" si="5">IF(OR(L24="Con",L24="Cụm",L24="Hệ"),H24,IF(L24="Thanh",(G24*H24/2400),IF(L24="Tấm",(F24*G24*H24)/(1220*2440),IF(L24="Md",G24*H24/1000,IF(L24="M2",F24*G24*H24/10^6,IF(L24="M3",E24*F24*G24*H24/10^9,0))))))</f>
        <v>0</v>
      </c>
      <c r="N24" s="242" t="str">
        <f t="shared" si="4"/>
        <v/>
      </c>
      <c r="O24" s="242" t="str">
        <f t="shared" si="2"/>
        <v/>
      </c>
      <c r="P24" s="243"/>
      <c r="Q24" s="242"/>
      <c r="R24" s="243"/>
      <c r="X24" s="233"/>
      <c r="Y24" s="233"/>
      <c r="Z24" s="233"/>
    </row>
    <row r="25" spans="1:26" s="244" customFormat="1" ht="39.950000000000003" hidden="1" customHeight="1" thickBot="1">
      <c r="A25" s="234" t="str">
        <f t="shared" si="0"/>
        <v/>
      </c>
      <c r="B25" s="234" t="str">
        <f t="shared" si="1"/>
        <v/>
      </c>
      <c r="C25" s="235"/>
      <c r="D25" s="245"/>
      <c r="E25" s="246"/>
      <c r="F25" s="237"/>
      <c r="G25" s="237"/>
      <c r="H25" s="237"/>
      <c r="I25" s="239"/>
      <c r="J25" s="238"/>
      <c r="K25" s="239"/>
      <c r="L25" s="240"/>
      <c r="M25" s="241">
        <f t="shared" si="5"/>
        <v>0</v>
      </c>
      <c r="N25" s="242" t="str">
        <f t="shared" si="4"/>
        <v/>
      </c>
      <c r="O25" s="242" t="str">
        <f t="shared" si="2"/>
        <v/>
      </c>
      <c r="P25" s="243"/>
      <c r="Q25" s="242"/>
      <c r="R25" s="243"/>
      <c r="X25" s="233"/>
      <c r="Y25" s="233"/>
      <c r="Z25" s="233"/>
    </row>
    <row r="26" spans="1:26" s="244" customFormat="1" ht="39.950000000000003" hidden="1" customHeight="1" thickBot="1">
      <c r="A26" s="234" t="str">
        <f t="shared" si="0"/>
        <v/>
      </c>
      <c r="B26" s="234" t="str">
        <f t="shared" si="1"/>
        <v/>
      </c>
      <c r="C26" s="247"/>
      <c r="D26" s="245"/>
      <c r="E26" s="246"/>
      <c r="F26" s="237"/>
      <c r="G26" s="237"/>
      <c r="H26" s="237"/>
      <c r="I26" s="239"/>
      <c r="J26" s="238"/>
      <c r="K26" s="239"/>
      <c r="L26" s="240"/>
      <c r="M26" s="241">
        <f t="shared" si="5"/>
        <v>0</v>
      </c>
      <c r="N26" s="242" t="str">
        <f t="shared" si="4"/>
        <v/>
      </c>
      <c r="O26" s="242" t="str">
        <f t="shared" si="2"/>
        <v/>
      </c>
      <c r="P26" s="243"/>
      <c r="Q26" s="242"/>
      <c r="R26" s="243"/>
      <c r="X26" s="233"/>
      <c r="Y26" s="233"/>
      <c r="Z26" s="233"/>
    </row>
    <row r="27" spans="1:26" s="233" customFormat="1" ht="39.950000000000003" hidden="1" customHeight="1" thickBot="1">
      <c r="A27" s="224" t="str">
        <f t="shared" si="0"/>
        <v/>
      </c>
      <c r="B27" s="224" t="str">
        <f t="shared" si="1"/>
        <v/>
      </c>
      <c r="C27" s="237"/>
      <c r="D27" s="236"/>
      <c r="E27" s="237"/>
      <c r="F27" s="237"/>
      <c r="G27" s="237"/>
      <c r="H27" s="237"/>
      <c r="I27" s="236"/>
      <c r="J27" s="236"/>
      <c r="K27" s="239"/>
      <c r="L27" s="240"/>
      <c r="M27" s="241">
        <f t="shared" si="5"/>
        <v>0</v>
      </c>
      <c r="N27" s="232" t="str">
        <f t="shared" si="4"/>
        <v/>
      </c>
      <c r="O27" s="232" t="str">
        <f t="shared" si="2"/>
        <v/>
      </c>
      <c r="P27" s="110"/>
      <c r="Q27" s="232"/>
      <c r="R27" s="110"/>
    </row>
    <row r="28" spans="1:26" s="233" customFormat="1" ht="39.950000000000003" hidden="1" customHeight="1" thickBot="1">
      <c r="A28" s="224" t="str">
        <f t="shared" si="0"/>
        <v/>
      </c>
      <c r="B28" s="224" t="str">
        <f t="shared" si="1"/>
        <v/>
      </c>
      <c r="C28" s="248"/>
      <c r="D28" s="249"/>
      <c r="E28" s="248"/>
      <c r="F28" s="248"/>
      <c r="G28" s="248"/>
      <c r="H28" s="248"/>
      <c r="I28" s="249"/>
      <c r="J28" s="236"/>
      <c r="K28" s="239"/>
      <c r="L28" s="240"/>
      <c r="M28" s="241">
        <f t="shared" si="5"/>
        <v>0</v>
      </c>
      <c r="N28" s="232" t="str">
        <f t="shared" si="4"/>
        <v/>
      </c>
      <c r="O28" s="232" t="str">
        <f t="shared" si="2"/>
        <v/>
      </c>
      <c r="P28" s="110"/>
      <c r="Q28" s="232"/>
      <c r="R28" s="110"/>
    </row>
    <row r="29" spans="1:26" s="233" customFormat="1" ht="39.950000000000003" hidden="1" customHeight="1" thickBot="1">
      <c r="A29" s="224" t="str">
        <f t="shared" si="0"/>
        <v/>
      </c>
      <c r="B29" s="224" t="str">
        <f t="shared" si="1"/>
        <v/>
      </c>
      <c r="C29" s="237"/>
      <c r="D29" s="236"/>
      <c r="E29" s="237"/>
      <c r="F29" s="237"/>
      <c r="G29" s="237"/>
      <c r="H29" s="237"/>
      <c r="I29" s="236"/>
      <c r="J29" s="236"/>
      <c r="K29" s="239"/>
      <c r="L29" s="240"/>
      <c r="M29" s="241">
        <f t="shared" si="5"/>
        <v>0</v>
      </c>
      <c r="N29" s="232" t="str">
        <f t="shared" si="4"/>
        <v/>
      </c>
      <c r="O29" s="232" t="str">
        <f t="shared" si="2"/>
        <v/>
      </c>
      <c r="P29" s="110"/>
      <c r="Q29" s="232"/>
      <c r="R29" s="110"/>
    </row>
    <row r="30" spans="1:26" s="233" customFormat="1" ht="39.950000000000003" hidden="1" customHeight="1" thickBot="1">
      <c r="A30" s="224" t="str">
        <f t="shared" si="0"/>
        <v/>
      </c>
      <c r="B30" s="224" t="str">
        <f t="shared" si="1"/>
        <v/>
      </c>
      <c r="C30" s="248"/>
      <c r="D30" s="249"/>
      <c r="E30" s="248"/>
      <c r="F30" s="248"/>
      <c r="G30" s="248"/>
      <c r="H30" s="248"/>
      <c r="I30" s="249"/>
      <c r="J30" s="236"/>
      <c r="K30" s="239"/>
      <c r="L30" s="240"/>
      <c r="M30" s="241">
        <f t="shared" si="5"/>
        <v>0</v>
      </c>
      <c r="N30" s="232" t="str">
        <f t="shared" si="4"/>
        <v/>
      </c>
      <c r="O30" s="232" t="str">
        <f t="shared" si="2"/>
        <v/>
      </c>
      <c r="P30" s="110"/>
      <c r="Q30" s="232"/>
      <c r="R30" s="110"/>
    </row>
    <row r="31" spans="1:26" s="233" customFormat="1" ht="39.950000000000003" hidden="1" customHeight="1" thickBot="1">
      <c r="A31" s="224" t="str">
        <f t="shared" si="0"/>
        <v/>
      </c>
      <c r="B31" s="224" t="str">
        <f t="shared" si="1"/>
        <v/>
      </c>
      <c r="C31" s="248"/>
      <c r="D31" s="249"/>
      <c r="E31" s="248"/>
      <c r="F31" s="248"/>
      <c r="G31" s="248"/>
      <c r="H31" s="248"/>
      <c r="I31" s="249"/>
      <c r="J31" s="236"/>
      <c r="K31" s="239" t="s">
        <v>185</v>
      </c>
      <c r="L31" s="240"/>
      <c r="M31" s="241">
        <f t="shared" si="5"/>
        <v>0</v>
      </c>
      <c r="N31" s="232" t="str">
        <f t="shared" si="4"/>
        <v/>
      </c>
      <c r="O31" s="232" t="str">
        <f t="shared" si="2"/>
        <v/>
      </c>
      <c r="P31" s="110"/>
      <c r="Q31" s="232"/>
      <c r="R31" s="110"/>
    </row>
    <row r="32" spans="1:26" s="233" customFormat="1" ht="35.1" customHeight="1" thickBot="1">
      <c r="A32" s="224" t="str">
        <f t="shared" si="0"/>
        <v>L01</v>
      </c>
      <c r="B32" s="224" t="str">
        <f t="shared" si="1"/>
        <v>Muc 1.1</v>
      </c>
      <c r="C32" s="250"/>
      <c r="D32" s="251" t="s">
        <v>38</v>
      </c>
      <c r="E32" s="252"/>
      <c r="F32" s="252"/>
      <c r="G32" s="252"/>
      <c r="H32" s="252"/>
      <c r="I32" s="252"/>
      <c r="J32" s="253"/>
      <c r="K32" s="254"/>
      <c r="L32" s="255"/>
      <c r="M32" s="255"/>
      <c r="N32" s="232">
        <f t="shared" si="4"/>
        <v>1</v>
      </c>
      <c r="O32" s="232" t="str">
        <f t="shared" si="2"/>
        <v>IN</v>
      </c>
      <c r="P32" s="110"/>
      <c r="Q32" s="232"/>
      <c r="R32" s="110"/>
    </row>
    <row r="33" spans="3:18" ht="27" customHeight="1">
      <c r="D33" s="82" t="s">
        <v>45</v>
      </c>
      <c r="E33" s="34"/>
      <c r="F33" s="34"/>
      <c r="G33" s="34"/>
      <c r="H33" s="34"/>
      <c r="I33" s="34"/>
      <c r="J33" s="8"/>
      <c r="K33" s="34"/>
      <c r="L33" s="34"/>
      <c r="M33" s="34"/>
      <c r="N33" s="8"/>
      <c r="O33" s="69" t="s">
        <v>75</v>
      </c>
      <c r="P33" s="32"/>
      <c r="Q33" s="32"/>
      <c r="R33" s="32"/>
    </row>
    <row r="34" spans="3:18" ht="25.35" customHeight="1">
      <c r="C34" s="3"/>
      <c r="D34" s="35"/>
      <c r="E34" s="9"/>
      <c r="F34" s="36"/>
      <c r="G34" s="37"/>
      <c r="H34" s="36"/>
      <c r="I34" s="36"/>
      <c r="J34" s="11"/>
      <c r="K34" s="71" t="str">
        <f ca="1">"Ngày "&amp;DAY(NOW())&amp;" tháng "&amp;MONTH(NOW())&amp;" năm "&amp;YEAR(NOW())</f>
        <v>Ngày 17 tháng 6 năm 2026</v>
      </c>
      <c r="L34" s="8"/>
      <c r="M34" s="8"/>
      <c r="N34" s="11"/>
      <c r="O34" s="69" t="s">
        <v>75</v>
      </c>
      <c r="P34" s="32"/>
      <c r="Q34" s="32"/>
      <c r="R34" s="32"/>
    </row>
    <row r="35" spans="3:18" ht="25.35" customHeight="1">
      <c r="C35" s="3"/>
      <c r="D35" s="3"/>
      <c r="E35" s="9"/>
      <c r="F35" s="36"/>
      <c r="G35" s="71" t="s">
        <v>49</v>
      </c>
      <c r="H35" s="36"/>
      <c r="I35" s="36"/>
      <c r="J35" s="11"/>
      <c r="K35" s="71" t="s">
        <v>57</v>
      </c>
      <c r="L35" s="8"/>
      <c r="M35" s="8"/>
      <c r="N35" s="11"/>
      <c r="O35" s="69" t="s">
        <v>75</v>
      </c>
      <c r="P35" s="32"/>
      <c r="Q35" s="32"/>
      <c r="R35" s="32"/>
    </row>
    <row r="36" spans="3:18" ht="25.35" customHeight="1">
      <c r="C36" s="3"/>
      <c r="D36" s="3"/>
      <c r="E36" s="9"/>
      <c r="F36" s="36"/>
      <c r="G36" s="42"/>
      <c r="H36" s="36"/>
      <c r="I36" s="36"/>
      <c r="J36" s="11"/>
      <c r="K36" s="37"/>
      <c r="L36" s="8"/>
      <c r="M36" s="8"/>
      <c r="N36" s="11"/>
      <c r="O36" s="69" t="s">
        <v>75</v>
      </c>
      <c r="P36" s="32"/>
      <c r="Q36" s="32"/>
      <c r="R36" s="32"/>
    </row>
    <row r="37" spans="3:18" ht="25.35" customHeight="1">
      <c r="C37" s="3"/>
      <c r="D37" s="3"/>
      <c r="E37" s="9"/>
      <c r="F37" s="36"/>
      <c r="G37" s="42"/>
      <c r="H37" s="36"/>
      <c r="I37" s="36"/>
      <c r="J37" s="11"/>
      <c r="K37" s="37"/>
      <c r="L37" s="8"/>
      <c r="M37" s="8"/>
      <c r="N37" s="11"/>
      <c r="O37" s="69" t="s">
        <v>75</v>
      </c>
      <c r="P37" s="32"/>
      <c r="Q37" s="32"/>
      <c r="R37" s="32"/>
    </row>
    <row r="38" spans="3:18" ht="25.35" customHeight="1">
      <c r="C38" s="3"/>
      <c r="D38" s="3"/>
      <c r="E38" s="9"/>
      <c r="F38" s="36"/>
      <c r="G38" s="38"/>
      <c r="H38" s="36"/>
      <c r="I38" s="38"/>
      <c r="J38" s="11"/>
      <c r="K38" s="37"/>
      <c r="L38" s="8"/>
      <c r="M38" s="8"/>
      <c r="N38" s="11"/>
      <c r="O38" s="69" t="s">
        <v>75</v>
      </c>
      <c r="P38" s="32"/>
      <c r="Q38" s="32"/>
      <c r="R38" s="32"/>
    </row>
    <row r="39" spans="3:18" ht="25.35" customHeight="1">
      <c r="C39" s="3"/>
      <c r="D39" s="3"/>
      <c r="E39" s="9"/>
      <c r="F39" s="36"/>
      <c r="G39" s="37" t="s">
        <v>46</v>
      </c>
      <c r="H39" s="36"/>
      <c r="I39" s="40"/>
      <c r="J39" s="11"/>
      <c r="K39" s="37" t="str">
        <f>'BOM_Phan II'!P241</f>
        <v>Nguyễn Tân Hồng</v>
      </c>
      <c r="L39" s="8"/>
      <c r="M39" s="8"/>
      <c r="N39" s="11"/>
      <c r="O39" s="69" t="s">
        <v>75</v>
      </c>
      <c r="P39" s="32"/>
      <c r="Q39" s="32"/>
      <c r="R39" s="32"/>
    </row>
    <row r="40" spans="3:18" ht="25.35" customHeight="1">
      <c r="C40" s="3"/>
      <c r="D40" s="3"/>
      <c r="E40" s="9"/>
      <c r="F40" s="36"/>
      <c r="G40" s="37"/>
      <c r="H40" s="36"/>
      <c r="I40" s="36"/>
      <c r="J40" s="11"/>
      <c r="K40" s="36"/>
      <c r="L40" s="8"/>
      <c r="M40" s="8"/>
      <c r="N40" s="11"/>
    </row>
    <row r="41" spans="3:18" ht="25.35" customHeight="1">
      <c r="C41" s="43"/>
      <c r="D41" s="43"/>
      <c r="E41" s="9"/>
      <c r="F41" s="36"/>
      <c r="G41" s="37"/>
      <c r="H41" s="36"/>
      <c r="I41" s="36"/>
      <c r="J41" s="11"/>
      <c r="K41" s="36"/>
      <c r="L41" s="8"/>
      <c r="M41" s="8"/>
      <c r="N41" s="11"/>
    </row>
    <row r="42" spans="3:18" ht="25.35" customHeight="1">
      <c r="C42" s="3"/>
      <c r="D42" s="3"/>
      <c r="E42" s="9"/>
      <c r="F42" s="36"/>
      <c r="G42" s="37"/>
      <c r="H42" s="36"/>
      <c r="I42" s="36"/>
      <c r="J42" s="11"/>
      <c r="K42" s="36"/>
      <c r="L42" s="8"/>
      <c r="M42" s="8"/>
      <c r="N42" s="11"/>
    </row>
    <row r="43" spans="3:18" ht="25.35" customHeight="1">
      <c r="C43" s="3"/>
      <c r="D43" s="3"/>
      <c r="E43" s="9"/>
      <c r="F43" s="44"/>
      <c r="G43" s="99"/>
      <c r="H43" s="44"/>
      <c r="I43" s="8"/>
      <c r="J43" s="45"/>
      <c r="K43" s="44"/>
      <c r="L43" s="8"/>
      <c r="M43" s="8"/>
      <c r="N43" s="45"/>
    </row>
  </sheetData>
  <sheetProtection formatCells="0" formatColumns="0" formatRows="0" insertColumns="0" insertRows="0" insertHyperlinks="0" deleteColumns="0" deleteRows="0" sort="0" autoFilter="0" pivotTables="0"/>
  <autoFilter ref="C12:O39" xr:uid="{842A61C4-7B4F-41B1-8FE6-0A0C645AF4DB}">
    <filterColumn colId="12">
      <customFilters>
        <customFilter operator="notEqual" val=" "/>
      </customFilters>
    </filterColumn>
  </autoFilter>
  <mergeCells count="26">
    <mergeCell ref="C8:D8"/>
    <mergeCell ref="C1:E3"/>
    <mergeCell ref="F1:J3"/>
    <mergeCell ref="L1:M1"/>
    <mergeCell ref="P1:R2"/>
    <mergeCell ref="L2:M2"/>
    <mergeCell ref="L3:M3"/>
    <mergeCell ref="C4:D4"/>
    <mergeCell ref="C5:D6"/>
    <mergeCell ref="E5:I6"/>
    <mergeCell ref="J5:J6"/>
    <mergeCell ref="C7:D7"/>
    <mergeCell ref="A11:A12"/>
    <mergeCell ref="B11:B12"/>
    <mergeCell ref="C11:C12"/>
    <mergeCell ref="D11:D12"/>
    <mergeCell ref="E11:G11"/>
    <mergeCell ref="K11:K12"/>
    <mergeCell ref="L11:L12"/>
    <mergeCell ref="M11:M12"/>
    <mergeCell ref="N11:N12"/>
    <mergeCell ref="C9:D9"/>
    <mergeCell ref="C10:M10"/>
    <mergeCell ref="H11:H12"/>
    <mergeCell ref="I11:I12"/>
    <mergeCell ref="J11:J12"/>
  </mergeCells>
  <conditionalFormatting sqref="K14:L31">
    <cfRule type="expression" dxfId="15" priority="4">
      <formula>K14="LỖI DỮ LIỆU"</formula>
    </cfRule>
  </conditionalFormatting>
  <conditionalFormatting sqref="K14:M31">
    <cfRule type="cellIs" dxfId="14" priority="2" operator="equal">
      <formula>0</formula>
    </cfRule>
  </conditionalFormatting>
  <conditionalFormatting sqref="M14:M31">
    <cfRule type="cellIs" dxfId="13" priority="1" operator="equal">
      <formula>0</formula>
    </cfRule>
    <cfRule type="cellIs" dxfId="12" priority="3" operator="equal">
      <formula>0</formula>
    </cfRule>
  </conditionalFormatting>
  <dataValidations count="3">
    <dataValidation type="list" allowBlank="1" showInputMessage="1" showErrorMessage="1" sqref="G39" xr:uid="{E2FDE50D-7A24-49EA-8DC7-EA1841D382C6}">
      <formula1>$Y$2:$Y$3</formula1>
    </dataValidation>
    <dataValidation type="list" allowBlank="1" showInputMessage="1" showErrorMessage="1" sqref="L32" xr:uid="{70CFB2BC-A3D4-4B49-B5E2-8A34C2DF7702}">
      <formula1>$W$2:$W$10</formula1>
    </dataValidation>
    <dataValidation type="list" allowBlank="1" showInputMessage="1" showErrorMessage="1" sqref="L30:L31 L28" xr:uid="{E4916F10-8DDB-45D0-9DA8-43FCBB0D682D}">
      <formula1>$Z$4:$Z$7</formula1>
    </dataValidation>
  </dataValidations>
  <printOptions horizontalCentered="1"/>
  <pageMargins left="0" right="0" top="0.25" bottom="0.25" header="0" footer="0"/>
  <pageSetup paperSize="9" scale="52" orientation="landscape" r:id="rId1"/>
  <headerFooter scaleWithDoc="0" alignWithMargins="0">
    <oddFooter>Page &amp;P of &amp;N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12337-ABDE-4C28-8A44-1802BF33902A}">
  <sheetPr codeName="Sheet10" filterMode="1">
    <tabColor rgb="FFFFFF00"/>
  </sheetPr>
  <dimension ref="A1:AC45"/>
  <sheetViews>
    <sheetView view="pageBreakPreview" zoomScale="55" zoomScaleNormal="55" zoomScaleSheetLayoutView="55" workbookViewId="0">
      <pane ySplit="12" topLeftCell="A13" activePane="bottomLeft" state="frozen"/>
      <selection activeCell="Q4" sqref="Q4"/>
      <selection pane="bottomLeft" activeCell="Q4" sqref="Q4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81" customWidth="1"/>
    <col min="4" max="4" width="31.42578125" style="14" customWidth="1"/>
    <col min="5" max="5" width="7.42578125" style="14" customWidth="1"/>
    <col min="6" max="7" width="7.42578125" style="3" customWidth="1"/>
    <col min="8" max="8" width="7.42578125" style="14" customWidth="1"/>
    <col min="9" max="9" width="39.140625" style="16" customWidth="1"/>
    <col min="10" max="10" width="43.85546875" style="16" customWidth="1"/>
    <col min="11" max="11" width="25.140625" style="14" customWidth="1"/>
    <col min="12" max="13" width="10.42578125" style="15" customWidth="1"/>
    <col min="14" max="14" width="4.85546875" style="16" customWidth="1"/>
    <col min="15" max="18" width="8.85546875" style="3" customWidth="1"/>
    <col min="19" max="22" width="4.85546875" style="3"/>
    <col min="23" max="23" width="11.85546875" style="3" customWidth="1"/>
    <col min="24" max="24" width="20.7109375" style="3" hidden="1" customWidth="1"/>
    <col min="25" max="25" width="13.7109375" style="3" hidden="1" customWidth="1"/>
    <col min="26" max="26" width="22.140625" style="3" hidden="1" customWidth="1"/>
    <col min="27" max="28" width="0" style="3" hidden="1" customWidth="1"/>
    <col min="29" max="29" width="13.7109375" style="3" hidden="1" customWidth="1"/>
    <col min="30" max="16384" width="4.85546875" style="3"/>
  </cols>
  <sheetData>
    <row r="1" spans="1:29" ht="27.75" customHeight="1">
      <c r="C1" s="320"/>
      <c r="D1" s="321"/>
      <c r="E1" s="322"/>
      <c r="F1" s="329" t="s">
        <v>181</v>
      </c>
      <c r="G1" s="330"/>
      <c r="H1" s="330"/>
      <c r="I1" s="330"/>
      <c r="J1" s="331"/>
      <c r="K1" s="144" t="s">
        <v>29</v>
      </c>
      <c r="L1" s="338" t="s">
        <v>44</v>
      </c>
      <c r="M1" s="339"/>
      <c r="N1" s="110"/>
      <c r="P1" s="340" t="s">
        <v>67</v>
      </c>
      <c r="Q1" s="341"/>
      <c r="R1" s="342"/>
    </row>
    <row r="2" spans="1:29" ht="27.75" customHeight="1" thickBot="1">
      <c r="C2" s="323"/>
      <c r="D2" s="324"/>
      <c r="E2" s="325"/>
      <c r="F2" s="332"/>
      <c r="G2" s="333"/>
      <c r="H2" s="333"/>
      <c r="I2" s="333"/>
      <c r="J2" s="334"/>
      <c r="K2" s="27" t="s">
        <v>30</v>
      </c>
      <c r="L2" s="346"/>
      <c r="M2" s="347"/>
      <c r="N2" s="215"/>
      <c r="P2" s="343"/>
      <c r="Q2" s="344"/>
      <c r="R2" s="345"/>
      <c r="W2" s="216"/>
      <c r="X2" s="30" t="s">
        <v>124</v>
      </c>
      <c r="Y2" s="30" t="s">
        <v>66</v>
      </c>
      <c r="Z2" s="30"/>
      <c r="AA2" s="30"/>
      <c r="AB2" s="30"/>
    </row>
    <row r="3" spans="1:29" ht="27.75" customHeight="1" thickBot="1">
      <c r="C3" s="326"/>
      <c r="D3" s="327"/>
      <c r="E3" s="328"/>
      <c r="F3" s="335"/>
      <c r="G3" s="336"/>
      <c r="H3" s="336"/>
      <c r="I3" s="336"/>
      <c r="J3" s="337"/>
      <c r="K3" s="27" t="s">
        <v>31</v>
      </c>
      <c r="L3" s="346"/>
      <c r="M3" s="347"/>
      <c r="N3" s="217"/>
      <c r="P3" s="48"/>
      <c r="Q3" s="100">
        <f>'BOM_Phan II'!Y3</f>
        <v>1</v>
      </c>
      <c r="R3" s="48"/>
      <c r="W3" s="216"/>
      <c r="X3" s="30" t="s">
        <v>125</v>
      </c>
      <c r="Y3" s="30"/>
      <c r="Z3" s="30"/>
      <c r="AA3" s="30"/>
      <c r="AB3" s="30"/>
      <c r="AC3" s="3" t="s">
        <v>124</v>
      </c>
    </row>
    <row r="4" spans="1:29" ht="25.35" customHeight="1">
      <c r="C4" s="348" t="s">
        <v>25</v>
      </c>
      <c r="D4" s="349"/>
      <c r="E4" s="102" t="str">
        <f>'BOM_Phan II'!E4</f>
        <v>LAGOME_BURNLEY MALTINGS</v>
      </c>
      <c r="F4" s="92"/>
      <c r="G4" s="92"/>
      <c r="H4" s="92"/>
      <c r="I4" s="92"/>
      <c r="J4" s="128" t="s">
        <v>24</v>
      </c>
      <c r="K4" s="218" t="str">
        <f>'BOM_Phan II'!P4</f>
        <v>2573_LAGOME_CT07</v>
      </c>
      <c r="L4" s="219"/>
      <c r="M4" s="219"/>
      <c r="N4" s="220"/>
      <c r="W4" s="216"/>
      <c r="X4" s="30" t="s">
        <v>86</v>
      </c>
      <c r="Y4" s="30"/>
      <c r="Z4" s="30" t="s">
        <v>76</v>
      </c>
      <c r="AA4" s="30"/>
      <c r="AB4" s="30"/>
      <c r="AC4" s="3" t="s">
        <v>125</v>
      </c>
    </row>
    <row r="5" spans="1:29" ht="25.35" customHeight="1">
      <c r="C5" s="350" t="s">
        <v>28</v>
      </c>
      <c r="D5" s="351"/>
      <c r="E5" s="354" t="str">
        <f>'BOM_Phan II'!E5</f>
        <v>Laundry_ (TH 11)</v>
      </c>
      <c r="F5" s="355"/>
      <c r="G5" s="355"/>
      <c r="H5" s="355"/>
      <c r="I5" s="356"/>
      <c r="J5" s="360" t="s">
        <v>27</v>
      </c>
      <c r="K5" s="221" t="s">
        <v>126</v>
      </c>
      <c r="L5" s="221" t="s">
        <v>127</v>
      </c>
      <c r="M5" s="221" t="s">
        <v>128</v>
      </c>
      <c r="N5" s="220"/>
      <c r="W5" s="216"/>
      <c r="X5" s="30" t="s">
        <v>64</v>
      </c>
      <c r="Y5" s="30"/>
      <c r="Z5" s="30" t="s">
        <v>77</v>
      </c>
      <c r="AA5" s="30"/>
      <c r="AB5" s="30"/>
      <c r="AC5" s="3" t="s">
        <v>86</v>
      </c>
    </row>
    <row r="6" spans="1:29" ht="25.35" customHeight="1">
      <c r="C6" s="352"/>
      <c r="D6" s="353"/>
      <c r="E6" s="357"/>
      <c r="F6" s="358"/>
      <c r="G6" s="358"/>
      <c r="H6" s="358"/>
      <c r="I6" s="359"/>
      <c r="J6" s="361"/>
      <c r="K6" s="221" t="str">
        <f>IFERROR(IF('BOM_Phan IV'!T13=5,AVERAGE('BOM_Phan IV'!M13:M1400),""),"")</f>
        <v/>
      </c>
      <c r="L6" s="221" t="str">
        <f>IFERROR(IF('BOM_Phan IV'!T13=5,AVERAGE('BOM_Phan IV'!L13:L1400),""),"")</f>
        <v/>
      </c>
      <c r="M6" s="221" t="str">
        <f>IFERROR(IF('BOM_Phan IV'!T13=5,AVERAGE('BOM_Phan IV'!K13:K1400),""),"")</f>
        <v/>
      </c>
      <c r="N6" s="220"/>
      <c r="W6" s="216"/>
      <c r="X6" s="30" t="s">
        <v>64</v>
      </c>
      <c r="Y6" s="30"/>
      <c r="Z6" s="30" t="s">
        <v>77</v>
      </c>
      <c r="AA6" s="30"/>
      <c r="AB6" s="30"/>
      <c r="AC6" s="3" t="s">
        <v>86</v>
      </c>
    </row>
    <row r="7" spans="1:29" ht="25.35" customHeight="1">
      <c r="C7" s="318" t="s">
        <v>23</v>
      </c>
      <c r="D7" s="319"/>
      <c r="E7" s="95" t="str">
        <f>'BOM_Phan II'!E6</f>
        <v>L01</v>
      </c>
      <c r="F7" s="94"/>
      <c r="G7" s="94"/>
      <c r="H7" s="94"/>
      <c r="I7" s="94"/>
      <c r="J7" s="127" t="s">
        <v>26</v>
      </c>
      <c r="K7" s="222" t="str">
        <f>IF(K6&lt;&gt;"",SUM('BOM_Phan IV'!N13:N1400),"")</f>
        <v/>
      </c>
      <c r="L7" s="223"/>
      <c r="M7" s="223"/>
      <c r="N7" s="220"/>
      <c r="W7" s="216"/>
      <c r="X7" s="30" t="s">
        <v>65</v>
      </c>
      <c r="Y7" s="30"/>
      <c r="Z7" s="30"/>
      <c r="AA7" s="30"/>
      <c r="AB7" s="30"/>
      <c r="AC7" s="3" t="s">
        <v>64</v>
      </c>
    </row>
    <row r="8" spans="1:29" ht="25.35" customHeight="1">
      <c r="C8" s="318" t="s">
        <v>21</v>
      </c>
      <c r="D8" s="319"/>
      <c r="E8" s="95">
        <f>'BOM_Phan II'!E7</f>
        <v>1.1000000000000001</v>
      </c>
      <c r="F8" s="94"/>
      <c r="G8" s="94"/>
      <c r="H8" s="94"/>
      <c r="I8" s="94"/>
      <c r="J8" s="127" t="s">
        <v>34</v>
      </c>
      <c r="K8" s="95" t="str">
        <f>'BOM_Phan II'!P7</f>
        <v>Theo module và giao rời</v>
      </c>
      <c r="L8" s="124"/>
      <c r="M8" s="124"/>
      <c r="N8" s="220"/>
      <c r="P8" s="46"/>
      <c r="W8" s="216"/>
      <c r="X8" s="30" t="s">
        <v>66</v>
      </c>
      <c r="Y8" s="30"/>
      <c r="Z8" s="30"/>
      <c r="AA8" s="30"/>
      <c r="AB8" s="30"/>
      <c r="AC8" s="3" t="s">
        <v>65</v>
      </c>
    </row>
    <row r="9" spans="1:29" ht="25.35" customHeight="1">
      <c r="C9" s="304" t="s">
        <v>9</v>
      </c>
      <c r="D9" s="305"/>
      <c r="E9" s="104" t="str">
        <f>'BOM_Phan II'!E8</f>
        <v xml:space="preserve">PB E1 chống ẩm 2M Melamine MEL1: MS 024T
</v>
      </c>
      <c r="F9" s="98"/>
      <c r="G9" s="98"/>
      <c r="H9" s="98"/>
      <c r="I9" s="98"/>
      <c r="J9" s="129" t="s">
        <v>22</v>
      </c>
      <c r="K9" s="104" t="str">
        <f>'BOM_Phan II'!P8</f>
        <v>MEL01,Đồng màu MEL1</v>
      </c>
      <c r="L9" s="126"/>
      <c r="M9" s="126"/>
      <c r="N9" s="220"/>
      <c r="W9" s="216"/>
      <c r="X9" s="30" t="s">
        <v>129</v>
      </c>
      <c r="Y9" s="30"/>
      <c r="Z9" s="30"/>
      <c r="AA9" s="30"/>
      <c r="AB9" s="30"/>
      <c r="AC9" s="3" t="s">
        <v>66</v>
      </c>
    </row>
    <row r="10" spans="1:29" ht="23.25" customHeight="1" thickBot="1">
      <c r="C10" s="306"/>
      <c r="D10" s="307"/>
      <c r="E10" s="307"/>
      <c r="F10" s="307"/>
      <c r="G10" s="307"/>
      <c r="H10" s="307"/>
      <c r="I10" s="307"/>
      <c r="J10" s="307"/>
      <c r="K10" s="308"/>
      <c r="L10" s="308"/>
      <c r="M10" s="308"/>
      <c r="N10" s="14"/>
      <c r="W10" s="216"/>
      <c r="X10" s="30"/>
      <c r="Y10" s="30"/>
      <c r="Z10" s="30"/>
      <c r="AA10" s="30"/>
      <c r="AB10" s="30"/>
      <c r="AC10" s="3" t="s">
        <v>88</v>
      </c>
    </row>
    <row r="11" spans="1:29" ht="33" customHeight="1">
      <c r="A11" s="313" t="s">
        <v>73</v>
      </c>
      <c r="B11" s="314" t="s">
        <v>74</v>
      </c>
      <c r="C11" s="315" t="s">
        <v>10</v>
      </c>
      <c r="D11" s="309" t="s">
        <v>43</v>
      </c>
      <c r="E11" s="317" t="s">
        <v>1</v>
      </c>
      <c r="F11" s="309"/>
      <c r="G11" s="309"/>
      <c r="H11" s="309" t="s">
        <v>0</v>
      </c>
      <c r="I11" s="309" t="s">
        <v>62</v>
      </c>
      <c r="J11" s="311" t="s">
        <v>69</v>
      </c>
      <c r="K11" s="297" t="s">
        <v>61</v>
      </c>
      <c r="L11" s="299" t="s">
        <v>47</v>
      </c>
      <c r="M11" s="301" t="s">
        <v>48</v>
      </c>
      <c r="N11" s="303" t="s">
        <v>78</v>
      </c>
      <c r="X11" s="30"/>
    </row>
    <row r="12" spans="1:29" ht="41.1" customHeight="1">
      <c r="A12" s="313"/>
      <c r="B12" s="314"/>
      <c r="C12" s="316"/>
      <c r="D12" s="310"/>
      <c r="E12" s="101" t="s">
        <v>18</v>
      </c>
      <c r="F12" s="101" t="s">
        <v>19</v>
      </c>
      <c r="G12" s="101" t="s">
        <v>20</v>
      </c>
      <c r="H12" s="310"/>
      <c r="I12" s="310"/>
      <c r="J12" s="312"/>
      <c r="K12" s="298"/>
      <c r="L12" s="300"/>
      <c r="M12" s="302"/>
      <c r="N12" s="303"/>
      <c r="O12" s="47" t="s">
        <v>56</v>
      </c>
      <c r="P12" s="31"/>
      <c r="Q12" s="31"/>
      <c r="R12" s="31"/>
      <c r="X12" s="30"/>
    </row>
    <row r="13" spans="1:29" s="233" customFormat="1" ht="35.1" customHeight="1">
      <c r="A13" s="224" t="str">
        <f t="shared" ref="A13:A34" si="0">IF(O13="IN",$E$7,"")</f>
        <v>L01</v>
      </c>
      <c r="B13" s="224" t="str">
        <f t="shared" ref="B13:B34" si="1">IF(O13="IN","Muc "&amp;$E$8,"")</f>
        <v>Muc 1.1</v>
      </c>
      <c r="C13" s="225" t="s">
        <v>14</v>
      </c>
      <c r="D13" s="226" t="s">
        <v>71</v>
      </c>
      <c r="E13" s="227"/>
      <c r="F13" s="227"/>
      <c r="G13" s="227"/>
      <c r="H13" s="227"/>
      <c r="I13" s="228"/>
      <c r="J13" s="229"/>
      <c r="K13" s="228"/>
      <c r="L13" s="230"/>
      <c r="M13" s="231"/>
      <c r="N13" s="232">
        <f>IF(O13="IN",$Q$3,"")</f>
        <v>1</v>
      </c>
      <c r="O13" s="232" t="str">
        <f t="shared" ref="O13:O34" si="2">IF(OR(C13&lt;&gt;"",D13&lt;&gt;""),"IN","")</f>
        <v>IN</v>
      </c>
      <c r="P13" s="110"/>
      <c r="Q13" s="232"/>
      <c r="R13" s="110"/>
      <c r="X13" s="43"/>
      <c r="Y13" s="43"/>
      <c r="AA13" s="43"/>
      <c r="AB13" s="43"/>
    </row>
    <row r="14" spans="1:29" s="244" customFormat="1" ht="39.950000000000003" customHeight="1">
      <c r="A14" s="234" t="str">
        <f t="shared" si="0"/>
        <v>L01</v>
      </c>
      <c r="B14" s="234" t="str">
        <f t="shared" si="1"/>
        <v>Muc 1.1</v>
      </c>
      <c r="C14" s="235">
        <v>1</v>
      </c>
      <c r="D14" s="236" t="s">
        <v>130</v>
      </c>
      <c r="E14" s="237">
        <v>25</v>
      </c>
      <c r="F14" s="237">
        <v>35</v>
      </c>
      <c r="G14" s="237" t="str">
        <f>IFERROR(IF((($K$6*2)+($L$6*2))&lt;0,0,($K$6*2)+($L$6*2)),"")</f>
        <v/>
      </c>
      <c r="H14" s="237" t="str">
        <f>+IFERROR(2*K7,"")</f>
        <v/>
      </c>
      <c r="I14" s="236" t="s">
        <v>131</v>
      </c>
      <c r="J14" s="238"/>
      <c r="K14" s="239"/>
      <c r="L14" s="240" t="s">
        <v>132</v>
      </c>
      <c r="M14" s="241" t="str">
        <f t="shared" ref="M14:M22" si="3">IFERROR(IF(OR(L14="Con",L14="Cụm",L14="Hệ"),H14,IF(L14="Thanh",(G14*H14/2400),IF(L14="Tấm",(F14*G14*H14)/(1220*2440),IF(L14="M2",F14*G14*H14/10^6,IF(L14="M3",E14*F14*G14*H14/10^9,0))))),"")</f>
        <v/>
      </c>
      <c r="N14" s="242">
        <f t="shared" ref="N14:N34" si="4">IF(O14="IN",$Q$3,"")</f>
        <v>1</v>
      </c>
      <c r="O14" s="242" t="str">
        <f t="shared" si="2"/>
        <v>IN</v>
      </c>
      <c r="P14" s="243"/>
      <c r="Q14" s="242"/>
      <c r="R14" s="243"/>
    </row>
    <row r="15" spans="1:29" s="244" customFormat="1" ht="39.950000000000003" customHeight="1">
      <c r="A15" s="234" t="str">
        <f t="shared" si="0"/>
        <v>L01</v>
      </c>
      <c r="B15" s="234" t="str">
        <f t="shared" si="1"/>
        <v>Muc 1.1</v>
      </c>
      <c r="C15" s="235">
        <v>2</v>
      </c>
      <c r="D15" s="245" t="s">
        <v>133</v>
      </c>
      <c r="E15" s="246">
        <v>25</v>
      </c>
      <c r="F15" s="237">
        <v>35</v>
      </c>
      <c r="G15" s="237" t="str">
        <f>IFERROR(IF($M$6-$F$14-$F$14&lt;0,0,$M$6-$F$14-$F$14),"")</f>
        <v/>
      </c>
      <c r="H15" s="237" t="str">
        <f>+IFERROR(4*K7,"")</f>
        <v/>
      </c>
      <c r="I15" s="239" t="s">
        <v>131</v>
      </c>
      <c r="J15" s="238"/>
      <c r="K15" s="239"/>
      <c r="L15" s="240" t="s">
        <v>132</v>
      </c>
      <c r="M15" s="241" t="str">
        <f t="shared" si="3"/>
        <v/>
      </c>
      <c r="N15" s="242">
        <f t="shared" si="4"/>
        <v>1</v>
      </c>
      <c r="O15" s="242" t="str">
        <f t="shared" si="2"/>
        <v>IN</v>
      </c>
      <c r="P15" s="243"/>
      <c r="Q15" s="242"/>
      <c r="R15" s="243"/>
      <c r="X15" s="233"/>
      <c r="Y15" s="233"/>
      <c r="Z15" s="233"/>
    </row>
    <row r="16" spans="1:29" s="244" customFormat="1" ht="50.1" customHeight="1">
      <c r="A16" s="234" t="str">
        <f t="shared" si="0"/>
        <v>L01</v>
      </c>
      <c r="B16" s="234" t="str">
        <f t="shared" si="1"/>
        <v>Muc 1.1</v>
      </c>
      <c r="C16" s="235">
        <v>3</v>
      </c>
      <c r="D16" s="245" t="s">
        <v>174</v>
      </c>
      <c r="E16" s="246">
        <v>18</v>
      </c>
      <c r="F16" s="237">
        <v>100</v>
      </c>
      <c r="G16" s="237" t="str">
        <f>IFERROR(IF($M$6+$E$17+$E$20+$E$21+60&lt;0,0,$M$6+$E$17+$E$20+$E$21+60),"")</f>
        <v/>
      </c>
      <c r="H16" s="237" t="str">
        <f>+IFERROR(8*K7,"")</f>
        <v/>
      </c>
      <c r="I16" s="239" t="s">
        <v>175</v>
      </c>
      <c r="J16" s="238"/>
      <c r="K16" s="239"/>
      <c r="L16" s="240" t="s">
        <v>168</v>
      </c>
      <c r="M16" s="241" t="str">
        <f t="shared" si="3"/>
        <v/>
      </c>
      <c r="N16" s="242">
        <f t="shared" si="4"/>
        <v>1</v>
      </c>
      <c r="O16" s="242" t="str">
        <f t="shared" si="2"/>
        <v>IN</v>
      </c>
      <c r="P16" s="243"/>
      <c r="Q16" s="242"/>
      <c r="R16" s="243"/>
      <c r="X16" s="233"/>
      <c r="Y16" s="233"/>
      <c r="Z16" s="233"/>
    </row>
    <row r="17" spans="1:26" s="244" customFormat="1" ht="50.1" customHeight="1">
      <c r="A17" s="234" t="str">
        <f t="shared" si="0"/>
        <v>L01</v>
      </c>
      <c r="B17" s="234" t="str">
        <f t="shared" si="1"/>
        <v>Muc 1.1</v>
      </c>
      <c r="C17" s="235">
        <v>4</v>
      </c>
      <c r="D17" s="245" t="s">
        <v>182</v>
      </c>
      <c r="E17" s="246">
        <v>18</v>
      </c>
      <c r="F17" s="237">
        <v>100</v>
      </c>
      <c r="G17" s="237" t="str">
        <f>+$K$6</f>
        <v/>
      </c>
      <c r="H17" s="237" t="str">
        <f>+IFERROR(4*K7,"")</f>
        <v/>
      </c>
      <c r="I17" s="239" t="s">
        <v>175</v>
      </c>
      <c r="J17" s="238"/>
      <c r="K17" s="239"/>
      <c r="L17" s="240" t="s">
        <v>168</v>
      </c>
      <c r="M17" s="241" t="str">
        <f t="shared" si="3"/>
        <v/>
      </c>
      <c r="N17" s="242">
        <f t="shared" si="4"/>
        <v>1</v>
      </c>
      <c r="O17" s="242" t="str">
        <f t="shared" si="2"/>
        <v>IN</v>
      </c>
      <c r="P17" s="243"/>
      <c r="Q17" s="242"/>
      <c r="R17" s="243"/>
      <c r="X17" s="233"/>
      <c r="Y17" s="233"/>
      <c r="Z17" s="233"/>
    </row>
    <row r="18" spans="1:26" s="244" customFormat="1" ht="50.1" customHeight="1">
      <c r="A18" s="234" t="str">
        <f t="shared" si="0"/>
        <v>L01</v>
      </c>
      <c r="B18" s="234" t="str">
        <f t="shared" si="1"/>
        <v>Muc 1.1</v>
      </c>
      <c r="C18" s="235">
        <v>5</v>
      </c>
      <c r="D18" s="245" t="s">
        <v>183</v>
      </c>
      <c r="E18" s="246">
        <v>18</v>
      </c>
      <c r="F18" s="237">
        <v>100</v>
      </c>
      <c r="G18" s="237" t="str">
        <f>IFERROR(IF($L$6-$F$17-$F$17&lt;0,0,$L$6-$F$17-$F$17),"")</f>
        <v/>
      </c>
      <c r="H18" s="237" t="str">
        <f>+IFERROR(8*K7,"")</f>
        <v/>
      </c>
      <c r="I18" s="239" t="s">
        <v>175</v>
      </c>
      <c r="J18" s="238"/>
      <c r="K18" s="239"/>
      <c r="L18" s="240" t="s">
        <v>168</v>
      </c>
      <c r="M18" s="241" t="str">
        <f t="shared" si="3"/>
        <v/>
      </c>
      <c r="N18" s="242">
        <f t="shared" si="4"/>
        <v>1</v>
      </c>
      <c r="O18" s="242" t="str">
        <f t="shared" si="2"/>
        <v>IN</v>
      </c>
      <c r="P18" s="243"/>
      <c r="Q18" s="242"/>
      <c r="R18" s="243"/>
      <c r="X18" s="233"/>
      <c r="Y18" s="233"/>
      <c r="Z18" s="233"/>
    </row>
    <row r="19" spans="1:26" s="244" customFormat="1" ht="50.1" customHeight="1">
      <c r="A19" s="234" t="str">
        <f t="shared" si="0"/>
        <v>L01</v>
      </c>
      <c r="B19" s="234" t="str">
        <f t="shared" si="1"/>
        <v>Muc 1.1</v>
      </c>
      <c r="C19" s="235">
        <v>6</v>
      </c>
      <c r="D19" s="245" t="s">
        <v>184</v>
      </c>
      <c r="E19" s="246">
        <v>18</v>
      </c>
      <c r="F19" s="237">
        <v>100</v>
      </c>
      <c r="G19" s="237" t="str">
        <f>IFERROR(IF($K$6-$F$16-$F$16&lt;0,0,$K$6-$F$16-$F$16),"")</f>
        <v/>
      </c>
      <c r="H19" s="237" t="str">
        <f>+IFERROR(4*K7,"")</f>
        <v/>
      </c>
      <c r="I19" s="239" t="s">
        <v>175</v>
      </c>
      <c r="J19" s="238"/>
      <c r="K19" s="239"/>
      <c r="L19" s="240" t="s">
        <v>168</v>
      </c>
      <c r="M19" s="241" t="str">
        <f t="shared" si="3"/>
        <v/>
      </c>
      <c r="N19" s="242">
        <f t="shared" si="4"/>
        <v>1</v>
      </c>
      <c r="O19" s="242" t="str">
        <f t="shared" si="2"/>
        <v>IN</v>
      </c>
      <c r="P19" s="243"/>
      <c r="Q19" s="242"/>
      <c r="R19" s="243"/>
      <c r="X19" s="233"/>
      <c r="Y19" s="233"/>
      <c r="Z19" s="233"/>
    </row>
    <row r="20" spans="1:26" s="244" customFormat="1" ht="50.1" customHeight="1">
      <c r="A20" s="234" t="str">
        <f t="shared" si="0"/>
        <v>L01</v>
      </c>
      <c r="B20" s="234" t="str">
        <f t="shared" si="1"/>
        <v>Muc 1.1</v>
      </c>
      <c r="C20" s="235">
        <v>5</v>
      </c>
      <c r="D20" s="245" t="s">
        <v>177</v>
      </c>
      <c r="E20" s="246">
        <v>18</v>
      </c>
      <c r="F20" s="237">
        <v>100</v>
      </c>
      <c r="G20" s="237" t="str">
        <f>$K$6</f>
        <v/>
      </c>
      <c r="H20" s="237" t="str">
        <f>+IFERROR(2*K7,"")</f>
        <v/>
      </c>
      <c r="I20" s="239" t="s">
        <v>175</v>
      </c>
      <c r="J20" s="238"/>
      <c r="K20" s="239"/>
      <c r="L20" s="240" t="s">
        <v>168</v>
      </c>
      <c r="M20" s="241" t="str">
        <f t="shared" si="3"/>
        <v/>
      </c>
      <c r="N20" s="242">
        <f t="shared" si="4"/>
        <v>1</v>
      </c>
      <c r="O20" s="242" t="str">
        <f t="shared" si="2"/>
        <v>IN</v>
      </c>
      <c r="P20" s="243"/>
      <c r="Q20" s="242"/>
      <c r="R20" s="243"/>
      <c r="X20" s="233"/>
      <c r="Y20" s="233"/>
      <c r="Z20" s="233"/>
    </row>
    <row r="21" spans="1:26" s="244" customFormat="1" ht="50.1" customHeight="1">
      <c r="A21" s="234" t="str">
        <f t="shared" si="0"/>
        <v>L01</v>
      </c>
      <c r="B21" s="234" t="str">
        <f t="shared" si="1"/>
        <v>Muc 1.1</v>
      </c>
      <c r="C21" s="235">
        <v>6</v>
      </c>
      <c r="D21" s="245" t="s">
        <v>177</v>
      </c>
      <c r="E21" s="246">
        <v>18</v>
      </c>
      <c r="F21" s="237">
        <v>100</v>
      </c>
      <c r="G21" s="237" t="str">
        <f>IFERROR(IF($L$6-$F$20-$F$20&lt;0,0,$L$6-$F$20-$F$20),"")</f>
        <v/>
      </c>
      <c r="H21" s="237" t="str">
        <f>+IFERROR(2*K7,"")</f>
        <v/>
      </c>
      <c r="I21" s="239" t="s">
        <v>175</v>
      </c>
      <c r="J21" s="238"/>
      <c r="K21" s="239"/>
      <c r="L21" s="240" t="s">
        <v>168</v>
      </c>
      <c r="M21" s="241" t="str">
        <f t="shared" si="3"/>
        <v/>
      </c>
      <c r="N21" s="242">
        <f t="shared" si="4"/>
        <v>1</v>
      </c>
      <c r="O21" s="242" t="str">
        <f t="shared" si="2"/>
        <v>IN</v>
      </c>
      <c r="P21" s="243"/>
      <c r="Q21" s="242"/>
      <c r="R21" s="243"/>
      <c r="X21" s="233"/>
      <c r="Y21" s="233"/>
      <c r="Z21" s="233"/>
    </row>
    <row r="22" spans="1:26" s="244" customFormat="1" ht="50.1" customHeight="1">
      <c r="A22" s="234" t="str">
        <f t="shared" si="0"/>
        <v>L01</v>
      </c>
      <c r="B22" s="234" t="str">
        <f t="shared" si="1"/>
        <v>Muc 1.1</v>
      </c>
      <c r="C22" s="235">
        <v>7</v>
      </c>
      <c r="D22" s="245" t="s">
        <v>177</v>
      </c>
      <c r="E22" s="246">
        <v>18</v>
      </c>
      <c r="F22" s="237">
        <v>100</v>
      </c>
      <c r="G22" s="237">
        <v>100</v>
      </c>
      <c r="H22" s="237" t="str">
        <f>+IFERROR(40*K7,"")</f>
        <v/>
      </c>
      <c r="I22" s="239" t="s">
        <v>175</v>
      </c>
      <c r="J22" s="238" t="s">
        <v>178</v>
      </c>
      <c r="K22" s="239"/>
      <c r="L22" s="240" t="s">
        <v>168</v>
      </c>
      <c r="M22" s="241" t="str">
        <f t="shared" si="3"/>
        <v/>
      </c>
      <c r="N22" s="242">
        <f t="shared" si="4"/>
        <v>1</v>
      </c>
      <c r="O22" s="242" t="str">
        <f t="shared" si="2"/>
        <v>IN</v>
      </c>
      <c r="P22" s="243"/>
      <c r="Q22" s="242"/>
      <c r="R22" s="243"/>
      <c r="X22" s="233"/>
      <c r="Y22" s="233"/>
      <c r="Z22" s="233"/>
    </row>
    <row r="23" spans="1:26" s="244" customFormat="1" ht="39.950000000000003" customHeight="1">
      <c r="A23" s="234" t="str">
        <f t="shared" si="0"/>
        <v>L01</v>
      </c>
      <c r="B23" s="234" t="str">
        <f t="shared" si="1"/>
        <v>Muc 1.1</v>
      </c>
      <c r="C23" s="235">
        <v>8</v>
      </c>
      <c r="D23" s="245" t="s">
        <v>134</v>
      </c>
      <c r="E23" s="246"/>
      <c r="F23" s="237"/>
      <c r="G23" s="237"/>
      <c r="H23" s="237"/>
      <c r="I23" s="239" t="s">
        <v>135</v>
      </c>
      <c r="J23" s="238"/>
      <c r="K23" s="239"/>
      <c r="L23" s="240" t="s">
        <v>136</v>
      </c>
      <c r="M23" s="241" t="str">
        <f>IFERROR(($K$6*$L$6*4+$L$6*$M$6*2)*10^-6*1.3/0.5*$K$7,"")</f>
        <v/>
      </c>
      <c r="N23" s="242">
        <f t="shared" si="4"/>
        <v>1</v>
      </c>
      <c r="O23" s="242" t="str">
        <f t="shared" si="2"/>
        <v>IN</v>
      </c>
      <c r="P23" s="243"/>
      <c r="Q23" s="242"/>
      <c r="R23" s="243"/>
      <c r="X23" s="233"/>
      <c r="Y23" s="233"/>
      <c r="Z23" s="233"/>
    </row>
    <row r="24" spans="1:26" s="244" customFormat="1" ht="39.950000000000003" customHeight="1">
      <c r="A24" s="234" t="str">
        <f t="shared" si="0"/>
        <v>L01</v>
      </c>
      <c r="B24" s="234" t="str">
        <f t="shared" si="1"/>
        <v>Muc 1.1</v>
      </c>
      <c r="C24" s="235">
        <v>9</v>
      </c>
      <c r="D24" s="245" t="s">
        <v>137</v>
      </c>
      <c r="E24" s="246"/>
      <c r="F24" s="237"/>
      <c r="G24" s="237"/>
      <c r="H24" s="237"/>
      <c r="I24" s="239" t="s">
        <v>138</v>
      </c>
      <c r="J24" s="238"/>
      <c r="K24" s="239"/>
      <c r="L24" s="240" t="s">
        <v>136</v>
      </c>
      <c r="M24" s="241" t="str">
        <f>IFERROR(($K$6*$L$6*4+$L$6*$M$6*2)*10^-6*1.3/1.2*$K$7,"")</f>
        <v/>
      </c>
      <c r="N24" s="242">
        <f t="shared" si="4"/>
        <v>1</v>
      </c>
      <c r="O24" s="242" t="str">
        <f t="shared" si="2"/>
        <v>IN</v>
      </c>
      <c r="P24" s="243"/>
      <c r="Q24" s="242"/>
      <c r="R24" s="243"/>
      <c r="X24" s="233"/>
      <c r="Y24" s="233"/>
      <c r="Z24" s="233"/>
    </row>
    <row r="25" spans="1:26" s="244" customFormat="1" ht="39.950000000000003" customHeight="1">
      <c r="A25" s="234" t="str">
        <f t="shared" si="0"/>
        <v>L01</v>
      </c>
      <c r="B25" s="234" t="str">
        <f t="shared" si="1"/>
        <v>Muc 1.1</v>
      </c>
      <c r="C25" s="235">
        <v>10</v>
      </c>
      <c r="D25" s="245" t="s">
        <v>179</v>
      </c>
      <c r="E25" s="246"/>
      <c r="F25" s="237"/>
      <c r="G25" s="237"/>
      <c r="H25" s="237"/>
      <c r="I25" s="239" t="s">
        <v>180</v>
      </c>
      <c r="J25" s="238"/>
      <c r="K25" s="239"/>
      <c r="L25" s="240" t="s">
        <v>136</v>
      </c>
      <c r="M25" s="241" t="str">
        <f>IFERROR(($K$6*8+$L$6*8+$M$6*80)*10^-3*$K$7,"")</f>
        <v/>
      </c>
      <c r="N25" s="242">
        <f t="shared" si="4"/>
        <v>1</v>
      </c>
      <c r="O25" s="242" t="str">
        <f t="shared" si="2"/>
        <v>IN</v>
      </c>
      <c r="P25" s="243"/>
      <c r="Q25" s="242"/>
      <c r="R25" s="243"/>
      <c r="X25" s="233"/>
      <c r="Y25" s="233"/>
      <c r="Z25" s="233"/>
    </row>
    <row r="26" spans="1:26" s="244" customFormat="1" ht="39.950000000000003" hidden="1" customHeight="1">
      <c r="A26" s="234" t="str">
        <f t="shared" si="0"/>
        <v/>
      </c>
      <c r="B26" s="234" t="str">
        <f t="shared" si="1"/>
        <v/>
      </c>
      <c r="C26" s="235"/>
      <c r="D26" s="245"/>
      <c r="E26" s="246"/>
      <c r="F26" s="237"/>
      <c r="G26" s="237"/>
      <c r="H26" s="237"/>
      <c r="I26" s="239"/>
      <c r="J26" s="238"/>
      <c r="K26" s="239"/>
      <c r="L26" s="240"/>
      <c r="M26" s="241">
        <f t="shared" ref="M26:M33" si="5">IF(OR(L26="Con",L26="Cụm",L26="Hệ"),H26,IF(L26="Thanh",(G26*H26/2400),IF(L26="Tấm",(F26*G26*H26)/(1220*2440),IF(L26="Md",G26*H26/1000,IF(L26="M2",F26*G26*H26/10^6,IF(L26="M3",E26*F26*G26*H26/10^9,0))))))</f>
        <v>0</v>
      </c>
      <c r="N26" s="242" t="str">
        <f t="shared" si="4"/>
        <v/>
      </c>
      <c r="O26" s="242" t="str">
        <f t="shared" si="2"/>
        <v/>
      </c>
      <c r="P26" s="243"/>
      <c r="Q26" s="242"/>
      <c r="R26" s="243"/>
      <c r="X26" s="233"/>
      <c r="Y26" s="233"/>
      <c r="Z26" s="233"/>
    </row>
    <row r="27" spans="1:26" s="244" customFormat="1" ht="39.950000000000003" hidden="1" customHeight="1" thickBot="1">
      <c r="A27" s="234" t="str">
        <f t="shared" si="0"/>
        <v/>
      </c>
      <c r="B27" s="234" t="str">
        <f t="shared" si="1"/>
        <v/>
      </c>
      <c r="C27" s="235"/>
      <c r="D27" s="245"/>
      <c r="E27" s="246"/>
      <c r="F27" s="237"/>
      <c r="G27" s="237"/>
      <c r="H27" s="237"/>
      <c r="I27" s="239"/>
      <c r="J27" s="238"/>
      <c r="K27" s="239"/>
      <c r="L27" s="240"/>
      <c r="M27" s="241">
        <f t="shared" si="5"/>
        <v>0</v>
      </c>
      <c r="N27" s="242" t="str">
        <f t="shared" si="4"/>
        <v/>
      </c>
      <c r="O27" s="242" t="str">
        <f t="shared" si="2"/>
        <v/>
      </c>
      <c r="P27" s="243"/>
      <c r="Q27" s="242"/>
      <c r="R27" s="243"/>
      <c r="X27" s="233"/>
      <c r="Y27" s="233"/>
      <c r="Z27" s="233"/>
    </row>
    <row r="28" spans="1:26" s="244" customFormat="1" ht="39.950000000000003" hidden="1" customHeight="1" thickBot="1">
      <c r="A28" s="234" t="str">
        <f t="shared" si="0"/>
        <v/>
      </c>
      <c r="B28" s="234" t="str">
        <f t="shared" si="1"/>
        <v/>
      </c>
      <c r="C28" s="247"/>
      <c r="D28" s="245"/>
      <c r="E28" s="246"/>
      <c r="F28" s="237"/>
      <c r="G28" s="237"/>
      <c r="H28" s="237"/>
      <c r="I28" s="239"/>
      <c r="J28" s="238"/>
      <c r="K28" s="239"/>
      <c r="L28" s="240"/>
      <c r="M28" s="241">
        <f t="shared" si="5"/>
        <v>0</v>
      </c>
      <c r="N28" s="242" t="str">
        <f t="shared" si="4"/>
        <v/>
      </c>
      <c r="O28" s="242" t="str">
        <f t="shared" si="2"/>
        <v/>
      </c>
      <c r="P28" s="243"/>
      <c r="Q28" s="242"/>
      <c r="R28" s="243"/>
      <c r="X28" s="233"/>
      <c r="Y28" s="233"/>
      <c r="Z28" s="233"/>
    </row>
    <row r="29" spans="1:26" s="233" customFormat="1" ht="39.950000000000003" hidden="1" customHeight="1" thickBot="1">
      <c r="A29" s="224" t="str">
        <f t="shared" si="0"/>
        <v/>
      </c>
      <c r="B29" s="224" t="str">
        <f t="shared" si="1"/>
        <v/>
      </c>
      <c r="C29" s="237"/>
      <c r="D29" s="236"/>
      <c r="E29" s="237"/>
      <c r="F29" s="237"/>
      <c r="G29" s="237"/>
      <c r="H29" s="237"/>
      <c r="I29" s="236"/>
      <c r="J29" s="236"/>
      <c r="K29" s="239"/>
      <c r="L29" s="240"/>
      <c r="M29" s="241">
        <f t="shared" si="5"/>
        <v>0</v>
      </c>
      <c r="N29" s="232" t="str">
        <f t="shared" si="4"/>
        <v/>
      </c>
      <c r="O29" s="232" t="str">
        <f t="shared" si="2"/>
        <v/>
      </c>
      <c r="P29" s="110"/>
      <c r="Q29" s="232"/>
      <c r="R29" s="110"/>
    </row>
    <row r="30" spans="1:26" s="233" customFormat="1" ht="39.950000000000003" hidden="1" customHeight="1" thickBot="1">
      <c r="A30" s="224" t="str">
        <f t="shared" si="0"/>
        <v/>
      </c>
      <c r="B30" s="224" t="str">
        <f t="shared" si="1"/>
        <v/>
      </c>
      <c r="C30" s="248"/>
      <c r="D30" s="249"/>
      <c r="E30" s="248"/>
      <c r="F30" s="248"/>
      <c r="G30" s="248"/>
      <c r="H30" s="248"/>
      <c r="I30" s="249"/>
      <c r="J30" s="236"/>
      <c r="K30" s="239"/>
      <c r="L30" s="240"/>
      <c r="M30" s="241">
        <f t="shared" si="5"/>
        <v>0</v>
      </c>
      <c r="N30" s="232" t="str">
        <f t="shared" si="4"/>
        <v/>
      </c>
      <c r="O30" s="232" t="str">
        <f t="shared" si="2"/>
        <v/>
      </c>
      <c r="P30" s="110"/>
      <c r="Q30" s="232"/>
      <c r="R30" s="110"/>
    </row>
    <row r="31" spans="1:26" s="233" customFormat="1" ht="39.950000000000003" hidden="1" customHeight="1" thickBot="1">
      <c r="A31" s="224" t="str">
        <f t="shared" si="0"/>
        <v/>
      </c>
      <c r="B31" s="224" t="str">
        <f t="shared" si="1"/>
        <v/>
      </c>
      <c r="C31" s="237"/>
      <c r="D31" s="236"/>
      <c r="E31" s="237"/>
      <c r="F31" s="237"/>
      <c r="G31" s="237"/>
      <c r="H31" s="237"/>
      <c r="I31" s="236"/>
      <c r="J31" s="236"/>
      <c r="K31" s="239"/>
      <c r="L31" s="240"/>
      <c r="M31" s="241">
        <f t="shared" si="5"/>
        <v>0</v>
      </c>
      <c r="N31" s="232" t="str">
        <f t="shared" si="4"/>
        <v/>
      </c>
      <c r="O31" s="232" t="str">
        <f t="shared" si="2"/>
        <v/>
      </c>
      <c r="P31" s="110"/>
      <c r="Q31" s="232"/>
      <c r="R31" s="110"/>
    </row>
    <row r="32" spans="1:26" s="233" customFormat="1" ht="39.950000000000003" hidden="1" customHeight="1" thickBot="1">
      <c r="A32" s="224" t="str">
        <f t="shared" si="0"/>
        <v/>
      </c>
      <c r="B32" s="224" t="str">
        <f t="shared" si="1"/>
        <v/>
      </c>
      <c r="C32" s="248"/>
      <c r="D32" s="249"/>
      <c r="E32" s="248"/>
      <c r="F32" s="248"/>
      <c r="G32" s="248"/>
      <c r="H32" s="248"/>
      <c r="I32" s="249"/>
      <c r="J32" s="236"/>
      <c r="K32" s="239"/>
      <c r="L32" s="240"/>
      <c r="M32" s="241">
        <f t="shared" si="5"/>
        <v>0</v>
      </c>
      <c r="N32" s="232" t="str">
        <f t="shared" si="4"/>
        <v/>
      </c>
      <c r="O32" s="232" t="str">
        <f t="shared" si="2"/>
        <v/>
      </c>
      <c r="P32" s="110"/>
      <c r="Q32" s="232"/>
      <c r="R32" s="110"/>
    </row>
    <row r="33" spans="1:18" s="233" customFormat="1" ht="39.950000000000003" hidden="1" customHeight="1" thickBot="1">
      <c r="A33" s="224" t="str">
        <f t="shared" si="0"/>
        <v/>
      </c>
      <c r="B33" s="224" t="str">
        <f t="shared" si="1"/>
        <v/>
      </c>
      <c r="C33" s="248"/>
      <c r="D33" s="249"/>
      <c r="E33" s="248"/>
      <c r="F33" s="248"/>
      <c r="G33" s="248"/>
      <c r="H33" s="248"/>
      <c r="I33" s="249"/>
      <c r="J33" s="236"/>
      <c r="K33" s="239" t="s">
        <v>185</v>
      </c>
      <c r="L33" s="240"/>
      <c r="M33" s="241">
        <f t="shared" si="5"/>
        <v>0</v>
      </c>
      <c r="N33" s="232" t="str">
        <f t="shared" si="4"/>
        <v/>
      </c>
      <c r="O33" s="232" t="str">
        <f t="shared" si="2"/>
        <v/>
      </c>
      <c r="P33" s="110"/>
      <c r="Q33" s="232"/>
      <c r="R33" s="110"/>
    </row>
    <row r="34" spans="1:18" s="233" customFormat="1" ht="35.1" customHeight="1" thickBot="1">
      <c r="A34" s="224" t="str">
        <f t="shared" si="0"/>
        <v>L01</v>
      </c>
      <c r="B34" s="224" t="str">
        <f t="shared" si="1"/>
        <v>Muc 1.1</v>
      </c>
      <c r="C34" s="250"/>
      <c r="D34" s="251" t="s">
        <v>38</v>
      </c>
      <c r="E34" s="252"/>
      <c r="F34" s="252"/>
      <c r="G34" s="252"/>
      <c r="H34" s="252"/>
      <c r="I34" s="252"/>
      <c r="J34" s="253"/>
      <c r="K34" s="254"/>
      <c r="L34" s="255"/>
      <c r="M34" s="255"/>
      <c r="N34" s="232">
        <f t="shared" si="4"/>
        <v>1</v>
      </c>
      <c r="O34" s="232" t="str">
        <f t="shared" si="2"/>
        <v>IN</v>
      </c>
      <c r="P34" s="110"/>
      <c r="Q34" s="232"/>
      <c r="R34" s="110"/>
    </row>
    <row r="35" spans="1:18" ht="27" customHeight="1">
      <c r="D35" s="82" t="s">
        <v>45</v>
      </c>
      <c r="E35" s="34"/>
      <c r="F35" s="34"/>
      <c r="G35" s="34"/>
      <c r="H35" s="34"/>
      <c r="I35" s="34"/>
      <c r="J35" s="8"/>
      <c r="K35" s="34"/>
      <c r="L35" s="34"/>
      <c r="M35" s="34"/>
      <c r="N35" s="8"/>
      <c r="O35" s="69" t="s">
        <v>75</v>
      </c>
      <c r="P35" s="32"/>
      <c r="Q35" s="32"/>
      <c r="R35" s="32"/>
    </row>
    <row r="36" spans="1:18" ht="25.35" customHeight="1">
      <c r="C36" s="3"/>
      <c r="D36" s="35"/>
      <c r="E36" s="9"/>
      <c r="F36" s="36"/>
      <c r="G36" s="37"/>
      <c r="H36" s="36"/>
      <c r="I36" s="36"/>
      <c r="J36" s="11"/>
      <c r="K36" s="71" t="str">
        <f ca="1">"Ngày "&amp;DAY(NOW())&amp;" tháng "&amp;MONTH(NOW())&amp;" năm "&amp;YEAR(NOW())</f>
        <v>Ngày 17 tháng 6 năm 2026</v>
      </c>
      <c r="L36" s="8"/>
      <c r="M36" s="8"/>
      <c r="N36" s="11"/>
      <c r="O36" s="69" t="s">
        <v>75</v>
      </c>
      <c r="P36" s="32"/>
      <c r="Q36" s="32"/>
      <c r="R36" s="32"/>
    </row>
    <row r="37" spans="1:18" ht="25.35" customHeight="1">
      <c r="C37" s="3"/>
      <c r="D37" s="3"/>
      <c r="E37" s="9"/>
      <c r="F37" s="36"/>
      <c r="G37" s="71" t="s">
        <v>49</v>
      </c>
      <c r="H37" s="36"/>
      <c r="I37" s="36"/>
      <c r="J37" s="11"/>
      <c r="K37" s="71" t="s">
        <v>57</v>
      </c>
      <c r="L37" s="8"/>
      <c r="M37" s="8"/>
      <c r="N37" s="11"/>
      <c r="O37" s="69" t="s">
        <v>75</v>
      </c>
      <c r="P37" s="32"/>
      <c r="Q37" s="32"/>
      <c r="R37" s="32"/>
    </row>
    <row r="38" spans="1:18" ht="25.35" customHeight="1">
      <c r="C38" s="3"/>
      <c r="D38" s="3"/>
      <c r="E38" s="9"/>
      <c r="F38" s="36"/>
      <c r="G38" s="42"/>
      <c r="H38" s="36"/>
      <c r="I38" s="36"/>
      <c r="J38" s="11"/>
      <c r="K38" s="37"/>
      <c r="L38" s="8"/>
      <c r="M38" s="8"/>
      <c r="N38" s="11"/>
      <c r="O38" s="69" t="s">
        <v>75</v>
      </c>
      <c r="P38" s="32"/>
      <c r="Q38" s="32"/>
      <c r="R38" s="32"/>
    </row>
    <row r="39" spans="1:18" ht="25.35" customHeight="1">
      <c r="C39" s="3"/>
      <c r="D39" s="3"/>
      <c r="E39" s="9"/>
      <c r="F39" s="36"/>
      <c r="G39" s="42"/>
      <c r="H39" s="36"/>
      <c r="I39" s="36"/>
      <c r="J39" s="11"/>
      <c r="K39" s="37"/>
      <c r="L39" s="8"/>
      <c r="M39" s="8"/>
      <c r="N39" s="11"/>
      <c r="O39" s="69" t="s">
        <v>75</v>
      </c>
      <c r="P39" s="32"/>
      <c r="Q39" s="32"/>
      <c r="R39" s="32"/>
    </row>
    <row r="40" spans="1:18" ht="25.35" customHeight="1">
      <c r="C40" s="3"/>
      <c r="D40" s="3"/>
      <c r="E40" s="9"/>
      <c r="F40" s="36"/>
      <c r="G40" s="38"/>
      <c r="H40" s="36"/>
      <c r="I40" s="38"/>
      <c r="J40" s="11"/>
      <c r="K40" s="37"/>
      <c r="L40" s="8"/>
      <c r="M40" s="8"/>
      <c r="N40" s="11"/>
      <c r="O40" s="69" t="s">
        <v>75</v>
      </c>
      <c r="P40" s="32"/>
      <c r="Q40" s="32"/>
      <c r="R40" s="32"/>
    </row>
    <row r="41" spans="1:18" ht="25.35" customHeight="1">
      <c r="C41" s="3"/>
      <c r="D41" s="3"/>
      <c r="E41" s="9"/>
      <c r="F41" s="36"/>
      <c r="G41" s="37" t="s">
        <v>46</v>
      </c>
      <c r="H41" s="36"/>
      <c r="I41" s="40"/>
      <c r="J41" s="11"/>
      <c r="K41" s="37" t="str">
        <f>'BOM_Phan II'!P241</f>
        <v>Nguyễn Tân Hồng</v>
      </c>
      <c r="L41" s="8"/>
      <c r="M41" s="8"/>
      <c r="N41" s="11"/>
      <c r="O41" s="69" t="s">
        <v>75</v>
      </c>
      <c r="P41" s="32"/>
      <c r="Q41" s="32"/>
      <c r="R41" s="32"/>
    </row>
    <row r="42" spans="1:18" ht="25.35" customHeight="1">
      <c r="C42" s="3"/>
      <c r="D42" s="3"/>
      <c r="E42" s="9"/>
      <c r="F42" s="36"/>
      <c r="G42" s="37"/>
      <c r="H42" s="36"/>
      <c r="I42" s="36"/>
      <c r="J42" s="11"/>
      <c r="K42" s="36"/>
      <c r="L42" s="8"/>
      <c r="M42" s="8"/>
      <c r="N42" s="11"/>
    </row>
    <row r="43" spans="1:18" ht="25.35" customHeight="1">
      <c r="C43" s="43"/>
      <c r="D43" s="43"/>
      <c r="E43" s="9"/>
      <c r="F43" s="36"/>
      <c r="G43" s="37"/>
      <c r="H43" s="36"/>
      <c r="I43" s="36"/>
      <c r="J43" s="11"/>
      <c r="K43" s="36"/>
      <c r="L43" s="8"/>
      <c r="M43" s="8"/>
      <c r="N43" s="11"/>
    </row>
    <row r="44" spans="1:18" ht="25.35" customHeight="1">
      <c r="C44" s="3"/>
      <c r="D44" s="3"/>
      <c r="E44" s="9"/>
      <c r="F44" s="36"/>
      <c r="G44" s="37"/>
      <c r="H44" s="36"/>
      <c r="I44" s="36"/>
      <c r="J44" s="11"/>
      <c r="K44" s="36"/>
      <c r="L44" s="8"/>
      <c r="M44" s="8"/>
      <c r="N44" s="11"/>
    </row>
    <row r="45" spans="1:18" ht="25.35" customHeight="1">
      <c r="C45" s="3"/>
      <c r="D45" s="3"/>
      <c r="E45" s="9"/>
      <c r="F45" s="44"/>
      <c r="G45" s="99"/>
      <c r="H45" s="44"/>
      <c r="I45" s="8"/>
      <c r="J45" s="45"/>
      <c r="K45" s="44"/>
      <c r="L45" s="8"/>
      <c r="M45" s="8"/>
      <c r="N45" s="45"/>
    </row>
  </sheetData>
  <sheetProtection formatCells="0" formatColumns="0" formatRows="0" insertColumns="0" insertRows="0" insertHyperlinks="0" deleteColumns="0" deleteRows="0" sort="0" autoFilter="0" pivotTables="0"/>
  <autoFilter ref="C12:O41" xr:uid="{842A61C4-7B4F-41B1-8FE6-0A0C645AF4DB}">
    <filterColumn colId="12">
      <customFilters>
        <customFilter operator="notEqual" val=" "/>
      </customFilters>
    </filterColumn>
  </autoFilter>
  <mergeCells count="26">
    <mergeCell ref="C8:D8"/>
    <mergeCell ref="C1:E3"/>
    <mergeCell ref="F1:J3"/>
    <mergeCell ref="L1:M1"/>
    <mergeCell ref="P1:R2"/>
    <mergeCell ref="L2:M2"/>
    <mergeCell ref="L3:M3"/>
    <mergeCell ref="C4:D4"/>
    <mergeCell ref="C5:D6"/>
    <mergeCell ref="E5:I6"/>
    <mergeCell ref="J5:J6"/>
    <mergeCell ref="C7:D7"/>
    <mergeCell ref="A11:A12"/>
    <mergeCell ref="B11:B12"/>
    <mergeCell ref="C11:C12"/>
    <mergeCell ref="D11:D12"/>
    <mergeCell ref="E11:G11"/>
    <mergeCell ref="K11:K12"/>
    <mergeCell ref="L11:L12"/>
    <mergeCell ref="M11:M12"/>
    <mergeCell ref="N11:N12"/>
    <mergeCell ref="C9:D9"/>
    <mergeCell ref="C10:M10"/>
    <mergeCell ref="H11:H12"/>
    <mergeCell ref="I11:I12"/>
    <mergeCell ref="J11:J12"/>
  </mergeCells>
  <conditionalFormatting sqref="K14:L33">
    <cfRule type="expression" dxfId="11" priority="4">
      <formula>K14="LỖI DỮ LIỆU"</formula>
    </cfRule>
  </conditionalFormatting>
  <conditionalFormatting sqref="K14:M33">
    <cfRule type="cellIs" dxfId="10" priority="2" operator="equal">
      <formula>0</formula>
    </cfRule>
  </conditionalFormatting>
  <conditionalFormatting sqref="M14:M33">
    <cfRule type="cellIs" dxfId="9" priority="1" operator="equal">
      <formula>0</formula>
    </cfRule>
    <cfRule type="cellIs" dxfId="8" priority="3" operator="equal">
      <formula>0</formula>
    </cfRule>
  </conditionalFormatting>
  <dataValidations disablePrompts="1" count="3">
    <dataValidation type="list" allowBlank="1" showInputMessage="1" showErrorMessage="1" sqref="L32:L33 L30" xr:uid="{FBAFD38B-3061-41A4-AC05-E6F0D058F24F}">
      <formula1>$Z$4:$Z$7</formula1>
    </dataValidation>
    <dataValidation type="list" allowBlank="1" showInputMessage="1" showErrorMessage="1" sqref="L34" xr:uid="{D717F6ED-291F-444E-826C-F24EAF2428EE}">
      <formula1>$W$2:$W$10</formula1>
    </dataValidation>
    <dataValidation type="list" allowBlank="1" showInputMessage="1" showErrorMessage="1" sqref="G41" xr:uid="{85725277-1F52-4C6D-A01B-66948EDC68B4}">
      <formula1>$Y$2:$Y$3</formula1>
    </dataValidation>
  </dataValidations>
  <printOptions horizontalCentered="1"/>
  <pageMargins left="0" right="0" top="0.25" bottom="0.25" header="0" footer="0"/>
  <pageSetup paperSize="9" scale="52" orientation="landscape" r:id="rId1"/>
  <headerFooter scaleWithDoc="0" alignWithMargins="0">
    <oddFooter>Page &amp;P of &amp;N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2F79E-6925-49C3-B891-1543C2023A3F}">
  <sheetPr codeName="Sheet11" filterMode="1">
    <tabColor rgb="FFFFFF00"/>
  </sheetPr>
  <dimension ref="A1:AC45"/>
  <sheetViews>
    <sheetView view="pageBreakPreview" zoomScale="160" zoomScaleNormal="55" zoomScaleSheetLayoutView="160" workbookViewId="0">
      <pane ySplit="12" topLeftCell="A13" activePane="bottomLeft" state="frozen"/>
      <selection activeCell="Q4" sqref="Q4"/>
      <selection pane="bottomLeft" activeCell="Q4" sqref="Q4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81" customWidth="1"/>
    <col min="4" max="4" width="31.42578125" style="14" customWidth="1"/>
    <col min="5" max="5" width="7.42578125" style="14" customWidth="1"/>
    <col min="6" max="7" width="7.42578125" style="3" customWidth="1"/>
    <col min="8" max="8" width="7.42578125" style="14" customWidth="1"/>
    <col min="9" max="9" width="39.140625" style="16" customWidth="1"/>
    <col min="10" max="10" width="43.85546875" style="16" customWidth="1"/>
    <col min="11" max="11" width="25.140625" style="14" customWidth="1"/>
    <col min="12" max="13" width="10.42578125" style="15" customWidth="1"/>
    <col min="14" max="14" width="4.85546875" style="16" customWidth="1"/>
    <col min="15" max="18" width="8.85546875" style="3" customWidth="1"/>
    <col min="19" max="22" width="4.85546875" style="3"/>
    <col min="23" max="23" width="11.85546875" style="3" customWidth="1"/>
    <col min="24" max="24" width="20.7109375" style="3" hidden="1" customWidth="1"/>
    <col min="25" max="25" width="13.7109375" style="3" hidden="1" customWidth="1"/>
    <col min="26" max="26" width="22.140625" style="3" hidden="1" customWidth="1"/>
    <col min="27" max="28" width="0" style="3" hidden="1" customWidth="1"/>
    <col min="29" max="29" width="13.7109375" style="3" hidden="1" customWidth="1"/>
    <col min="30" max="16384" width="4.85546875" style="3"/>
  </cols>
  <sheetData>
    <row r="1" spans="1:29" ht="27.75" customHeight="1">
      <c r="C1" s="320"/>
      <c r="D1" s="321"/>
      <c r="E1" s="322"/>
      <c r="F1" s="329" t="s">
        <v>181</v>
      </c>
      <c r="G1" s="330"/>
      <c r="H1" s="330"/>
      <c r="I1" s="330"/>
      <c r="J1" s="331"/>
      <c r="K1" s="144" t="s">
        <v>29</v>
      </c>
      <c r="L1" s="338" t="s">
        <v>44</v>
      </c>
      <c r="M1" s="339"/>
      <c r="N1" s="110"/>
      <c r="P1" s="340" t="s">
        <v>67</v>
      </c>
      <c r="Q1" s="341"/>
      <c r="R1" s="342"/>
    </row>
    <row r="2" spans="1:29" ht="27.75" customHeight="1" thickBot="1">
      <c r="C2" s="323"/>
      <c r="D2" s="324"/>
      <c r="E2" s="325"/>
      <c r="F2" s="332"/>
      <c r="G2" s="333"/>
      <c r="H2" s="333"/>
      <c r="I2" s="333"/>
      <c r="J2" s="334"/>
      <c r="K2" s="27" t="s">
        <v>30</v>
      </c>
      <c r="L2" s="346"/>
      <c r="M2" s="347"/>
      <c r="N2" s="215"/>
      <c r="P2" s="343"/>
      <c r="Q2" s="344"/>
      <c r="R2" s="345"/>
      <c r="W2" s="216"/>
      <c r="X2" s="30" t="s">
        <v>124</v>
      </c>
      <c r="Y2" s="30" t="s">
        <v>66</v>
      </c>
      <c r="Z2" s="30"/>
      <c r="AA2" s="30"/>
      <c r="AB2" s="30"/>
    </row>
    <row r="3" spans="1:29" ht="27.75" customHeight="1" thickBot="1">
      <c r="C3" s="326"/>
      <c r="D3" s="327"/>
      <c r="E3" s="328"/>
      <c r="F3" s="335"/>
      <c r="G3" s="336"/>
      <c r="H3" s="336"/>
      <c r="I3" s="336"/>
      <c r="J3" s="337"/>
      <c r="K3" s="27" t="s">
        <v>31</v>
      </c>
      <c r="L3" s="346"/>
      <c r="M3" s="347"/>
      <c r="N3" s="217"/>
      <c r="P3" s="48"/>
      <c r="Q3" s="100">
        <f>'BOM_Phan II'!Y3</f>
        <v>1</v>
      </c>
      <c r="R3" s="48"/>
      <c r="W3" s="216"/>
      <c r="X3" s="30" t="s">
        <v>125</v>
      </c>
      <c r="Y3" s="30"/>
      <c r="Z3" s="30"/>
      <c r="AA3" s="30"/>
      <c r="AB3" s="30"/>
      <c r="AC3" s="3" t="s">
        <v>124</v>
      </c>
    </row>
    <row r="4" spans="1:29" ht="25.35" customHeight="1">
      <c r="C4" s="348" t="s">
        <v>25</v>
      </c>
      <c r="D4" s="349"/>
      <c r="E4" s="102" t="str">
        <f>'BOM_Phan II'!E4</f>
        <v>LAGOME_BURNLEY MALTINGS</v>
      </c>
      <c r="F4" s="92"/>
      <c r="G4" s="92"/>
      <c r="H4" s="92"/>
      <c r="I4" s="92"/>
      <c r="J4" s="128" t="s">
        <v>24</v>
      </c>
      <c r="K4" s="218" t="str">
        <f>'BOM_Phan II'!P4</f>
        <v>2573_LAGOME_CT07</v>
      </c>
      <c r="L4" s="219"/>
      <c r="M4" s="219"/>
      <c r="N4" s="220"/>
      <c r="W4" s="216"/>
      <c r="X4" s="30" t="s">
        <v>86</v>
      </c>
      <c r="Y4" s="30"/>
      <c r="Z4" s="30" t="s">
        <v>76</v>
      </c>
      <c r="AA4" s="30"/>
      <c r="AB4" s="30"/>
      <c r="AC4" s="3" t="s">
        <v>125</v>
      </c>
    </row>
    <row r="5" spans="1:29" ht="25.35" customHeight="1">
      <c r="C5" s="350" t="s">
        <v>28</v>
      </c>
      <c r="D5" s="351"/>
      <c r="E5" s="354" t="str">
        <f>'BOM_Phan II'!E5</f>
        <v>Laundry_ (TH 11)</v>
      </c>
      <c r="F5" s="355"/>
      <c r="G5" s="355"/>
      <c r="H5" s="355"/>
      <c r="I5" s="356"/>
      <c r="J5" s="360" t="s">
        <v>27</v>
      </c>
      <c r="K5" s="221" t="s">
        <v>126</v>
      </c>
      <c r="L5" s="221" t="s">
        <v>127</v>
      </c>
      <c r="M5" s="221" t="s">
        <v>128</v>
      </c>
      <c r="N5" s="220"/>
      <c r="W5" s="216"/>
      <c r="X5" s="30" t="s">
        <v>64</v>
      </c>
      <c r="Y5" s="30"/>
      <c r="Z5" s="30" t="s">
        <v>77</v>
      </c>
      <c r="AA5" s="30"/>
      <c r="AB5" s="30"/>
      <c r="AC5" s="3" t="s">
        <v>86</v>
      </c>
    </row>
    <row r="6" spans="1:29" ht="25.35" customHeight="1">
      <c r="C6" s="352"/>
      <c r="D6" s="353"/>
      <c r="E6" s="357"/>
      <c r="F6" s="358"/>
      <c r="G6" s="358"/>
      <c r="H6" s="358"/>
      <c r="I6" s="359"/>
      <c r="J6" s="361"/>
      <c r="K6" s="221" t="str">
        <f>IFERROR(IF('BOM_Phan IV'!T13=51,AVERAGE('BOM_Phan IV'!M13:M1400),""),"")</f>
        <v/>
      </c>
      <c r="L6" s="221" t="str">
        <f>IFERROR(IF('BOM_Phan IV'!T13=51,AVERAGE('BOM_Phan IV'!L13:L1400),""),"")</f>
        <v/>
      </c>
      <c r="M6" s="221" t="str">
        <f>IFERROR(IF('BOM_Phan IV'!T13=51,AVERAGE('BOM_Phan IV'!K13:K1400),""),"")</f>
        <v/>
      </c>
      <c r="N6" s="220"/>
      <c r="W6" s="216"/>
      <c r="X6" s="30" t="s">
        <v>64</v>
      </c>
      <c r="Y6" s="30"/>
      <c r="Z6" s="30" t="s">
        <v>77</v>
      </c>
      <c r="AA6" s="30"/>
      <c r="AB6" s="30"/>
      <c r="AC6" s="3" t="s">
        <v>86</v>
      </c>
    </row>
    <row r="7" spans="1:29" ht="25.35" customHeight="1">
      <c r="C7" s="318" t="s">
        <v>23</v>
      </c>
      <c r="D7" s="319"/>
      <c r="E7" s="95" t="str">
        <f>'BOM_Phan II'!E6</f>
        <v>L01</v>
      </c>
      <c r="F7" s="94"/>
      <c r="G7" s="94"/>
      <c r="H7" s="94"/>
      <c r="I7" s="94"/>
      <c r="J7" s="127" t="s">
        <v>26</v>
      </c>
      <c r="K7" s="222" t="str">
        <f>IF(K6&lt;&gt;"",SUM('BOM_Phan IV'!N13:N1400),"")</f>
        <v/>
      </c>
      <c r="L7" s="223"/>
      <c r="M7" s="223"/>
      <c r="N7" s="220"/>
      <c r="W7" s="216"/>
      <c r="X7" s="30" t="s">
        <v>65</v>
      </c>
      <c r="Y7" s="30"/>
      <c r="Z7" s="30"/>
      <c r="AA7" s="30"/>
      <c r="AB7" s="30"/>
      <c r="AC7" s="3" t="s">
        <v>64</v>
      </c>
    </row>
    <row r="8" spans="1:29" ht="25.35" customHeight="1">
      <c r="C8" s="318" t="s">
        <v>21</v>
      </c>
      <c r="D8" s="319"/>
      <c r="E8" s="95">
        <f>'BOM_Phan II'!E7</f>
        <v>1.1000000000000001</v>
      </c>
      <c r="F8" s="94"/>
      <c r="G8" s="94"/>
      <c r="H8" s="94"/>
      <c r="I8" s="94"/>
      <c r="J8" s="127" t="s">
        <v>34</v>
      </c>
      <c r="K8" s="95" t="str">
        <f>'BOM_Phan II'!P7</f>
        <v>Theo module và giao rời</v>
      </c>
      <c r="L8" s="124"/>
      <c r="M8" s="124"/>
      <c r="N8" s="220"/>
      <c r="P8" s="46"/>
      <c r="W8" s="216"/>
      <c r="X8" s="30" t="s">
        <v>66</v>
      </c>
      <c r="Y8" s="30"/>
      <c r="Z8" s="30"/>
      <c r="AA8" s="30"/>
      <c r="AB8" s="30"/>
      <c r="AC8" s="3" t="s">
        <v>65</v>
      </c>
    </row>
    <row r="9" spans="1:29" ht="25.35" customHeight="1">
      <c r="C9" s="304" t="s">
        <v>9</v>
      </c>
      <c r="D9" s="305"/>
      <c r="E9" s="104" t="str">
        <f>'BOM_Phan II'!E8</f>
        <v xml:space="preserve">PB E1 chống ẩm 2M Melamine MEL1: MS 024T
</v>
      </c>
      <c r="F9" s="98"/>
      <c r="G9" s="98"/>
      <c r="H9" s="98"/>
      <c r="I9" s="98"/>
      <c r="J9" s="129" t="s">
        <v>22</v>
      </c>
      <c r="K9" s="104" t="str">
        <f>'BOM_Phan II'!P8</f>
        <v>MEL01,Đồng màu MEL1</v>
      </c>
      <c r="L9" s="126"/>
      <c r="M9" s="126"/>
      <c r="N9" s="220"/>
      <c r="W9" s="216"/>
      <c r="X9" s="30" t="s">
        <v>129</v>
      </c>
      <c r="Y9" s="30"/>
      <c r="Z9" s="30"/>
      <c r="AA9" s="30"/>
      <c r="AB9" s="30"/>
      <c r="AC9" s="3" t="s">
        <v>66</v>
      </c>
    </row>
    <row r="10" spans="1:29" ht="23.25" customHeight="1" thickBot="1">
      <c r="C10" s="306"/>
      <c r="D10" s="307"/>
      <c r="E10" s="307"/>
      <c r="F10" s="307"/>
      <c r="G10" s="307"/>
      <c r="H10" s="307"/>
      <c r="I10" s="307"/>
      <c r="J10" s="307"/>
      <c r="K10" s="308"/>
      <c r="L10" s="308"/>
      <c r="M10" s="308"/>
      <c r="N10" s="14"/>
      <c r="W10" s="216"/>
      <c r="X10" s="30"/>
      <c r="Y10" s="30"/>
      <c r="Z10" s="30"/>
      <c r="AA10" s="30"/>
      <c r="AB10" s="30"/>
      <c r="AC10" s="3" t="s">
        <v>88</v>
      </c>
    </row>
    <row r="11" spans="1:29" ht="33" customHeight="1">
      <c r="A11" s="313" t="s">
        <v>73</v>
      </c>
      <c r="B11" s="314" t="s">
        <v>74</v>
      </c>
      <c r="C11" s="315" t="s">
        <v>10</v>
      </c>
      <c r="D11" s="309" t="s">
        <v>43</v>
      </c>
      <c r="E11" s="317" t="s">
        <v>1</v>
      </c>
      <c r="F11" s="309"/>
      <c r="G11" s="309"/>
      <c r="H11" s="309" t="s">
        <v>0</v>
      </c>
      <c r="I11" s="309" t="s">
        <v>62</v>
      </c>
      <c r="J11" s="311" t="s">
        <v>69</v>
      </c>
      <c r="K11" s="297" t="s">
        <v>61</v>
      </c>
      <c r="L11" s="299" t="s">
        <v>47</v>
      </c>
      <c r="M11" s="301" t="s">
        <v>48</v>
      </c>
      <c r="N11" s="303" t="s">
        <v>78</v>
      </c>
      <c r="X11" s="30"/>
    </row>
    <row r="12" spans="1:29" ht="41.1" customHeight="1">
      <c r="A12" s="313"/>
      <c r="B12" s="314"/>
      <c r="C12" s="316"/>
      <c r="D12" s="310"/>
      <c r="E12" s="101" t="s">
        <v>18</v>
      </c>
      <c r="F12" s="101" t="s">
        <v>19</v>
      </c>
      <c r="G12" s="101" t="s">
        <v>20</v>
      </c>
      <c r="H12" s="310"/>
      <c r="I12" s="310"/>
      <c r="J12" s="312"/>
      <c r="K12" s="298"/>
      <c r="L12" s="300"/>
      <c r="M12" s="302"/>
      <c r="N12" s="303"/>
      <c r="O12" s="47" t="s">
        <v>56</v>
      </c>
      <c r="P12" s="31"/>
      <c r="Q12" s="31"/>
      <c r="R12" s="31"/>
      <c r="X12" s="30"/>
    </row>
    <row r="13" spans="1:29" s="233" customFormat="1" ht="35.1" customHeight="1">
      <c r="A13" s="224" t="str">
        <f t="shared" ref="A13:A34" si="0">IF(O13="IN",$E$7,"")</f>
        <v>L01</v>
      </c>
      <c r="B13" s="224" t="str">
        <f t="shared" ref="B13:B34" si="1">IF(O13="IN","Muc "&amp;$E$8,"")</f>
        <v>Muc 1.1</v>
      </c>
      <c r="C13" s="225" t="s">
        <v>14</v>
      </c>
      <c r="D13" s="226" t="s">
        <v>71</v>
      </c>
      <c r="E13" s="227"/>
      <c r="F13" s="227"/>
      <c r="G13" s="227"/>
      <c r="H13" s="227"/>
      <c r="I13" s="228"/>
      <c r="J13" s="229"/>
      <c r="K13" s="228"/>
      <c r="L13" s="230"/>
      <c r="M13" s="231"/>
      <c r="N13" s="232">
        <f>IF(O13="IN",$Q$3,"")</f>
        <v>1</v>
      </c>
      <c r="O13" s="232" t="str">
        <f t="shared" ref="O13:O34" si="2">IF(OR(C13&lt;&gt;"",D13&lt;&gt;""),"IN","")</f>
        <v>IN</v>
      </c>
      <c r="P13" s="110"/>
      <c r="Q13" s="232"/>
      <c r="R13" s="110"/>
      <c r="X13" s="43"/>
      <c r="Y13" s="43"/>
      <c r="AA13" s="43"/>
      <c r="AB13" s="43"/>
    </row>
    <row r="14" spans="1:29" s="244" customFormat="1" ht="39.950000000000003" customHeight="1">
      <c r="A14" s="234" t="str">
        <f t="shared" si="0"/>
        <v>L01</v>
      </c>
      <c r="B14" s="234" t="str">
        <f t="shared" si="1"/>
        <v>Muc 1.1</v>
      </c>
      <c r="C14" s="235">
        <v>1</v>
      </c>
      <c r="D14" s="236" t="s">
        <v>130</v>
      </c>
      <c r="E14" s="237">
        <v>25</v>
      </c>
      <c r="F14" s="237">
        <v>35</v>
      </c>
      <c r="G14" s="237" t="str">
        <f>IFERROR(IF((($K$6*2)+($L$6*2))&lt;0,0,($K$6*2)+($L$6*2)),"")</f>
        <v/>
      </c>
      <c r="H14" s="237" t="str">
        <f>+IFERROR(2*K7,"")</f>
        <v/>
      </c>
      <c r="I14" s="236" t="s">
        <v>131</v>
      </c>
      <c r="J14" s="238"/>
      <c r="K14" s="239"/>
      <c r="L14" s="240" t="s">
        <v>132</v>
      </c>
      <c r="M14" s="241" t="str">
        <f t="shared" ref="M14:M22" si="3">IFERROR(IF(OR(L14="Con",L14="Cụm",L14="Hệ"),H14,IF(L14="Thanh",(G14*H14/2400),IF(L14="Tấm",(F14*G14*H14)/(1220*2440),IF(L14="M2",F14*G14*H14/10^6,IF(L14="M3",E14*F14*G14*H14/10^9,0))))),"")</f>
        <v/>
      </c>
      <c r="N14" s="242">
        <f t="shared" ref="N14:N34" si="4">IF(O14="IN",$Q$3,"")</f>
        <v>1</v>
      </c>
      <c r="O14" s="242" t="str">
        <f t="shared" si="2"/>
        <v>IN</v>
      </c>
      <c r="P14" s="243"/>
      <c r="Q14" s="242"/>
      <c r="R14" s="243"/>
    </row>
    <row r="15" spans="1:29" s="244" customFormat="1" ht="39.950000000000003" customHeight="1">
      <c r="A15" s="234" t="str">
        <f t="shared" si="0"/>
        <v>L01</v>
      </c>
      <c r="B15" s="234" t="str">
        <f t="shared" si="1"/>
        <v>Muc 1.1</v>
      </c>
      <c r="C15" s="235">
        <v>2</v>
      </c>
      <c r="D15" s="245" t="s">
        <v>133</v>
      </c>
      <c r="E15" s="246">
        <v>25</v>
      </c>
      <c r="F15" s="237">
        <v>35</v>
      </c>
      <c r="G15" s="237" t="str">
        <f>IFERROR(IF($M$6-$F$14-$F$14&lt;0,0,$M$6-$F$14-$F$14),"")</f>
        <v/>
      </c>
      <c r="H15" s="237" t="str">
        <f>+IFERROR(4*K7,"")</f>
        <v/>
      </c>
      <c r="I15" s="239" t="s">
        <v>131</v>
      </c>
      <c r="J15" s="238"/>
      <c r="K15" s="239"/>
      <c r="L15" s="240" t="s">
        <v>132</v>
      </c>
      <c r="M15" s="241" t="str">
        <f t="shared" si="3"/>
        <v/>
      </c>
      <c r="N15" s="242">
        <f t="shared" si="4"/>
        <v>1</v>
      </c>
      <c r="O15" s="242" t="str">
        <f t="shared" si="2"/>
        <v>IN</v>
      </c>
      <c r="P15" s="243"/>
      <c r="Q15" s="242"/>
      <c r="R15" s="243"/>
      <c r="X15" s="233"/>
      <c r="Y15" s="233"/>
      <c r="Z15" s="233"/>
    </row>
    <row r="16" spans="1:29" s="244" customFormat="1" ht="50.1" customHeight="1">
      <c r="A16" s="234" t="str">
        <f t="shared" si="0"/>
        <v>L01</v>
      </c>
      <c r="B16" s="234" t="str">
        <f t="shared" si="1"/>
        <v>Muc 1.1</v>
      </c>
      <c r="C16" s="235">
        <v>3</v>
      </c>
      <c r="D16" s="245" t="s">
        <v>174</v>
      </c>
      <c r="E16" s="246">
        <v>18</v>
      </c>
      <c r="F16" s="237">
        <v>100</v>
      </c>
      <c r="G16" s="237" t="str">
        <f>IFERROR(IF($M$6+$E$17+$E$20+$E$21+60&lt;0,0,$M$6+$E$17+$E$20+$E$21+60),"")</f>
        <v/>
      </c>
      <c r="H16" s="237" t="str">
        <f>+IFERROR(8*K7,"")</f>
        <v/>
      </c>
      <c r="I16" s="239" t="s">
        <v>175</v>
      </c>
      <c r="J16" s="238"/>
      <c r="K16" s="239"/>
      <c r="L16" s="240" t="s">
        <v>168</v>
      </c>
      <c r="M16" s="241" t="str">
        <f t="shared" si="3"/>
        <v/>
      </c>
      <c r="N16" s="242">
        <f t="shared" si="4"/>
        <v>1</v>
      </c>
      <c r="O16" s="242" t="str">
        <f t="shared" si="2"/>
        <v>IN</v>
      </c>
      <c r="P16" s="243"/>
      <c r="Q16" s="242"/>
      <c r="R16" s="243"/>
      <c r="X16" s="233"/>
      <c r="Y16" s="233"/>
      <c r="Z16" s="233"/>
    </row>
    <row r="17" spans="1:26" s="244" customFormat="1" ht="50.1" customHeight="1">
      <c r="A17" s="234" t="str">
        <f t="shared" si="0"/>
        <v>L01</v>
      </c>
      <c r="B17" s="234" t="str">
        <f t="shared" si="1"/>
        <v>Muc 1.1</v>
      </c>
      <c r="C17" s="235">
        <v>4</v>
      </c>
      <c r="D17" s="245" t="s">
        <v>182</v>
      </c>
      <c r="E17" s="246">
        <v>18</v>
      </c>
      <c r="F17" s="237">
        <v>100</v>
      </c>
      <c r="G17" s="237" t="str">
        <f>+$K$6</f>
        <v/>
      </c>
      <c r="H17" s="237" t="str">
        <f>+IFERROR(4*K7,"")</f>
        <v/>
      </c>
      <c r="I17" s="239" t="s">
        <v>175</v>
      </c>
      <c r="J17" s="238"/>
      <c r="K17" s="239"/>
      <c r="L17" s="240" t="s">
        <v>168</v>
      </c>
      <c r="M17" s="241" t="str">
        <f t="shared" si="3"/>
        <v/>
      </c>
      <c r="N17" s="242">
        <f t="shared" si="4"/>
        <v>1</v>
      </c>
      <c r="O17" s="242" t="str">
        <f t="shared" si="2"/>
        <v>IN</v>
      </c>
      <c r="P17" s="243"/>
      <c r="Q17" s="242"/>
      <c r="R17" s="243"/>
      <c r="X17" s="233"/>
      <c r="Y17" s="233"/>
      <c r="Z17" s="233"/>
    </row>
    <row r="18" spans="1:26" s="244" customFormat="1" ht="50.1" customHeight="1">
      <c r="A18" s="234" t="str">
        <f t="shared" si="0"/>
        <v>L01</v>
      </c>
      <c r="B18" s="234" t="str">
        <f t="shared" si="1"/>
        <v>Muc 1.1</v>
      </c>
      <c r="C18" s="235">
        <v>5</v>
      </c>
      <c r="D18" s="245" t="s">
        <v>183</v>
      </c>
      <c r="E18" s="246">
        <v>18</v>
      </c>
      <c r="F18" s="237">
        <v>100</v>
      </c>
      <c r="G18" s="237" t="str">
        <f>IFERROR(IF($L$6-$F$17-$F$17&lt;0,0,$L$6-$F$17-$F$17),"")</f>
        <v/>
      </c>
      <c r="H18" s="237" t="str">
        <f>+IFERROR(8*K7,"")</f>
        <v/>
      </c>
      <c r="I18" s="239" t="s">
        <v>175</v>
      </c>
      <c r="J18" s="238"/>
      <c r="K18" s="239"/>
      <c r="L18" s="240" t="s">
        <v>168</v>
      </c>
      <c r="M18" s="241" t="str">
        <f t="shared" si="3"/>
        <v/>
      </c>
      <c r="N18" s="242">
        <f t="shared" si="4"/>
        <v>1</v>
      </c>
      <c r="O18" s="242" t="str">
        <f t="shared" si="2"/>
        <v>IN</v>
      </c>
      <c r="P18" s="243"/>
      <c r="Q18" s="242"/>
      <c r="R18" s="243"/>
      <c r="X18" s="233"/>
      <c r="Y18" s="233"/>
      <c r="Z18" s="233"/>
    </row>
    <row r="19" spans="1:26" s="244" customFormat="1" ht="50.1" customHeight="1">
      <c r="A19" s="234" t="str">
        <f t="shared" si="0"/>
        <v>L01</v>
      </c>
      <c r="B19" s="234" t="str">
        <f t="shared" si="1"/>
        <v>Muc 1.1</v>
      </c>
      <c r="C19" s="235">
        <v>6</v>
      </c>
      <c r="D19" s="245" t="s">
        <v>184</v>
      </c>
      <c r="E19" s="246">
        <v>18</v>
      </c>
      <c r="F19" s="237">
        <v>100</v>
      </c>
      <c r="G19" s="237" t="str">
        <f>IFERROR(IF($K$6-$F$16-$F$16&lt;0,0,$K$6-$F$16-$F$16),"")</f>
        <v/>
      </c>
      <c r="H19" s="237" t="str">
        <f>+IFERROR(4*K7,"")</f>
        <v/>
      </c>
      <c r="I19" s="239" t="s">
        <v>175</v>
      </c>
      <c r="J19" s="238"/>
      <c r="K19" s="239"/>
      <c r="L19" s="240" t="s">
        <v>168</v>
      </c>
      <c r="M19" s="241" t="str">
        <f t="shared" si="3"/>
        <v/>
      </c>
      <c r="N19" s="242">
        <f t="shared" si="4"/>
        <v>1</v>
      </c>
      <c r="O19" s="242" t="str">
        <f t="shared" si="2"/>
        <v>IN</v>
      </c>
      <c r="P19" s="243"/>
      <c r="Q19" s="242"/>
      <c r="R19" s="243"/>
      <c r="X19" s="233"/>
      <c r="Y19" s="233"/>
      <c r="Z19" s="233"/>
    </row>
    <row r="20" spans="1:26" s="244" customFormat="1" ht="50.1" customHeight="1">
      <c r="A20" s="234" t="str">
        <f t="shared" si="0"/>
        <v>L01</v>
      </c>
      <c r="B20" s="234" t="str">
        <f t="shared" si="1"/>
        <v>Muc 1.1</v>
      </c>
      <c r="C20" s="235">
        <v>5</v>
      </c>
      <c r="D20" s="245" t="s">
        <v>177</v>
      </c>
      <c r="E20" s="246">
        <v>18</v>
      </c>
      <c r="F20" s="237">
        <v>100</v>
      </c>
      <c r="G20" s="237" t="str">
        <f>$K$6</f>
        <v/>
      </c>
      <c r="H20" s="237" t="str">
        <f>+IFERROR(2*K7,"")</f>
        <v/>
      </c>
      <c r="I20" s="239" t="s">
        <v>175</v>
      </c>
      <c r="J20" s="238"/>
      <c r="K20" s="239"/>
      <c r="L20" s="240" t="s">
        <v>168</v>
      </c>
      <c r="M20" s="241" t="str">
        <f t="shared" si="3"/>
        <v/>
      </c>
      <c r="N20" s="242">
        <f t="shared" si="4"/>
        <v>1</v>
      </c>
      <c r="O20" s="242" t="str">
        <f t="shared" si="2"/>
        <v>IN</v>
      </c>
      <c r="P20" s="243"/>
      <c r="Q20" s="242"/>
      <c r="R20" s="243"/>
      <c r="X20" s="233"/>
      <c r="Y20" s="233"/>
      <c r="Z20" s="233"/>
    </row>
    <row r="21" spans="1:26" s="244" customFormat="1" ht="50.1" customHeight="1">
      <c r="A21" s="234" t="str">
        <f t="shared" si="0"/>
        <v>L01</v>
      </c>
      <c r="B21" s="234" t="str">
        <f t="shared" si="1"/>
        <v>Muc 1.1</v>
      </c>
      <c r="C21" s="235">
        <v>6</v>
      </c>
      <c r="D21" s="245" t="s">
        <v>177</v>
      </c>
      <c r="E21" s="246">
        <v>18</v>
      </c>
      <c r="F21" s="237">
        <v>100</v>
      </c>
      <c r="G21" s="237" t="str">
        <f>IFERROR(IF($L$6-$F$20-$F$20&lt;0,0,$L$6-$F$20-$F$20),"")</f>
        <v/>
      </c>
      <c r="H21" s="237" t="str">
        <f>+IFERROR(2*K7,"")</f>
        <v/>
      </c>
      <c r="I21" s="239" t="s">
        <v>175</v>
      </c>
      <c r="J21" s="238"/>
      <c r="K21" s="239"/>
      <c r="L21" s="240" t="s">
        <v>168</v>
      </c>
      <c r="M21" s="241" t="str">
        <f t="shared" si="3"/>
        <v/>
      </c>
      <c r="N21" s="242">
        <f t="shared" si="4"/>
        <v>1</v>
      </c>
      <c r="O21" s="242" t="str">
        <f t="shared" si="2"/>
        <v>IN</v>
      </c>
      <c r="P21" s="243"/>
      <c r="Q21" s="242"/>
      <c r="R21" s="243"/>
      <c r="X21" s="233"/>
      <c r="Y21" s="233"/>
      <c r="Z21" s="233"/>
    </row>
    <row r="22" spans="1:26" s="244" customFormat="1" ht="50.1" customHeight="1">
      <c r="A22" s="234" t="str">
        <f t="shared" si="0"/>
        <v>L01</v>
      </c>
      <c r="B22" s="234" t="str">
        <f t="shared" si="1"/>
        <v>Muc 1.1</v>
      </c>
      <c r="C22" s="235">
        <v>7</v>
      </c>
      <c r="D22" s="245" t="s">
        <v>177</v>
      </c>
      <c r="E22" s="246">
        <v>18</v>
      </c>
      <c r="F22" s="237">
        <v>100</v>
      </c>
      <c r="G22" s="237">
        <v>100</v>
      </c>
      <c r="H22" s="237" t="str">
        <f>+IFERROR(40*K7,"")</f>
        <v/>
      </c>
      <c r="I22" s="239" t="s">
        <v>175</v>
      </c>
      <c r="J22" s="238" t="s">
        <v>178</v>
      </c>
      <c r="K22" s="239"/>
      <c r="L22" s="240" t="s">
        <v>168</v>
      </c>
      <c r="M22" s="241" t="str">
        <f t="shared" si="3"/>
        <v/>
      </c>
      <c r="N22" s="242">
        <f t="shared" si="4"/>
        <v>1</v>
      </c>
      <c r="O22" s="242" t="str">
        <f t="shared" si="2"/>
        <v>IN</v>
      </c>
      <c r="P22" s="243"/>
      <c r="Q22" s="242"/>
      <c r="R22" s="243"/>
      <c r="X22" s="233"/>
      <c r="Y22" s="233"/>
      <c r="Z22" s="233"/>
    </row>
    <row r="23" spans="1:26" s="244" customFormat="1" ht="39.950000000000003" customHeight="1">
      <c r="A23" s="234" t="str">
        <f t="shared" si="0"/>
        <v>L01</v>
      </c>
      <c r="B23" s="234" t="str">
        <f t="shared" si="1"/>
        <v>Muc 1.1</v>
      </c>
      <c r="C23" s="235">
        <v>8</v>
      </c>
      <c r="D23" s="245" t="s">
        <v>134</v>
      </c>
      <c r="E23" s="246"/>
      <c r="F23" s="237"/>
      <c r="G23" s="237"/>
      <c r="H23" s="237"/>
      <c r="I23" s="239" t="s">
        <v>135</v>
      </c>
      <c r="J23" s="238"/>
      <c r="K23" s="239"/>
      <c r="L23" s="240" t="s">
        <v>136</v>
      </c>
      <c r="M23" s="241" t="str">
        <f>IFERROR(($K$6*$L$6*4+$L$6*$M$6*2)*10^-6*1.3/0.5*$K$7,"")</f>
        <v/>
      </c>
      <c r="N23" s="242">
        <f t="shared" si="4"/>
        <v>1</v>
      </c>
      <c r="O23" s="242" t="str">
        <f t="shared" si="2"/>
        <v>IN</v>
      </c>
      <c r="P23" s="243"/>
      <c r="Q23" s="242"/>
      <c r="R23" s="243"/>
      <c r="X23" s="233"/>
      <c r="Y23" s="233"/>
      <c r="Z23" s="233"/>
    </row>
    <row r="24" spans="1:26" s="244" customFormat="1" ht="39.950000000000003" customHeight="1">
      <c r="A24" s="234" t="str">
        <f t="shared" si="0"/>
        <v>L01</v>
      </c>
      <c r="B24" s="234" t="str">
        <f t="shared" si="1"/>
        <v>Muc 1.1</v>
      </c>
      <c r="C24" s="235">
        <v>9</v>
      </c>
      <c r="D24" s="245" t="s">
        <v>137</v>
      </c>
      <c r="E24" s="246"/>
      <c r="F24" s="237"/>
      <c r="G24" s="237"/>
      <c r="H24" s="237"/>
      <c r="I24" s="239" t="s">
        <v>138</v>
      </c>
      <c r="J24" s="238"/>
      <c r="K24" s="239"/>
      <c r="L24" s="240" t="s">
        <v>136</v>
      </c>
      <c r="M24" s="241" t="str">
        <f>IFERROR(($K$6*$L$6*4+$L$6*$M$6*2)*10^-6*1.3/1.2*$K$7,"")</f>
        <v/>
      </c>
      <c r="N24" s="242">
        <f t="shared" si="4"/>
        <v>1</v>
      </c>
      <c r="O24" s="242" t="str">
        <f t="shared" si="2"/>
        <v>IN</v>
      </c>
      <c r="P24" s="243"/>
      <c r="Q24" s="242"/>
      <c r="R24" s="243"/>
      <c r="X24" s="233"/>
      <c r="Y24" s="233"/>
      <c r="Z24" s="233"/>
    </row>
    <row r="25" spans="1:26" s="244" customFormat="1" ht="39.950000000000003" customHeight="1">
      <c r="A25" s="234" t="str">
        <f t="shared" si="0"/>
        <v>L01</v>
      </c>
      <c r="B25" s="234" t="str">
        <f t="shared" si="1"/>
        <v>Muc 1.1</v>
      </c>
      <c r="C25" s="235">
        <v>10</v>
      </c>
      <c r="D25" s="245" t="s">
        <v>179</v>
      </c>
      <c r="E25" s="246"/>
      <c r="F25" s="237"/>
      <c r="G25" s="237"/>
      <c r="H25" s="237"/>
      <c r="I25" s="239" t="s">
        <v>180</v>
      </c>
      <c r="J25" s="238"/>
      <c r="K25" s="239"/>
      <c r="L25" s="240" t="s">
        <v>136</v>
      </c>
      <c r="M25" s="241" t="str">
        <f>IFERROR(($K$6*8+$L$6*8+$M$6*80)*10^-3*$K$7,"")</f>
        <v/>
      </c>
      <c r="N25" s="242">
        <f t="shared" si="4"/>
        <v>1</v>
      </c>
      <c r="O25" s="242" t="str">
        <f t="shared" si="2"/>
        <v>IN</v>
      </c>
      <c r="P25" s="243"/>
      <c r="Q25" s="242"/>
      <c r="R25" s="243"/>
      <c r="X25" s="233"/>
      <c r="Y25" s="233"/>
      <c r="Z25" s="233"/>
    </row>
    <row r="26" spans="1:26" s="244" customFormat="1" ht="39.950000000000003" hidden="1" customHeight="1">
      <c r="A26" s="234" t="str">
        <f t="shared" si="0"/>
        <v/>
      </c>
      <c r="B26" s="234" t="str">
        <f t="shared" si="1"/>
        <v/>
      </c>
      <c r="C26" s="235"/>
      <c r="D26" s="245"/>
      <c r="E26" s="246"/>
      <c r="F26" s="237"/>
      <c r="G26" s="237"/>
      <c r="H26" s="237"/>
      <c r="I26" s="239"/>
      <c r="J26" s="238"/>
      <c r="K26" s="239"/>
      <c r="L26" s="240"/>
      <c r="M26" s="241">
        <f t="shared" ref="M26:M33" si="5">IF(OR(L26="Con",L26="Cụm",L26="Hệ"),H26,IF(L26="Thanh",(G26*H26/2400),IF(L26="Tấm",(F26*G26*H26)/(1220*2440),IF(L26="Md",G26*H26/1000,IF(L26="M2",F26*G26*H26/10^6,IF(L26="M3",E26*F26*G26*H26/10^9,0))))))</f>
        <v>0</v>
      </c>
      <c r="N26" s="242" t="str">
        <f t="shared" si="4"/>
        <v/>
      </c>
      <c r="O26" s="242" t="str">
        <f t="shared" si="2"/>
        <v/>
      </c>
      <c r="P26" s="243"/>
      <c r="Q26" s="242"/>
      <c r="R26" s="243"/>
      <c r="X26" s="233"/>
      <c r="Y26" s="233"/>
      <c r="Z26" s="233"/>
    </row>
    <row r="27" spans="1:26" s="244" customFormat="1" ht="39.950000000000003" hidden="1" customHeight="1" thickBot="1">
      <c r="A27" s="234" t="str">
        <f t="shared" si="0"/>
        <v/>
      </c>
      <c r="B27" s="234" t="str">
        <f t="shared" si="1"/>
        <v/>
      </c>
      <c r="C27" s="235"/>
      <c r="D27" s="245"/>
      <c r="E27" s="246"/>
      <c r="F27" s="237"/>
      <c r="G27" s="237"/>
      <c r="H27" s="237"/>
      <c r="I27" s="239"/>
      <c r="J27" s="238"/>
      <c r="K27" s="239"/>
      <c r="L27" s="240"/>
      <c r="M27" s="241">
        <f t="shared" si="5"/>
        <v>0</v>
      </c>
      <c r="N27" s="242" t="str">
        <f t="shared" si="4"/>
        <v/>
      </c>
      <c r="O27" s="242" t="str">
        <f t="shared" si="2"/>
        <v/>
      </c>
      <c r="P27" s="243"/>
      <c r="Q27" s="242"/>
      <c r="R27" s="243"/>
      <c r="X27" s="233"/>
      <c r="Y27" s="233"/>
      <c r="Z27" s="233"/>
    </row>
    <row r="28" spans="1:26" s="244" customFormat="1" ht="39.950000000000003" hidden="1" customHeight="1" thickBot="1">
      <c r="A28" s="234" t="str">
        <f t="shared" si="0"/>
        <v/>
      </c>
      <c r="B28" s="234" t="str">
        <f t="shared" si="1"/>
        <v/>
      </c>
      <c r="C28" s="247"/>
      <c r="D28" s="245"/>
      <c r="E28" s="246"/>
      <c r="F28" s="237"/>
      <c r="G28" s="237"/>
      <c r="H28" s="237"/>
      <c r="I28" s="239"/>
      <c r="J28" s="238"/>
      <c r="K28" s="239"/>
      <c r="L28" s="240"/>
      <c r="M28" s="241">
        <f t="shared" si="5"/>
        <v>0</v>
      </c>
      <c r="N28" s="242" t="str">
        <f t="shared" si="4"/>
        <v/>
      </c>
      <c r="O28" s="242" t="str">
        <f t="shared" si="2"/>
        <v/>
      </c>
      <c r="P28" s="243"/>
      <c r="Q28" s="242"/>
      <c r="R28" s="243"/>
      <c r="X28" s="233"/>
      <c r="Y28" s="233"/>
      <c r="Z28" s="233"/>
    </row>
    <row r="29" spans="1:26" s="233" customFormat="1" ht="39.950000000000003" hidden="1" customHeight="1" thickBot="1">
      <c r="A29" s="224" t="str">
        <f t="shared" si="0"/>
        <v/>
      </c>
      <c r="B29" s="224" t="str">
        <f t="shared" si="1"/>
        <v/>
      </c>
      <c r="C29" s="237"/>
      <c r="D29" s="236"/>
      <c r="E29" s="237"/>
      <c r="F29" s="237"/>
      <c r="G29" s="237"/>
      <c r="H29" s="237"/>
      <c r="I29" s="236"/>
      <c r="J29" s="236"/>
      <c r="K29" s="239"/>
      <c r="L29" s="240"/>
      <c r="M29" s="241">
        <f t="shared" si="5"/>
        <v>0</v>
      </c>
      <c r="N29" s="232" t="str">
        <f t="shared" si="4"/>
        <v/>
      </c>
      <c r="O29" s="232" t="str">
        <f t="shared" si="2"/>
        <v/>
      </c>
      <c r="P29" s="110"/>
      <c r="Q29" s="232"/>
      <c r="R29" s="110"/>
    </row>
    <row r="30" spans="1:26" s="233" customFormat="1" ht="39.950000000000003" hidden="1" customHeight="1" thickBot="1">
      <c r="A30" s="224" t="str">
        <f t="shared" si="0"/>
        <v/>
      </c>
      <c r="B30" s="224" t="str">
        <f t="shared" si="1"/>
        <v/>
      </c>
      <c r="C30" s="248"/>
      <c r="D30" s="249"/>
      <c r="E30" s="248"/>
      <c r="F30" s="248"/>
      <c r="G30" s="248"/>
      <c r="H30" s="248"/>
      <c r="I30" s="249"/>
      <c r="J30" s="236"/>
      <c r="K30" s="239"/>
      <c r="L30" s="240"/>
      <c r="M30" s="241">
        <f t="shared" si="5"/>
        <v>0</v>
      </c>
      <c r="N30" s="232" t="str">
        <f t="shared" si="4"/>
        <v/>
      </c>
      <c r="O30" s="232" t="str">
        <f t="shared" si="2"/>
        <v/>
      </c>
      <c r="P30" s="110"/>
      <c r="Q30" s="232"/>
      <c r="R30" s="110"/>
    </row>
    <row r="31" spans="1:26" s="233" customFormat="1" ht="39.950000000000003" hidden="1" customHeight="1" thickBot="1">
      <c r="A31" s="224" t="str">
        <f t="shared" si="0"/>
        <v/>
      </c>
      <c r="B31" s="224" t="str">
        <f t="shared" si="1"/>
        <v/>
      </c>
      <c r="C31" s="237"/>
      <c r="D31" s="236"/>
      <c r="E31" s="237"/>
      <c r="F31" s="237"/>
      <c r="G31" s="237"/>
      <c r="H31" s="237"/>
      <c r="I31" s="236"/>
      <c r="J31" s="236"/>
      <c r="K31" s="239"/>
      <c r="L31" s="240"/>
      <c r="M31" s="241">
        <f t="shared" si="5"/>
        <v>0</v>
      </c>
      <c r="N31" s="232" t="str">
        <f t="shared" si="4"/>
        <v/>
      </c>
      <c r="O31" s="232" t="str">
        <f t="shared" si="2"/>
        <v/>
      </c>
      <c r="P31" s="110"/>
      <c r="Q31" s="232"/>
      <c r="R31" s="110"/>
    </row>
    <row r="32" spans="1:26" s="233" customFormat="1" ht="39.950000000000003" hidden="1" customHeight="1" thickBot="1">
      <c r="A32" s="224" t="str">
        <f t="shared" si="0"/>
        <v/>
      </c>
      <c r="B32" s="224" t="str">
        <f t="shared" si="1"/>
        <v/>
      </c>
      <c r="C32" s="248"/>
      <c r="D32" s="249"/>
      <c r="E32" s="248"/>
      <c r="F32" s="248"/>
      <c r="G32" s="248"/>
      <c r="H32" s="248"/>
      <c r="I32" s="249"/>
      <c r="J32" s="236"/>
      <c r="K32" s="239"/>
      <c r="L32" s="240"/>
      <c r="M32" s="241">
        <f t="shared" si="5"/>
        <v>0</v>
      </c>
      <c r="N32" s="232" t="str">
        <f t="shared" si="4"/>
        <v/>
      </c>
      <c r="O32" s="232" t="str">
        <f t="shared" si="2"/>
        <v/>
      </c>
      <c r="P32" s="110"/>
      <c r="Q32" s="232"/>
      <c r="R32" s="110"/>
    </row>
    <row r="33" spans="1:18" s="233" customFormat="1" ht="39.950000000000003" hidden="1" customHeight="1" thickBot="1">
      <c r="A33" s="224" t="str">
        <f t="shared" si="0"/>
        <v/>
      </c>
      <c r="B33" s="224" t="str">
        <f t="shared" si="1"/>
        <v/>
      </c>
      <c r="C33" s="248"/>
      <c r="D33" s="249"/>
      <c r="E33" s="248"/>
      <c r="F33" s="248"/>
      <c r="G33" s="248"/>
      <c r="H33" s="248"/>
      <c r="I33" s="249"/>
      <c r="J33" s="236"/>
      <c r="K33" s="239" t="s">
        <v>185</v>
      </c>
      <c r="L33" s="240"/>
      <c r="M33" s="241">
        <f t="shared" si="5"/>
        <v>0</v>
      </c>
      <c r="N33" s="232" t="str">
        <f t="shared" si="4"/>
        <v/>
      </c>
      <c r="O33" s="232" t="str">
        <f t="shared" si="2"/>
        <v/>
      </c>
      <c r="P33" s="110"/>
      <c r="Q33" s="232"/>
      <c r="R33" s="110"/>
    </row>
    <row r="34" spans="1:18" s="233" customFormat="1" ht="35.1" customHeight="1" thickBot="1">
      <c r="A34" s="224" t="str">
        <f t="shared" si="0"/>
        <v>L01</v>
      </c>
      <c r="B34" s="224" t="str">
        <f t="shared" si="1"/>
        <v>Muc 1.1</v>
      </c>
      <c r="C34" s="250"/>
      <c r="D34" s="251" t="s">
        <v>38</v>
      </c>
      <c r="E34" s="252"/>
      <c r="F34" s="252"/>
      <c r="G34" s="252"/>
      <c r="H34" s="252"/>
      <c r="I34" s="252"/>
      <c r="J34" s="253"/>
      <c r="K34" s="254"/>
      <c r="L34" s="255"/>
      <c r="M34" s="255"/>
      <c r="N34" s="232">
        <f t="shared" si="4"/>
        <v>1</v>
      </c>
      <c r="O34" s="232" t="str">
        <f t="shared" si="2"/>
        <v>IN</v>
      </c>
      <c r="P34" s="110"/>
      <c r="Q34" s="232"/>
      <c r="R34" s="110"/>
    </row>
    <row r="35" spans="1:18" ht="27" customHeight="1">
      <c r="D35" s="82" t="s">
        <v>45</v>
      </c>
      <c r="E35" s="34"/>
      <c r="F35" s="34"/>
      <c r="G35" s="34"/>
      <c r="H35" s="34"/>
      <c r="I35" s="34"/>
      <c r="J35" s="8"/>
      <c r="K35" s="34"/>
      <c r="L35" s="34"/>
      <c r="M35" s="34"/>
      <c r="N35" s="8"/>
      <c r="O35" s="69" t="s">
        <v>75</v>
      </c>
      <c r="P35" s="32"/>
      <c r="Q35" s="32"/>
      <c r="R35" s="32"/>
    </row>
    <row r="36" spans="1:18" ht="25.35" customHeight="1">
      <c r="C36" s="3"/>
      <c r="D36" s="35"/>
      <c r="E36" s="9"/>
      <c r="F36" s="36"/>
      <c r="G36" s="37"/>
      <c r="H36" s="36"/>
      <c r="I36" s="36"/>
      <c r="J36" s="11"/>
      <c r="K36" s="71" t="str">
        <f ca="1">"Ngày "&amp;DAY(NOW())&amp;" tháng "&amp;MONTH(NOW())&amp;" năm "&amp;YEAR(NOW())</f>
        <v>Ngày 17 tháng 6 năm 2026</v>
      </c>
      <c r="L36" s="8"/>
      <c r="M36" s="8"/>
      <c r="N36" s="11"/>
      <c r="O36" s="69" t="s">
        <v>75</v>
      </c>
      <c r="P36" s="32"/>
      <c r="Q36" s="32"/>
      <c r="R36" s="32"/>
    </row>
    <row r="37" spans="1:18" ht="25.35" customHeight="1">
      <c r="C37" s="3"/>
      <c r="D37" s="3"/>
      <c r="E37" s="9"/>
      <c r="F37" s="36"/>
      <c r="G37" s="71" t="s">
        <v>49</v>
      </c>
      <c r="H37" s="36"/>
      <c r="I37" s="36"/>
      <c r="J37" s="11"/>
      <c r="K37" s="71" t="s">
        <v>57</v>
      </c>
      <c r="L37" s="8"/>
      <c r="M37" s="8"/>
      <c r="N37" s="11"/>
      <c r="O37" s="69" t="s">
        <v>75</v>
      </c>
      <c r="P37" s="32"/>
      <c r="Q37" s="32"/>
      <c r="R37" s="32"/>
    </row>
    <row r="38" spans="1:18" ht="25.35" customHeight="1">
      <c r="C38" s="3"/>
      <c r="D38" s="3"/>
      <c r="E38" s="9"/>
      <c r="F38" s="36"/>
      <c r="G38" s="42"/>
      <c r="H38" s="36"/>
      <c r="I38" s="36"/>
      <c r="J38" s="11"/>
      <c r="K38" s="37"/>
      <c r="L38" s="8"/>
      <c r="M38" s="8"/>
      <c r="N38" s="11"/>
      <c r="O38" s="69" t="s">
        <v>75</v>
      </c>
      <c r="P38" s="32"/>
      <c r="Q38" s="32"/>
      <c r="R38" s="32"/>
    </row>
    <row r="39" spans="1:18" ht="25.35" customHeight="1">
      <c r="C39" s="3"/>
      <c r="D39" s="3"/>
      <c r="E39" s="9"/>
      <c r="F39" s="36"/>
      <c r="G39" s="42"/>
      <c r="H39" s="36"/>
      <c r="I39" s="36"/>
      <c r="J39" s="11"/>
      <c r="K39" s="37"/>
      <c r="L39" s="8"/>
      <c r="M39" s="8"/>
      <c r="N39" s="11"/>
      <c r="O39" s="69" t="s">
        <v>75</v>
      </c>
      <c r="P39" s="32"/>
      <c r="Q39" s="32"/>
      <c r="R39" s="32"/>
    </row>
    <row r="40" spans="1:18" ht="25.35" customHeight="1">
      <c r="C40" s="3"/>
      <c r="D40" s="3"/>
      <c r="E40" s="9"/>
      <c r="F40" s="36"/>
      <c r="G40" s="38"/>
      <c r="H40" s="36"/>
      <c r="I40" s="38"/>
      <c r="J40" s="11"/>
      <c r="K40" s="37"/>
      <c r="L40" s="8"/>
      <c r="M40" s="8"/>
      <c r="N40" s="11"/>
      <c r="O40" s="69" t="s">
        <v>75</v>
      </c>
      <c r="P40" s="32"/>
      <c r="Q40" s="32"/>
      <c r="R40" s="32"/>
    </row>
    <row r="41" spans="1:18" ht="25.35" customHeight="1">
      <c r="C41" s="3"/>
      <c r="D41" s="3"/>
      <c r="E41" s="9"/>
      <c r="F41" s="36"/>
      <c r="G41" s="37" t="s">
        <v>46</v>
      </c>
      <c r="H41" s="36"/>
      <c r="I41" s="40"/>
      <c r="J41" s="11"/>
      <c r="K41" s="37" t="str">
        <f>'BOM_Phan II'!P241</f>
        <v>Nguyễn Tân Hồng</v>
      </c>
      <c r="L41" s="8"/>
      <c r="M41" s="8"/>
      <c r="N41" s="11"/>
      <c r="O41" s="69" t="s">
        <v>75</v>
      </c>
      <c r="P41" s="32"/>
      <c r="Q41" s="32"/>
      <c r="R41" s="32"/>
    </row>
    <row r="42" spans="1:18" ht="25.35" customHeight="1">
      <c r="C42" s="3"/>
      <c r="D42" s="3"/>
      <c r="E42" s="9"/>
      <c r="F42" s="36"/>
      <c r="G42" s="37"/>
      <c r="H42" s="36"/>
      <c r="I42" s="36"/>
      <c r="J42" s="11"/>
      <c r="K42" s="36"/>
      <c r="L42" s="8"/>
      <c r="M42" s="8"/>
      <c r="N42" s="11"/>
    </row>
    <row r="43" spans="1:18" ht="25.35" customHeight="1">
      <c r="C43" s="43"/>
      <c r="D43" s="43"/>
      <c r="E43" s="9"/>
      <c r="F43" s="36"/>
      <c r="G43" s="37"/>
      <c r="H43" s="36"/>
      <c r="I43" s="36"/>
      <c r="J43" s="11"/>
      <c r="K43" s="36"/>
      <c r="L43" s="8"/>
      <c r="M43" s="8"/>
      <c r="N43" s="11"/>
    </row>
    <row r="44" spans="1:18" ht="25.35" customHeight="1">
      <c r="C44" s="3"/>
      <c r="D44" s="3"/>
      <c r="E44" s="9"/>
      <c r="F44" s="36"/>
      <c r="G44" s="37"/>
      <c r="H44" s="36"/>
      <c r="I44" s="36"/>
      <c r="J44" s="11"/>
      <c r="K44" s="36"/>
      <c r="L44" s="8"/>
      <c r="M44" s="8"/>
      <c r="N44" s="11"/>
    </row>
    <row r="45" spans="1:18" ht="25.35" customHeight="1">
      <c r="C45" s="3"/>
      <c r="D45" s="3"/>
      <c r="E45" s="9"/>
      <c r="F45" s="44"/>
      <c r="G45" s="99"/>
      <c r="H45" s="44"/>
      <c r="I45" s="8"/>
      <c r="J45" s="45"/>
      <c r="K45" s="44"/>
      <c r="L45" s="8"/>
      <c r="M45" s="8"/>
      <c r="N45" s="45"/>
    </row>
  </sheetData>
  <sheetProtection formatCells="0" formatColumns="0" formatRows="0" insertColumns="0" insertRows="0" insertHyperlinks="0" deleteColumns="0" deleteRows="0" sort="0" autoFilter="0" pivotTables="0"/>
  <autoFilter ref="C12:O41" xr:uid="{842A61C4-7B4F-41B1-8FE6-0A0C645AF4DB}">
    <filterColumn colId="12">
      <customFilters>
        <customFilter operator="notEqual" val=" "/>
      </customFilters>
    </filterColumn>
  </autoFilter>
  <mergeCells count="26">
    <mergeCell ref="C8:D8"/>
    <mergeCell ref="C1:E3"/>
    <mergeCell ref="F1:J3"/>
    <mergeCell ref="L1:M1"/>
    <mergeCell ref="P1:R2"/>
    <mergeCell ref="L2:M2"/>
    <mergeCell ref="L3:M3"/>
    <mergeCell ref="C4:D4"/>
    <mergeCell ref="C5:D6"/>
    <mergeCell ref="E5:I6"/>
    <mergeCell ref="J5:J6"/>
    <mergeCell ref="C7:D7"/>
    <mergeCell ref="A11:A12"/>
    <mergeCell ref="B11:B12"/>
    <mergeCell ref="C11:C12"/>
    <mergeCell ref="D11:D12"/>
    <mergeCell ref="E11:G11"/>
    <mergeCell ref="K11:K12"/>
    <mergeCell ref="L11:L12"/>
    <mergeCell ref="M11:M12"/>
    <mergeCell ref="N11:N12"/>
    <mergeCell ref="C9:D9"/>
    <mergeCell ref="C10:M10"/>
    <mergeCell ref="H11:H12"/>
    <mergeCell ref="I11:I12"/>
    <mergeCell ref="J11:J12"/>
  </mergeCells>
  <conditionalFormatting sqref="K14:L33">
    <cfRule type="expression" dxfId="7" priority="4">
      <formula>K14="LỖI DỮ LIỆU"</formula>
    </cfRule>
  </conditionalFormatting>
  <conditionalFormatting sqref="K14:M33">
    <cfRule type="cellIs" dxfId="6" priority="2" operator="equal">
      <formula>0</formula>
    </cfRule>
  </conditionalFormatting>
  <conditionalFormatting sqref="M14:M33">
    <cfRule type="cellIs" dxfId="5" priority="1" operator="equal">
      <formula>0</formula>
    </cfRule>
    <cfRule type="cellIs" dxfId="4" priority="3" operator="equal">
      <formula>0</formula>
    </cfRule>
  </conditionalFormatting>
  <dataValidations count="3">
    <dataValidation type="list" allowBlank="1" showInputMessage="1" showErrorMessage="1" sqref="G41" xr:uid="{8599D681-30DA-4D48-815A-E2EEECEFF2BA}">
      <formula1>$Y$2:$Y$3</formula1>
    </dataValidation>
    <dataValidation type="list" allowBlank="1" showInputMessage="1" showErrorMessage="1" sqref="L34" xr:uid="{0A54E593-46CB-47E2-9ACB-DB18996C6EE6}">
      <formula1>$W$2:$W$10</formula1>
    </dataValidation>
    <dataValidation type="list" allowBlank="1" showInputMessage="1" showErrorMessage="1" sqref="L32:L33 L30" xr:uid="{84EF5346-1EA9-4CB3-8886-90D0E104FDBD}">
      <formula1>$Z$4:$Z$7</formula1>
    </dataValidation>
  </dataValidations>
  <printOptions horizontalCentered="1"/>
  <pageMargins left="0" right="0" top="0.25" bottom="0.25" header="0" footer="0"/>
  <pageSetup paperSize="9" scale="52" orientation="landscape" r:id="rId1"/>
  <headerFooter scaleWithDoc="0" alignWithMargins="0">
    <oddFooter>Page &amp;P of &amp;N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A6FFF-67D9-4755-A652-EB15BB9D88E9}">
  <sheetPr codeName="Sheet12" filterMode="1">
    <tabColor rgb="FFFFFF00"/>
  </sheetPr>
  <dimension ref="A1:AC38"/>
  <sheetViews>
    <sheetView view="pageBreakPreview" zoomScale="70" zoomScaleNormal="55" zoomScaleSheetLayoutView="70" workbookViewId="0">
      <pane ySplit="12" topLeftCell="A13" activePane="bottomLeft" state="frozen"/>
      <selection activeCell="Q4" sqref="Q4"/>
      <selection pane="bottomLeft" activeCell="Q4" sqref="Q4"/>
    </sheetView>
  </sheetViews>
  <sheetFormatPr defaultColWidth="4.85546875" defaultRowHeight="25.35" customHeight="1"/>
  <cols>
    <col min="1" max="1" width="6.85546875" style="3" bestFit="1" customWidth="1"/>
    <col min="2" max="2" width="6.42578125" style="3" bestFit="1" customWidth="1"/>
    <col min="3" max="3" width="6.140625" style="81" customWidth="1"/>
    <col min="4" max="4" width="31.42578125" style="14" customWidth="1"/>
    <col min="5" max="5" width="7.42578125" style="14" customWidth="1"/>
    <col min="6" max="7" width="7.42578125" style="3" customWidth="1"/>
    <col min="8" max="8" width="7.42578125" style="14" customWidth="1"/>
    <col min="9" max="9" width="33.85546875" style="16" customWidth="1"/>
    <col min="10" max="10" width="43.85546875" style="16" customWidth="1"/>
    <col min="11" max="11" width="25.140625" style="14" customWidth="1"/>
    <col min="12" max="13" width="10.42578125" style="15" customWidth="1"/>
    <col min="14" max="14" width="4.85546875" style="16" customWidth="1"/>
    <col min="15" max="18" width="8.85546875" style="3" customWidth="1"/>
    <col min="19" max="22" width="4.85546875" style="3"/>
    <col min="23" max="23" width="11.85546875" style="3" customWidth="1"/>
    <col min="24" max="24" width="20.7109375" style="3" hidden="1" customWidth="1"/>
    <col min="25" max="25" width="13.7109375" style="3" hidden="1" customWidth="1"/>
    <col min="26" max="26" width="22.140625" style="3" hidden="1" customWidth="1"/>
    <col min="27" max="28" width="0" style="3" hidden="1" customWidth="1"/>
    <col min="29" max="29" width="13.7109375" style="3" hidden="1" customWidth="1"/>
    <col min="30" max="16384" width="4.85546875" style="3"/>
  </cols>
  <sheetData>
    <row r="1" spans="1:29" ht="27.75" customHeight="1">
      <c r="C1" s="320"/>
      <c r="D1" s="321"/>
      <c r="E1" s="322"/>
      <c r="F1" s="329" t="s">
        <v>141</v>
      </c>
      <c r="G1" s="330"/>
      <c r="H1" s="330"/>
      <c r="I1" s="330"/>
      <c r="J1" s="331"/>
      <c r="K1" s="144" t="s">
        <v>29</v>
      </c>
      <c r="L1" s="338" t="s">
        <v>44</v>
      </c>
      <c r="M1" s="339"/>
      <c r="N1" s="110"/>
      <c r="P1" s="340" t="s">
        <v>67</v>
      </c>
      <c r="Q1" s="341"/>
      <c r="R1" s="342"/>
    </row>
    <row r="2" spans="1:29" ht="27.75" customHeight="1" thickBot="1">
      <c r="C2" s="323"/>
      <c r="D2" s="324"/>
      <c r="E2" s="325"/>
      <c r="F2" s="332"/>
      <c r="G2" s="333"/>
      <c r="H2" s="333"/>
      <c r="I2" s="333"/>
      <c r="J2" s="334"/>
      <c r="K2" s="27" t="s">
        <v>30</v>
      </c>
      <c r="L2" s="346"/>
      <c r="M2" s="347"/>
      <c r="N2" s="215"/>
      <c r="P2" s="343"/>
      <c r="Q2" s="344"/>
      <c r="R2" s="345"/>
      <c r="W2" s="216"/>
      <c r="X2" s="30" t="s">
        <v>124</v>
      </c>
      <c r="Y2" s="30" t="s">
        <v>66</v>
      </c>
      <c r="Z2" s="30"/>
      <c r="AA2" s="30"/>
      <c r="AB2" s="30"/>
    </row>
    <row r="3" spans="1:29" ht="27.75" customHeight="1" thickBot="1">
      <c r="C3" s="326"/>
      <c r="D3" s="327"/>
      <c r="E3" s="328"/>
      <c r="F3" s="335"/>
      <c r="G3" s="336"/>
      <c r="H3" s="336"/>
      <c r="I3" s="336"/>
      <c r="J3" s="337"/>
      <c r="K3" s="27" t="s">
        <v>31</v>
      </c>
      <c r="L3" s="346"/>
      <c r="M3" s="347"/>
      <c r="N3" s="217"/>
      <c r="P3" s="48"/>
      <c r="Q3" s="100">
        <f>'BOM_Phan II'!Y3</f>
        <v>1</v>
      </c>
      <c r="R3" s="48"/>
      <c r="W3" s="216"/>
      <c r="X3" s="30" t="s">
        <v>125</v>
      </c>
      <c r="Y3" s="30"/>
      <c r="Z3" s="30"/>
      <c r="AA3" s="30"/>
      <c r="AB3" s="30"/>
      <c r="AC3" s="3" t="s">
        <v>124</v>
      </c>
    </row>
    <row r="4" spans="1:29" ht="25.35" customHeight="1">
      <c r="C4" s="348" t="s">
        <v>25</v>
      </c>
      <c r="D4" s="349"/>
      <c r="E4" s="102" t="str">
        <f>'BOM_Phan II'!E4</f>
        <v>LAGOME_BURNLEY MALTINGS</v>
      </c>
      <c r="F4" s="92"/>
      <c r="G4" s="92"/>
      <c r="H4" s="92"/>
      <c r="I4" s="92"/>
      <c r="J4" s="128" t="s">
        <v>24</v>
      </c>
      <c r="K4" s="218" t="str">
        <f>'BOM_Phan II'!P4</f>
        <v>2573_LAGOME_CT07</v>
      </c>
      <c r="L4" s="219"/>
      <c r="M4" s="219"/>
      <c r="N4" s="220"/>
      <c r="W4" s="216"/>
      <c r="X4" s="30" t="s">
        <v>86</v>
      </c>
      <c r="Y4" s="30"/>
      <c r="Z4" s="30" t="s">
        <v>76</v>
      </c>
      <c r="AA4" s="30"/>
      <c r="AB4" s="30"/>
      <c r="AC4" s="3" t="s">
        <v>125</v>
      </c>
    </row>
    <row r="5" spans="1:29" ht="25.35" customHeight="1">
      <c r="C5" s="350" t="s">
        <v>28</v>
      </c>
      <c r="D5" s="351"/>
      <c r="E5" s="354" t="str">
        <f>'BOM_Phan II'!E5</f>
        <v>Laundry_ (TH 11)</v>
      </c>
      <c r="F5" s="355"/>
      <c r="G5" s="355"/>
      <c r="H5" s="355"/>
      <c r="I5" s="356"/>
      <c r="J5" s="360" t="s">
        <v>27</v>
      </c>
      <c r="K5" s="221" t="s">
        <v>126</v>
      </c>
      <c r="L5" s="221" t="s">
        <v>127</v>
      </c>
      <c r="M5" s="221" t="s">
        <v>128</v>
      </c>
      <c r="N5" s="220"/>
      <c r="W5" s="216"/>
      <c r="X5" s="30" t="s">
        <v>64</v>
      </c>
      <c r="Y5" s="30"/>
      <c r="Z5" s="30" t="s">
        <v>77</v>
      </c>
      <c r="AA5" s="30"/>
      <c r="AB5" s="30"/>
      <c r="AC5" s="3" t="s">
        <v>86</v>
      </c>
    </row>
    <row r="6" spans="1:29" ht="25.35" customHeight="1">
      <c r="C6" s="352"/>
      <c r="D6" s="353"/>
      <c r="E6" s="357"/>
      <c r="F6" s="358"/>
      <c r="G6" s="358"/>
      <c r="H6" s="358"/>
      <c r="I6" s="359"/>
      <c r="J6" s="361"/>
      <c r="K6" s="221" t="str">
        <f>IFERROR(IF('BOM_Phan IV'!T13=6,AVERAGE('BOM_Phan IV'!M13:M1400),""),"")</f>
        <v/>
      </c>
      <c r="L6" s="221" t="str">
        <f>IFERROR(IF('BOM_Phan IV'!T13=6,AVERAGE('BOM_Phan IV'!L13:L1400),""),"")</f>
        <v/>
      </c>
      <c r="M6" s="221" t="str">
        <f>IFERROR(IF('BOM_Phan IV'!T13=6,AVERAGE('BOM_Phan IV'!K13:K1400),""),"")</f>
        <v/>
      </c>
      <c r="N6" s="220"/>
      <c r="W6" s="216"/>
      <c r="X6" s="30" t="s">
        <v>64</v>
      </c>
      <c r="Y6" s="30"/>
      <c r="Z6" s="30" t="s">
        <v>77</v>
      </c>
      <c r="AA6" s="30"/>
      <c r="AB6" s="30"/>
      <c r="AC6" s="3" t="s">
        <v>86</v>
      </c>
    </row>
    <row r="7" spans="1:29" ht="25.35" customHeight="1">
      <c r="C7" s="318" t="s">
        <v>23</v>
      </c>
      <c r="D7" s="319"/>
      <c r="E7" s="95" t="str">
        <f>'BOM_Phan II'!E6</f>
        <v>L01</v>
      </c>
      <c r="F7" s="94"/>
      <c r="G7" s="94"/>
      <c r="H7" s="94"/>
      <c r="I7" s="94"/>
      <c r="J7" s="127" t="s">
        <v>26</v>
      </c>
      <c r="K7" s="222" t="str">
        <f>IF(K6&lt;&gt;"",SUM('BOM_Phan IV'!N13:N1400),"")</f>
        <v/>
      </c>
      <c r="L7" s="223"/>
      <c r="M7" s="223"/>
      <c r="N7" s="220"/>
      <c r="W7" s="216"/>
      <c r="X7" s="30" t="s">
        <v>65</v>
      </c>
      <c r="Y7" s="30"/>
      <c r="Z7" s="30"/>
      <c r="AA7" s="30"/>
      <c r="AB7" s="30"/>
      <c r="AC7" s="3" t="s">
        <v>64</v>
      </c>
    </row>
    <row r="8" spans="1:29" ht="25.35" customHeight="1">
      <c r="C8" s="318" t="s">
        <v>21</v>
      </c>
      <c r="D8" s="319"/>
      <c r="E8" s="95">
        <f>'BOM_Phan II'!E7</f>
        <v>1.1000000000000001</v>
      </c>
      <c r="F8" s="94"/>
      <c r="G8" s="94"/>
      <c r="H8" s="94"/>
      <c r="I8" s="94"/>
      <c r="J8" s="127" t="s">
        <v>34</v>
      </c>
      <c r="K8" s="95" t="str">
        <f>'BOM_Phan II'!P7</f>
        <v>Theo module và giao rời</v>
      </c>
      <c r="L8" s="124"/>
      <c r="M8" s="124"/>
      <c r="N8" s="220"/>
      <c r="P8" s="46"/>
      <c r="W8" s="216"/>
      <c r="X8" s="30" t="s">
        <v>66</v>
      </c>
      <c r="Y8" s="30"/>
      <c r="Z8" s="30"/>
      <c r="AA8" s="30"/>
      <c r="AB8" s="30"/>
      <c r="AC8" s="3" t="s">
        <v>65</v>
      </c>
    </row>
    <row r="9" spans="1:29" ht="25.35" customHeight="1">
      <c r="C9" s="304" t="s">
        <v>9</v>
      </c>
      <c r="D9" s="305"/>
      <c r="E9" s="104" t="str">
        <f>'BOM_Phan II'!E8</f>
        <v xml:space="preserve">PB E1 chống ẩm 2M Melamine MEL1: MS 024T
</v>
      </c>
      <c r="F9" s="98"/>
      <c r="G9" s="98"/>
      <c r="H9" s="98"/>
      <c r="I9" s="98"/>
      <c r="J9" s="129" t="s">
        <v>22</v>
      </c>
      <c r="K9" s="104" t="str">
        <f>'BOM_Phan II'!P8</f>
        <v>MEL01,Đồng màu MEL1</v>
      </c>
      <c r="L9" s="126"/>
      <c r="M9" s="126"/>
      <c r="N9" s="220"/>
      <c r="W9" s="216"/>
      <c r="X9" s="30" t="s">
        <v>129</v>
      </c>
      <c r="Y9" s="30"/>
      <c r="Z9" s="30"/>
      <c r="AA9" s="30"/>
      <c r="AB9" s="30"/>
      <c r="AC9" s="3" t="s">
        <v>66</v>
      </c>
    </row>
    <row r="10" spans="1:29" ht="23.25" customHeight="1" thickBot="1">
      <c r="C10" s="306"/>
      <c r="D10" s="307"/>
      <c r="E10" s="307"/>
      <c r="F10" s="307"/>
      <c r="G10" s="307"/>
      <c r="H10" s="307"/>
      <c r="I10" s="307"/>
      <c r="J10" s="307"/>
      <c r="K10" s="308"/>
      <c r="L10" s="308"/>
      <c r="M10" s="308"/>
      <c r="N10" s="14"/>
      <c r="W10" s="216"/>
      <c r="X10" s="30"/>
      <c r="Y10" s="30"/>
      <c r="Z10" s="30"/>
      <c r="AA10" s="30"/>
      <c r="AB10" s="30"/>
      <c r="AC10" s="3" t="s">
        <v>88</v>
      </c>
    </row>
    <row r="11" spans="1:29" ht="33" customHeight="1">
      <c r="A11" s="313" t="s">
        <v>73</v>
      </c>
      <c r="B11" s="314" t="s">
        <v>74</v>
      </c>
      <c r="C11" s="315" t="s">
        <v>10</v>
      </c>
      <c r="D11" s="309" t="s">
        <v>43</v>
      </c>
      <c r="E11" s="317" t="s">
        <v>1</v>
      </c>
      <c r="F11" s="309"/>
      <c r="G11" s="309"/>
      <c r="H11" s="309" t="s">
        <v>0</v>
      </c>
      <c r="I11" s="309" t="s">
        <v>62</v>
      </c>
      <c r="J11" s="311" t="s">
        <v>69</v>
      </c>
      <c r="K11" s="297" t="s">
        <v>61</v>
      </c>
      <c r="L11" s="299" t="s">
        <v>47</v>
      </c>
      <c r="M11" s="301" t="s">
        <v>48</v>
      </c>
      <c r="N11" s="303" t="s">
        <v>78</v>
      </c>
      <c r="X11" s="30"/>
    </row>
    <row r="12" spans="1:29" ht="41.1" customHeight="1">
      <c r="A12" s="313"/>
      <c r="B12" s="314"/>
      <c r="C12" s="316"/>
      <c r="D12" s="310"/>
      <c r="E12" s="101" t="s">
        <v>18</v>
      </c>
      <c r="F12" s="101" t="s">
        <v>19</v>
      </c>
      <c r="G12" s="101" t="s">
        <v>20</v>
      </c>
      <c r="H12" s="310"/>
      <c r="I12" s="310"/>
      <c r="J12" s="312"/>
      <c r="K12" s="298"/>
      <c r="L12" s="300"/>
      <c r="M12" s="302"/>
      <c r="N12" s="303"/>
      <c r="O12" s="47" t="s">
        <v>56</v>
      </c>
      <c r="P12" s="31"/>
      <c r="Q12" s="31"/>
      <c r="R12" s="31"/>
      <c r="X12" s="30"/>
    </row>
    <row r="13" spans="1:29" s="233" customFormat="1" ht="35.1" customHeight="1">
      <c r="A13" s="224" t="str">
        <f t="shared" ref="A13:A27" si="0">IF(O13="IN",$E$7,"")</f>
        <v>L01</v>
      </c>
      <c r="B13" s="224" t="str">
        <f t="shared" ref="B13:B27" si="1">IF(O13="IN","Muc "&amp;$E$8,"")</f>
        <v>Muc 1.1</v>
      </c>
      <c r="C13" s="225" t="s">
        <v>14</v>
      </c>
      <c r="D13" s="226" t="s">
        <v>71</v>
      </c>
      <c r="E13" s="227"/>
      <c r="F13" s="227"/>
      <c r="G13" s="227"/>
      <c r="H13" s="227"/>
      <c r="I13" s="228"/>
      <c r="J13" s="229"/>
      <c r="K13" s="228"/>
      <c r="L13" s="230"/>
      <c r="M13" s="231"/>
      <c r="N13" s="232">
        <f>IF(O13="IN",$Q$3,"")</f>
        <v>1</v>
      </c>
      <c r="O13" s="232" t="str">
        <f t="shared" ref="O13:O27" si="2">IF(OR(C13&lt;&gt;"",D13&lt;&gt;""),"IN","")</f>
        <v>IN</v>
      </c>
      <c r="P13" s="110"/>
      <c r="Q13" s="232"/>
      <c r="R13" s="110"/>
      <c r="X13" s="43"/>
      <c r="Y13" s="43"/>
      <c r="AA13" s="43"/>
      <c r="AB13" s="43"/>
    </row>
    <row r="14" spans="1:29" s="244" customFormat="1" ht="39.950000000000003" customHeight="1">
      <c r="A14" s="234" t="str">
        <f t="shared" si="0"/>
        <v>L01</v>
      </c>
      <c r="B14" s="234" t="str">
        <f t="shared" si="1"/>
        <v>Muc 1.1</v>
      </c>
      <c r="C14" s="235">
        <v>1</v>
      </c>
      <c r="D14" s="236" t="s">
        <v>130</v>
      </c>
      <c r="E14" s="237">
        <v>25</v>
      </c>
      <c r="F14" s="237">
        <v>35</v>
      </c>
      <c r="G14" s="237" t="str">
        <f>IFERROR(IF((($K$6*2)+($L$6*2))&lt;0,0,($K$6*2)+($L$6*2)),"")</f>
        <v/>
      </c>
      <c r="H14" s="237" t="str">
        <f>+IFERROR(2*K7,"")</f>
        <v/>
      </c>
      <c r="I14" s="236" t="s">
        <v>131</v>
      </c>
      <c r="J14" s="238"/>
      <c r="K14" s="239"/>
      <c r="L14" s="240" t="s">
        <v>132</v>
      </c>
      <c r="M14" s="241" t="str">
        <f>IFERROR(IF(OR(L14="Con",L14="Cụm",L14="Hệ"),H14,IF(L14="Thanh",(G14*H14/2400),IF(L14="Tấm",(F14*G14*H14)/(1220*2440),IF(L14="M2",F14*G14*H14/10^6,IF(L14="M3",E14*F14*G14*H14/10^9,0))))),"")</f>
        <v/>
      </c>
      <c r="N14" s="242">
        <f t="shared" ref="N14:N27" si="3">IF(O14="IN",$Q$3,"")</f>
        <v>1</v>
      </c>
      <c r="O14" s="242" t="str">
        <f t="shared" si="2"/>
        <v>IN</v>
      </c>
      <c r="P14" s="243"/>
      <c r="Q14" s="242"/>
      <c r="R14" s="243"/>
    </row>
    <row r="15" spans="1:29" s="244" customFormat="1" ht="39.950000000000003" customHeight="1">
      <c r="A15" s="234" t="str">
        <f t="shared" si="0"/>
        <v>L01</v>
      </c>
      <c r="B15" s="234" t="str">
        <f t="shared" si="1"/>
        <v>Muc 1.1</v>
      </c>
      <c r="C15" s="235">
        <v>2</v>
      </c>
      <c r="D15" s="245" t="s">
        <v>133</v>
      </c>
      <c r="E15" s="246">
        <v>25</v>
      </c>
      <c r="F15" s="237">
        <v>35</v>
      </c>
      <c r="G15" s="237" t="str">
        <f>IFERROR(IF($M$6-$F$14-$F$14&lt;0,0,$M$6-$F$14-$F$14),"")</f>
        <v/>
      </c>
      <c r="H15" s="237" t="str">
        <f>+IFERROR(4*K7,"")</f>
        <v/>
      </c>
      <c r="I15" s="239" t="s">
        <v>131</v>
      </c>
      <c r="J15" s="238"/>
      <c r="K15" s="239"/>
      <c r="L15" s="240" t="s">
        <v>132</v>
      </c>
      <c r="M15" s="241" t="str">
        <f>IFERROR(IF(OR(L15="Con",L15="Cụm",L15="Hệ"),H15,IF(L15="Thanh",(G15*H15/2400),IF(L15="Tấm",(F15*G15*H15)/(1220*2440),IF(L15="M2",F15*G15*H15/10^6,IF(L15="M3",E15*F15*G15*H15/10^9,0))))),"")</f>
        <v/>
      </c>
      <c r="N15" s="242">
        <f t="shared" si="3"/>
        <v>1</v>
      </c>
      <c r="O15" s="242" t="str">
        <f t="shared" si="2"/>
        <v>IN</v>
      </c>
      <c r="P15" s="243"/>
      <c r="Q15" s="242"/>
      <c r="R15" s="243"/>
      <c r="X15" s="233"/>
      <c r="Y15" s="233"/>
      <c r="Z15" s="233"/>
    </row>
    <row r="16" spans="1:29" s="244" customFormat="1" ht="39.950000000000003" customHeight="1">
      <c r="A16" s="234" t="str">
        <f t="shared" si="0"/>
        <v>L01</v>
      </c>
      <c r="B16" s="234" t="str">
        <f t="shared" si="1"/>
        <v>Muc 1.1</v>
      </c>
      <c r="C16" s="235">
        <v>3</v>
      </c>
      <c r="D16" s="245" t="s">
        <v>134</v>
      </c>
      <c r="E16" s="246"/>
      <c r="F16" s="237"/>
      <c r="G16" s="237"/>
      <c r="H16" s="237"/>
      <c r="I16" s="239" t="s">
        <v>135</v>
      </c>
      <c r="J16" s="238"/>
      <c r="K16" s="239"/>
      <c r="L16" s="240" t="s">
        <v>136</v>
      </c>
      <c r="M16" s="241" t="str">
        <f>IFERROR(($K$6*$L$6*4+$L$6*$M$6*2)*10^-6*1.3/0.5*$K$7,"")</f>
        <v/>
      </c>
      <c r="N16" s="242">
        <f t="shared" si="3"/>
        <v>1</v>
      </c>
      <c r="O16" s="242" t="str">
        <f t="shared" si="2"/>
        <v>IN</v>
      </c>
      <c r="P16" s="243"/>
      <c r="Q16" s="242"/>
      <c r="R16" s="243"/>
      <c r="X16" s="233"/>
      <c r="Y16" s="233"/>
      <c r="Z16" s="233"/>
    </row>
    <row r="17" spans="1:26" s="244" customFormat="1" ht="39.950000000000003" customHeight="1">
      <c r="A17" s="234" t="str">
        <f t="shared" si="0"/>
        <v>L01</v>
      </c>
      <c r="B17" s="234" t="str">
        <f t="shared" si="1"/>
        <v>Muc 1.1</v>
      </c>
      <c r="C17" s="235">
        <v>4</v>
      </c>
      <c r="D17" s="245" t="s">
        <v>137</v>
      </c>
      <c r="E17" s="246"/>
      <c r="F17" s="237"/>
      <c r="G17" s="237"/>
      <c r="H17" s="237"/>
      <c r="I17" s="239" t="s">
        <v>138</v>
      </c>
      <c r="J17" s="238"/>
      <c r="K17" s="239"/>
      <c r="L17" s="240" t="s">
        <v>136</v>
      </c>
      <c r="M17" s="241" t="str">
        <f>IFERROR(($K$6*$L$6*4+$L$6*$M$6*2)*10^-6*1.3/1.2*$K$7,"")</f>
        <v/>
      </c>
      <c r="N17" s="242">
        <f t="shared" si="3"/>
        <v>1</v>
      </c>
      <c r="O17" s="242" t="str">
        <f t="shared" si="2"/>
        <v>IN</v>
      </c>
      <c r="P17" s="243"/>
      <c r="Q17" s="242"/>
      <c r="R17" s="243"/>
      <c r="X17" s="233"/>
      <c r="Y17" s="233"/>
      <c r="Z17" s="233"/>
    </row>
    <row r="18" spans="1:26" s="244" customFormat="1" ht="39.950000000000003" customHeight="1">
      <c r="A18" s="234" t="str">
        <f t="shared" si="0"/>
        <v>L01</v>
      </c>
      <c r="B18" s="234" t="str">
        <f t="shared" si="1"/>
        <v>Muc 1.1</v>
      </c>
      <c r="C18" s="235">
        <v>5</v>
      </c>
      <c r="D18" s="245" t="s">
        <v>139</v>
      </c>
      <c r="E18" s="246"/>
      <c r="F18" s="237"/>
      <c r="G18" s="237"/>
      <c r="H18" s="237"/>
      <c r="I18" s="239" t="s">
        <v>140</v>
      </c>
      <c r="J18" s="238"/>
      <c r="K18" s="239"/>
      <c r="L18" s="240" t="s">
        <v>136</v>
      </c>
      <c r="M18" s="241" t="str">
        <f>IFERROR(($K$6*2+$L$6*2+200*16)*10^-3*$K$7,"")</f>
        <v/>
      </c>
      <c r="N18" s="242">
        <f t="shared" si="3"/>
        <v>1</v>
      </c>
      <c r="O18" s="242" t="str">
        <f t="shared" si="2"/>
        <v>IN</v>
      </c>
      <c r="P18" s="243"/>
      <c r="Q18" s="242"/>
      <c r="R18" s="243"/>
      <c r="X18" s="233"/>
      <c r="Y18" s="233"/>
      <c r="Z18" s="233"/>
    </row>
    <row r="19" spans="1:26" s="244" customFormat="1" ht="39.950000000000003" hidden="1" customHeight="1">
      <c r="A19" s="234" t="str">
        <f t="shared" si="0"/>
        <v/>
      </c>
      <c r="B19" s="234" t="str">
        <f t="shared" si="1"/>
        <v/>
      </c>
      <c r="C19" s="235"/>
      <c r="D19" s="245"/>
      <c r="E19" s="246"/>
      <c r="F19" s="237"/>
      <c r="G19" s="237"/>
      <c r="H19" s="237"/>
      <c r="I19" s="239"/>
      <c r="J19" s="238"/>
      <c r="K19" s="239"/>
      <c r="L19" s="240"/>
      <c r="M19" s="241">
        <f t="shared" ref="M19:M26" si="4">IF(OR(L19="Con",L19="Cụm",L19="Hệ"),H19,IF(L19="Thanh",(G19*H19/2400),IF(L19="Tấm",(F19*G19*H19)/(1220*2440),IF(L19="Md",G19*H19/1000,IF(L19="M2",F19*G19*H19/10^6,IF(L19="M3",E19*F19*G19*H19/10^9,0))))))</f>
        <v>0</v>
      </c>
      <c r="N19" s="242" t="str">
        <f t="shared" si="3"/>
        <v/>
      </c>
      <c r="O19" s="242" t="str">
        <f t="shared" si="2"/>
        <v/>
      </c>
      <c r="P19" s="243"/>
      <c r="Q19" s="242"/>
      <c r="R19" s="243"/>
      <c r="X19" s="233"/>
      <c r="Y19" s="233"/>
      <c r="Z19" s="233"/>
    </row>
    <row r="20" spans="1:26" s="244" customFormat="1" ht="39.950000000000003" hidden="1" customHeight="1" thickBot="1">
      <c r="A20" s="234" t="str">
        <f t="shared" si="0"/>
        <v/>
      </c>
      <c r="B20" s="234" t="str">
        <f t="shared" si="1"/>
        <v/>
      </c>
      <c r="C20" s="235"/>
      <c r="D20" s="245"/>
      <c r="E20" s="246"/>
      <c r="F20" s="237"/>
      <c r="G20" s="237"/>
      <c r="H20" s="237"/>
      <c r="I20" s="239"/>
      <c r="J20" s="238"/>
      <c r="K20" s="239"/>
      <c r="L20" s="240"/>
      <c r="M20" s="241">
        <f t="shared" si="4"/>
        <v>0</v>
      </c>
      <c r="N20" s="242" t="str">
        <f t="shared" si="3"/>
        <v/>
      </c>
      <c r="O20" s="242" t="str">
        <f t="shared" si="2"/>
        <v/>
      </c>
      <c r="P20" s="243"/>
      <c r="Q20" s="242"/>
      <c r="R20" s="243"/>
      <c r="X20" s="233"/>
      <c r="Y20" s="233"/>
      <c r="Z20" s="233"/>
    </row>
    <row r="21" spans="1:26" s="244" customFormat="1" ht="39.950000000000003" hidden="1" customHeight="1" thickBot="1">
      <c r="A21" s="234" t="str">
        <f t="shared" si="0"/>
        <v/>
      </c>
      <c r="B21" s="234" t="str">
        <f t="shared" si="1"/>
        <v/>
      </c>
      <c r="C21" s="247"/>
      <c r="D21" s="245"/>
      <c r="E21" s="246"/>
      <c r="F21" s="237"/>
      <c r="G21" s="237"/>
      <c r="H21" s="237"/>
      <c r="I21" s="239"/>
      <c r="J21" s="238"/>
      <c r="K21" s="239"/>
      <c r="L21" s="240"/>
      <c r="M21" s="241">
        <f t="shared" si="4"/>
        <v>0</v>
      </c>
      <c r="N21" s="242" t="str">
        <f t="shared" si="3"/>
        <v/>
      </c>
      <c r="O21" s="242" t="str">
        <f t="shared" si="2"/>
        <v/>
      </c>
      <c r="P21" s="243"/>
      <c r="Q21" s="242"/>
      <c r="R21" s="243"/>
      <c r="X21" s="233"/>
      <c r="Y21" s="233"/>
      <c r="Z21" s="233"/>
    </row>
    <row r="22" spans="1:26" s="233" customFormat="1" ht="39.950000000000003" hidden="1" customHeight="1" thickBot="1">
      <c r="A22" s="224" t="str">
        <f t="shared" si="0"/>
        <v/>
      </c>
      <c r="B22" s="224" t="str">
        <f t="shared" si="1"/>
        <v/>
      </c>
      <c r="C22" s="237"/>
      <c r="D22" s="236"/>
      <c r="E22" s="237"/>
      <c r="F22" s="237"/>
      <c r="G22" s="237"/>
      <c r="H22" s="237"/>
      <c r="I22" s="236"/>
      <c r="J22" s="236"/>
      <c r="K22" s="239"/>
      <c r="L22" s="240"/>
      <c r="M22" s="241">
        <f t="shared" si="4"/>
        <v>0</v>
      </c>
      <c r="N22" s="232" t="str">
        <f t="shared" si="3"/>
        <v/>
      </c>
      <c r="O22" s="232" t="str">
        <f t="shared" si="2"/>
        <v/>
      </c>
      <c r="P22" s="110"/>
      <c r="Q22" s="232"/>
      <c r="R22" s="110"/>
    </row>
    <row r="23" spans="1:26" s="233" customFormat="1" ht="39.950000000000003" hidden="1" customHeight="1" thickBot="1">
      <c r="A23" s="224" t="str">
        <f t="shared" si="0"/>
        <v/>
      </c>
      <c r="B23" s="224" t="str">
        <f t="shared" si="1"/>
        <v/>
      </c>
      <c r="C23" s="248"/>
      <c r="D23" s="249"/>
      <c r="E23" s="248"/>
      <c r="F23" s="248"/>
      <c r="G23" s="248"/>
      <c r="H23" s="248"/>
      <c r="I23" s="249"/>
      <c r="J23" s="236"/>
      <c r="K23" s="239"/>
      <c r="L23" s="240"/>
      <c r="M23" s="241">
        <f t="shared" si="4"/>
        <v>0</v>
      </c>
      <c r="N23" s="232" t="str">
        <f t="shared" si="3"/>
        <v/>
      </c>
      <c r="O23" s="232" t="str">
        <f t="shared" si="2"/>
        <v/>
      </c>
      <c r="P23" s="110"/>
      <c r="Q23" s="232"/>
      <c r="R23" s="110"/>
    </row>
    <row r="24" spans="1:26" s="233" customFormat="1" ht="39.950000000000003" hidden="1" customHeight="1" thickBot="1">
      <c r="A24" s="224" t="str">
        <f t="shared" si="0"/>
        <v/>
      </c>
      <c r="B24" s="224" t="str">
        <f t="shared" si="1"/>
        <v/>
      </c>
      <c r="C24" s="237"/>
      <c r="D24" s="236"/>
      <c r="E24" s="237"/>
      <c r="F24" s="237"/>
      <c r="G24" s="237"/>
      <c r="H24" s="237"/>
      <c r="I24" s="236"/>
      <c r="J24" s="236"/>
      <c r="K24" s="239"/>
      <c r="L24" s="240"/>
      <c r="M24" s="241">
        <f t="shared" si="4"/>
        <v>0</v>
      </c>
      <c r="N24" s="232" t="str">
        <f t="shared" si="3"/>
        <v/>
      </c>
      <c r="O24" s="232" t="str">
        <f t="shared" si="2"/>
        <v/>
      </c>
      <c r="P24" s="110"/>
      <c r="Q24" s="232"/>
      <c r="R24" s="110"/>
    </row>
    <row r="25" spans="1:26" s="233" customFormat="1" ht="39.950000000000003" hidden="1" customHeight="1" thickBot="1">
      <c r="A25" s="224" t="str">
        <f t="shared" si="0"/>
        <v/>
      </c>
      <c r="B25" s="224" t="str">
        <f t="shared" si="1"/>
        <v/>
      </c>
      <c r="C25" s="248"/>
      <c r="D25" s="249"/>
      <c r="E25" s="248"/>
      <c r="F25" s="248"/>
      <c r="G25" s="248"/>
      <c r="H25" s="248"/>
      <c r="I25" s="249"/>
      <c r="J25" s="236"/>
      <c r="K25" s="239"/>
      <c r="L25" s="240"/>
      <c r="M25" s="241">
        <f t="shared" si="4"/>
        <v>0</v>
      </c>
      <c r="N25" s="232" t="str">
        <f t="shared" si="3"/>
        <v/>
      </c>
      <c r="O25" s="232" t="str">
        <f t="shared" si="2"/>
        <v/>
      </c>
      <c r="P25" s="110"/>
      <c r="Q25" s="232"/>
      <c r="R25" s="110"/>
    </row>
    <row r="26" spans="1:26" s="233" customFormat="1" ht="39.950000000000003" hidden="1" customHeight="1" thickBot="1">
      <c r="A26" s="224" t="str">
        <f t="shared" si="0"/>
        <v/>
      </c>
      <c r="B26" s="224" t="str">
        <f t="shared" si="1"/>
        <v/>
      </c>
      <c r="C26" s="248"/>
      <c r="D26" s="249"/>
      <c r="E26" s="248"/>
      <c r="F26" s="248"/>
      <c r="G26" s="248"/>
      <c r="H26" s="248"/>
      <c r="I26" s="249"/>
      <c r="J26" s="236"/>
      <c r="K26" s="239" t="s">
        <v>185</v>
      </c>
      <c r="L26" s="240"/>
      <c r="M26" s="241">
        <f t="shared" si="4"/>
        <v>0</v>
      </c>
      <c r="N26" s="232" t="str">
        <f t="shared" si="3"/>
        <v/>
      </c>
      <c r="O26" s="232" t="str">
        <f t="shared" si="2"/>
        <v/>
      </c>
      <c r="P26" s="110"/>
      <c r="Q26" s="232"/>
      <c r="R26" s="110"/>
    </row>
    <row r="27" spans="1:26" s="233" customFormat="1" ht="35.1" customHeight="1" thickBot="1">
      <c r="A27" s="224" t="str">
        <f t="shared" si="0"/>
        <v>L01</v>
      </c>
      <c r="B27" s="224" t="str">
        <f t="shared" si="1"/>
        <v>Muc 1.1</v>
      </c>
      <c r="C27" s="250"/>
      <c r="D27" s="251" t="s">
        <v>38</v>
      </c>
      <c r="E27" s="252"/>
      <c r="F27" s="252"/>
      <c r="G27" s="252"/>
      <c r="H27" s="252"/>
      <c r="I27" s="252"/>
      <c r="J27" s="253"/>
      <c r="K27" s="254"/>
      <c r="L27" s="255"/>
      <c r="M27" s="255"/>
      <c r="N27" s="232">
        <f t="shared" si="3"/>
        <v>1</v>
      </c>
      <c r="O27" s="232" t="str">
        <f t="shared" si="2"/>
        <v>IN</v>
      </c>
      <c r="P27" s="110"/>
      <c r="Q27" s="232"/>
      <c r="R27" s="110"/>
    </row>
    <row r="28" spans="1:26" ht="27" customHeight="1">
      <c r="D28" s="82" t="s">
        <v>45</v>
      </c>
      <c r="E28" s="34"/>
      <c r="F28" s="34"/>
      <c r="G28" s="34"/>
      <c r="H28" s="34"/>
      <c r="I28" s="34"/>
      <c r="J28" s="8"/>
      <c r="K28" s="34"/>
      <c r="L28" s="34"/>
      <c r="M28" s="34"/>
      <c r="N28" s="8"/>
      <c r="O28" s="69" t="s">
        <v>75</v>
      </c>
      <c r="P28" s="32"/>
      <c r="Q28" s="32"/>
      <c r="R28" s="32"/>
    </row>
    <row r="29" spans="1:26" ht="25.35" customHeight="1">
      <c r="C29" s="3"/>
      <c r="D29" s="35"/>
      <c r="E29" s="9"/>
      <c r="F29" s="36"/>
      <c r="G29" s="37"/>
      <c r="H29" s="36"/>
      <c r="I29" s="36"/>
      <c r="J29" s="11"/>
      <c r="K29" s="71" t="str">
        <f ca="1">"Ngày "&amp;DAY(NOW())&amp;" tháng "&amp;MONTH(NOW())&amp;" năm "&amp;YEAR(NOW())</f>
        <v>Ngày 17 tháng 6 năm 2026</v>
      </c>
      <c r="L29" s="8"/>
      <c r="M29" s="8"/>
      <c r="N29" s="11"/>
      <c r="O29" s="69" t="s">
        <v>75</v>
      </c>
      <c r="P29" s="32"/>
      <c r="Q29" s="32"/>
      <c r="R29" s="32"/>
    </row>
    <row r="30" spans="1:26" ht="25.35" customHeight="1">
      <c r="C30" s="3"/>
      <c r="D30" s="3"/>
      <c r="E30" s="9"/>
      <c r="F30" s="36"/>
      <c r="G30" s="71" t="s">
        <v>49</v>
      </c>
      <c r="H30" s="36"/>
      <c r="I30" s="36"/>
      <c r="J30" s="11"/>
      <c r="K30" s="71" t="s">
        <v>57</v>
      </c>
      <c r="L30" s="8"/>
      <c r="M30" s="8"/>
      <c r="N30" s="11"/>
      <c r="O30" s="69" t="s">
        <v>75</v>
      </c>
      <c r="P30" s="32"/>
      <c r="Q30" s="32"/>
      <c r="R30" s="32"/>
    </row>
    <row r="31" spans="1:26" ht="25.35" customHeight="1">
      <c r="C31" s="3"/>
      <c r="D31" s="3"/>
      <c r="E31" s="9"/>
      <c r="F31" s="36"/>
      <c r="G31" s="42"/>
      <c r="H31" s="36"/>
      <c r="I31" s="36"/>
      <c r="J31" s="11"/>
      <c r="K31" s="37"/>
      <c r="L31" s="8"/>
      <c r="M31" s="8"/>
      <c r="N31" s="11"/>
      <c r="O31" s="69" t="s">
        <v>75</v>
      </c>
      <c r="P31" s="32"/>
      <c r="Q31" s="32"/>
      <c r="R31" s="32"/>
    </row>
    <row r="32" spans="1:26" ht="25.35" customHeight="1">
      <c r="C32" s="3"/>
      <c r="D32" s="3"/>
      <c r="E32" s="9"/>
      <c r="F32" s="36"/>
      <c r="G32" s="42"/>
      <c r="H32" s="36"/>
      <c r="I32" s="36"/>
      <c r="J32" s="11"/>
      <c r="K32" s="37"/>
      <c r="L32" s="8"/>
      <c r="M32" s="8"/>
      <c r="N32" s="11"/>
      <c r="O32" s="69" t="s">
        <v>75</v>
      </c>
      <c r="P32" s="32"/>
      <c r="Q32" s="32"/>
      <c r="R32" s="32"/>
    </row>
    <row r="33" spans="3:18" ht="25.35" customHeight="1">
      <c r="C33" s="3"/>
      <c r="D33" s="3"/>
      <c r="E33" s="9"/>
      <c r="F33" s="36"/>
      <c r="G33" s="38"/>
      <c r="H33" s="36"/>
      <c r="I33" s="38"/>
      <c r="J33" s="11"/>
      <c r="K33" s="37"/>
      <c r="L33" s="8"/>
      <c r="M33" s="8"/>
      <c r="N33" s="11"/>
      <c r="O33" s="69" t="s">
        <v>75</v>
      </c>
      <c r="P33" s="32"/>
      <c r="Q33" s="32"/>
      <c r="R33" s="32"/>
    </row>
    <row r="34" spans="3:18" ht="25.35" customHeight="1">
      <c r="C34" s="3"/>
      <c r="D34" s="3"/>
      <c r="E34" s="9"/>
      <c r="F34" s="36"/>
      <c r="G34" s="37" t="s">
        <v>46</v>
      </c>
      <c r="H34" s="36"/>
      <c r="I34" s="40"/>
      <c r="J34" s="11"/>
      <c r="K34" s="37" t="str">
        <f>'BOM_Phan II'!P241</f>
        <v>Nguyễn Tân Hồng</v>
      </c>
      <c r="L34" s="8"/>
      <c r="M34" s="8"/>
      <c r="N34" s="11"/>
      <c r="O34" s="69" t="s">
        <v>75</v>
      </c>
      <c r="P34" s="32"/>
      <c r="Q34" s="32"/>
      <c r="R34" s="32"/>
    </row>
    <row r="35" spans="3:18" ht="25.35" customHeight="1">
      <c r="C35" s="3"/>
      <c r="D35" s="3"/>
      <c r="E35" s="9"/>
      <c r="F35" s="36"/>
      <c r="G35" s="37"/>
      <c r="H35" s="36"/>
      <c r="I35" s="36"/>
      <c r="J35" s="11"/>
      <c r="K35" s="36"/>
      <c r="L35" s="8"/>
      <c r="M35" s="8"/>
      <c r="N35" s="11"/>
    </row>
    <row r="36" spans="3:18" ht="25.35" customHeight="1">
      <c r="C36" s="43"/>
      <c r="D36" s="43"/>
      <c r="E36" s="9"/>
      <c r="F36" s="36"/>
      <c r="G36" s="37"/>
      <c r="H36" s="36"/>
      <c r="I36" s="36"/>
      <c r="J36" s="11"/>
      <c r="K36" s="36"/>
      <c r="L36" s="8"/>
      <c r="M36" s="8"/>
      <c r="N36" s="11"/>
    </row>
    <row r="37" spans="3:18" ht="25.35" customHeight="1">
      <c r="C37" s="3"/>
      <c r="D37" s="3"/>
      <c r="E37" s="9"/>
      <c r="F37" s="36"/>
      <c r="G37" s="37"/>
      <c r="H37" s="36"/>
      <c r="I37" s="36"/>
      <c r="J37" s="11"/>
      <c r="K37" s="36"/>
      <c r="L37" s="8"/>
      <c r="M37" s="8"/>
      <c r="N37" s="11"/>
    </row>
    <row r="38" spans="3:18" ht="25.35" customHeight="1">
      <c r="C38" s="3"/>
      <c r="D38" s="3"/>
      <c r="E38" s="9"/>
      <c r="F38" s="44"/>
      <c r="G38" s="99"/>
      <c r="H38" s="44"/>
      <c r="I38" s="8"/>
      <c r="J38" s="45"/>
      <c r="K38" s="44"/>
      <c r="L38" s="8"/>
      <c r="M38" s="8"/>
      <c r="N38" s="45"/>
    </row>
  </sheetData>
  <sheetProtection formatCells="0" formatColumns="0" formatRows="0" insertColumns="0" insertRows="0" insertHyperlinks="0" deleteColumns="0" deleteRows="0" sort="0" autoFilter="0" pivotTables="0"/>
  <autoFilter ref="C12:O34" xr:uid="{842A61C4-7B4F-41B1-8FE6-0A0C645AF4DB}">
    <filterColumn colId="12">
      <customFilters>
        <customFilter operator="notEqual" val=" "/>
      </customFilters>
    </filterColumn>
  </autoFilter>
  <mergeCells count="26">
    <mergeCell ref="C8:D8"/>
    <mergeCell ref="C1:E3"/>
    <mergeCell ref="F1:J3"/>
    <mergeCell ref="L1:M1"/>
    <mergeCell ref="P1:R2"/>
    <mergeCell ref="L2:M2"/>
    <mergeCell ref="L3:M3"/>
    <mergeCell ref="C4:D4"/>
    <mergeCell ref="C5:D6"/>
    <mergeCell ref="E5:I6"/>
    <mergeCell ref="J5:J6"/>
    <mergeCell ref="C7:D7"/>
    <mergeCell ref="A11:A12"/>
    <mergeCell ref="B11:B12"/>
    <mergeCell ref="C11:C12"/>
    <mergeCell ref="D11:D12"/>
    <mergeCell ref="E11:G11"/>
    <mergeCell ref="K11:K12"/>
    <mergeCell ref="L11:L12"/>
    <mergeCell ref="M11:M12"/>
    <mergeCell ref="N11:N12"/>
    <mergeCell ref="C9:D9"/>
    <mergeCell ref="C10:M10"/>
    <mergeCell ref="H11:H12"/>
    <mergeCell ref="I11:I12"/>
    <mergeCell ref="J11:J12"/>
  </mergeCells>
  <conditionalFormatting sqref="K14:L26">
    <cfRule type="expression" dxfId="3" priority="4">
      <formula>K14="LỖI DỮ LIỆU"</formula>
    </cfRule>
  </conditionalFormatting>
  <conditionalFormatting sqref="K14:M26">
    <cfRule type="cellIs" dxfId="2" priority="2" operator="equal">
      <formula>0</formula>
    </cfRule>
  </conditionalFormatting>
  <conditionalFormatting sqref="M14:M26">
    <cfRule type="cellIs" dxfId="1" priority="1" operator="equal">
      <formula>0</formula>
    </cfRule>
    <cfRule type="cellIs" dxfId="0" priority="3" operator="equal">
      <formula>0</formula>
    </cfRule>
  </conditionalFormatting>
  <dataValidations disablePrompts="1" count="3">
    <dataValidation type="list" allowBlank="1" showInputMessage="1" showErrorMessage="1" sqref="L25:L26 L23" xr:uid="{56B2782B-8BED-40E5-89C2-B0374B6821D8}">
      <formula1>$Z$4:$Z$7</formula1>
    </dataValidation>
    <dataValidation type="list" allowBlank="1" showInputMessage="1" showErrorMessage="1" sqref="L27" xr:uid="{64F92BD9-930D-4D00-8C2F-8CAD17CA342D}">
      <formula1>$W$2:$W$10</formula1>
    </dataValidation>
    <dataValidation type="list" allowBlank="1" showInputMessage="1" showErrorMessage="1" sqref="G34" xr:uid="{4F543280-A075-46C2-A45B-596844AE3E92}">
      <formula1>$Y$2:$Y$3</formula1>
    </dataValidation>
  </dataValidations>
  <printOptions horizontalCentered="1"/>
  <pageMargins left="0" right="0" top="0.25" bottom="0.25" header="0" footer="0"/>
  <pageSetup paperSize="9" scale="52" orientation="landscape" r:id="rId1"/>
  <headerFooter scaleWithDoc="0" alignWithMargins="0">
    <oddFooter>Page &amp;P of &amp;N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1DB6DF7E08AB94D98714D3002DE72D0" ma:contentTypeVersion="17" ma:contentTypeDescription="Create a new document." ma:contentTypeScope="" ma:versionID="f5e872d977b968de65883f935a6347a3">
  <xsd:schema xmlns:xsd="http://www.w3.org/2001/XMLSchema" xmlns:xs="http://www.w3.org/2001/XMLSchema" xmlns:p="http://schemas.microsoft.com/office/2006/metadata/properties" xmlns:ns2="07b95c77-6beb-4ae5-ab6d-bc099c36d6c2" xmlns:ns3="3e5303d1-32c5-42a9-b32d-584a3f75658d" targetNamespace="http://schemas.microsoft.com/office/2006/metadata/properties" ma:root="true" ma:fieldsID="189bf4694413db4982458f90974e7cf6" ns2:_="" ns3:_="">
    <xsd:import namespace="07b95c77-6beb-4ae5-ab6d-bc099c36d6c2"/>
    <xsd:import namespace="3e5303d1-32c5-42a9-b32d-584a3f75658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7b95c77-6beb-4ae5-ab6d-bc099c36d6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73526d1e-3cf2-4c11-b890-9cf8d77efef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5303d1-32c5-42a9-b32d-584a3f75658d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a223d4ac-93bf-4551-842a-e39211a1d73e}" ma:internalName="TaxCatchAll" ma:showField="CatchAllData" ma:web="3e5303d1-32c5-42a9-b32d-584a3f75658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7b95c77-6beb-4ae5-ab6d-bc099c36d6c2">
      <Terms xmlns="http://schemas.microsoft.com/office/infopath/2007/PartnerControls"/>
    </lcf76f155ced4ddcb4097134ff3c332f>
    <TaxCatchAll xmlns="3e5303d1-32c5-42a9-b32d-584a3f75658d" xsi:nil="true"/>
  </documentManagement>
</p:properties>
</file>

<file path=customXml/itemProps1.xml><?xml version="1.0" encoding="utf-8"?>
<ds:datastoreItem xmlns:ds="http://schemas.openxmlformats.org/officeDocument/2006/customXml" ds:itemID="{F07858DC-24B5-458F-BB39-E3E812BE13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7b95c77-6beb-4ae5-ab6d-bc099c36d6c2"/>
    <ds:schemaRef ds:uri="3e5303d1-32c5-42a9-b32d-584a3f75658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9572A57-A550-4B09-9E8A-AC4A8B935FE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16576ED-50C9-418F-9BC4-2AAEC2FF8A5C}">
  <ds:schemaRefs>
    <ds:schemaRef ds:uri="http://schemas.microsoft.com/office/2006/metadata/properties"/>
    <ds:schemaRef ds:uri="http://www.w3.org/2000/xmlns/"/>
    <ds:schemaRef ds:uri="http://schemas.microsoft.com/office/infopath/2007/PartnerControls"/>
    <ds:schemaRef ds:uri="07b95c77-6beb-4ae5-ab6d-bc099c36d6c2"/>
    <ds:schemaRef ds:uri="3e5303d1-32c5-42a9-b32d-584a3f75658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47</vt:i4>
      </vt:variant>
    </vt:vector>
  </HeadingPairs>
  <TitlesOfParts>
    <vt:vector size="60" baseType="lpstr">
      <vt:lpstr>BOM_Phan I</vt:lpstr>
      <vt:lpstr>BOM_Phan II</vt:lpstr>
      <vt:lpstr>BOM_Phan III</vt:lpstr>
      <vt:lpstr>BOM_Phan IV</vt:lpstr>
      <vt:lpstr>TC_CUA</vt:lpstr>
      <vt:lpstr>TC_KH</vt:lpstr>
      <vt:lpstr>LOẠI 1</vt:lpstr>
      <vt:lpstr>LOẠI 2</vt:lpstr>
      <vt:lpstr>BOM_Phan V</vt:lpstr>
      <vt:lpstr>LOẠI 4</vt:lpstr>
      <vt:lpstr>LOẠI 5 AIR</vt:lpstr>
      <vt:lpstr>LOẠI 5 PALEET</vt:lpstr>
      <vt:lpstr>LOẠI 6</vt:lpstr>
      <vt:lpstr>'BOM_Phan IV'!BTP_CƠ_KHÍ</vt:lpstr>
      <vt:lpstr>BTP_CƠ_KHÍ</vt:lpstr>
      <vt:lpstr>'BOM_Phan IV'!NHÓM_CHỈ_CẠNH</vt:lpstr>
      <vt:lpstr>NHÓM_CHỈ_CẠNH</vt:lpstr>
      <vt:lpstr>PHỤ_KIỆN</vt:lpstr>
      <vt:lpstr>'BOM_Phan I'!Print_Area</vt:lpstr>
      <vt:lpstr>'BOM_Phan II'!Print_Area</vt:lpstr>
      <vt:lpstr>'BOM_Phan III'!Print_Area</vt:lpstr>
      <vt:lpstr>'BOM_Phan IV'!Print_Area</vt:lpstr>
      <vt:lpstr>'BOM_Phan V'!Print_Area</vt:lpstr>
      <vt:lpstr>'LOẠI 1'!Print_Area</vt:lpstr>
      <vt:lpstr>'LOẠI 2'!Print_Area</vt:lpstr>
      <vt:lpstr>'LOẠI 4'!Print_Area</vt:lpstr>
      <vt:lpstr>'LOẠI 5 AIR'!Print_Area</vt:lpstr>
      <vt:lpstr>'LOẠI 5 PALEET'!Print_Area</vt:lpstr>
      <vt:lpstr>'LOẠI 6'!Print_Area</vt:lpstr>
      <vt:lpstr>TC_CUA!Print_Area</vt:lpstr>
      <vt:lpstr>TC_KH!Print_Area</vt:lpstr>
      <vt:lpstr>'BOM_Phan II'!Print_Titles</vt:lpstr>
      <vt:lpstr>'BOM_Phan III'!Print_Titles</vt:lpstr>
      <vt:lpstr>'BOM_Phan IV'!Print_Titles</vt:lpstr>
      <vt:lpstr>'BOM_Phan V'!Print_Titles</vt:lpstr>
      <vt:lpstr>'LOẠI 1'!Print_Titles</vt:lpstr>
      <vt:lpstr>'LOẠI 2'!Print_Titles</vt:lpstr>
      <vt:lpstr>'LOẠI 4'!Print_Titles</vt:lpstr>
      <vt:lpstr>'LOẠI 5 AIR'!Print_Titles</vt:lpstr>
      <vt:lpstr>'LOẠI 5 PALEET'!Print_Titles</vt:lpstr>
      <vt:lpstr>'LOẠI 6'!Print_Titles</vt:lpstr>
      <vt:lpstr>TC_CUA!Print_Titles</vt:lpstr>
      <vt:lpstr>TC_KH!Print_Titles</vt:lpstr>
      <vt:lpstr>THẦU_PHỤ_GIA_CÔNG</vt:lpstr>
      <vt:lpstr>'BOM_Phan IV'!VẬT_TƯ_CƠ_KHÍ</vt:lpstr>
      <vt:lpstr>VẬT_TƯ_CƠ_KHÍ</vt:lpstr>
      <vt:lpstr>VẬT_TƯ_FOAM_SOFA</vt:lpstr>
      <vt:lpstr>'BOM_Phan V'!VẬT_TƯ_GỖ__VẬT_TƯ_TẤM</vt:lpstr>
      <vt:lpstr>'LOẠI 1'!VẬT_TƯ_GỖ__VẬT_TƯ_TẤM</vt:lpstr>
      <vt:lpstr>'LOẠI 2'!VẬT_TƯ_GỖ__VẬT_TƯ_TẤM</vt:lpstr>
      <vt:lpstr>'LOẠI 4'!VẬT_TƯ_GỖ__VẬT_TƯ_TẤM</vt:lpstr>
      <vt:lpstr>'LOẠI 5 AIR'!VẬT_TƯ_GỖ__VẬT_TƯ_TẤM</vt:lpstr>
      <vt:lpstr>'LOẠI 5 PALEET'!VẬT_TƯ_GỖ__VẬT_TƯ_TẤM</vt:lpstr>
      <vt:lpstr>'LOẠI 6'!VẬT_TƯ_GỖ__VẬT_TƯ_TẤM</vt:lpstr>
      <vt:lpstr>TC_CUA!VẬT_TƯ_GỖ__VẬT_TƯ_TẤM</vt:lpstr>
      <vt:lpstr>TC_KH!VẬT_TƯ_GỖ__VẬT_TƯ_TẤM</vt:lpstr>
      <vt:lpstr>VẬT_TƯ_GỖ__VẬT_TƯ_TẤM</vt:lpstr>
      <vt:lpstr>'BOM_Phan IV'!VẬT_TƯ_PHỤ</vt:lpstr>
      <vt:lpstr>VẬT_TƯ_PHỤ</vt:lpstr>
      <vt:lpstr>VẬT_TƯ_VẢI__DA__SIMILI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LE DAVIT</cp:lastModifiedBy>
  <cp:lastPrinted>2026-03-05T07:57:52Z</cp:lastPrinted>
  <dcterms:created xsi:type="dcterms:W3CDTF">2013-04-04T07:21:53Z</dcterms:created>
  <dcterms:modified xsi:type="dcterms:W3CDTF">2026-06-17T06:40:16Z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0x010100D1DB6DF7E08AB94D98714D3002DE72D0</vt:lpwstr>
  </property>
  <property fmtid="{D5CDD505-2E9C-101B-9397-08002B2CF9AE}" pid="3" name="MediaServiceImageTags">
    <vt:lpwstr/>
  </property>
</Properties>
</file>